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44b2ecacd14516" /></Relationships>
</file>

<file path=xl/workbook.xml><?xml version="1.0" encoding="utf-8"?>
<x:workbook xmlns:x="http://schemas.openxmlformats.org/spreadsheetml/2006/main">
  <x:sheets>
    <x:sheet xmlns:r="http://schemas.openxmlformats.org/officeDocument/2006/relationships" name="Dashboard" sheetId="1" r:id="R213d4dd28a3d46fa"/>
    <x:sheet xmlns:r="http://schemas.openxmlformats.org/officeDocument/2006/relationships" name="Invoice Register" sheetId="2" r:id="R2f65c4871afa46e5"/>
    <x:sheet xmlns:r="http://schemas.openxmlformats.org/officeDocument/2006/relationships" name="Payment Log" sheetId="3" r:id="R3cb1012366aa404c"/>
    <x:sheet xmlns:r="http://schemas.openxmlformats.org/officeDocument/2006/relationships" name="Collection Queue" sheetId="4" r:id="R402dc6449c954824"/>
    <x:sheet xmlns:r="http://schemas.openxmlformats.org/officeDocument/2006/relationships" name="Client Summary" sheetId="5" r:id="Rcc401c2b7d86472a"/>
    <x:sheet xmlns:r="http://schemas.openxmlformats.org/officeDocument/2006/relationships" name="Checks" sheetId="6" r:id="Rd1bb18f06295448a"/>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
    <x:numFmt numFmtId="201" formatCode="0.0%"/>
    <x:numFmt numFmtId="202" formatCode="#,##0"/>
    <x:numFmt numFmtId="203" formatCode="yyyy-mm-dd"/>
    <x:numFmt numFmtId="204" formatCode="$#,##0.00"/>
    <x:numFmt numFmtId="205" formatCode="0%"/>
    <x:numFmt numFmtId="206" formatCode="0"/>
    <x:numFmt numFmtId="207" formatCode="#,##0.00"/>
  </x:numFmts>
  <x:fonts count="9">
    <x:font>
      <x:sz val="11"/>
      <x:name val="Carlito"/>
    </x:font>
    <x:font>
      <x:b/>
      <x:sz val="20"/>
      <x:color rgb="FFFFFFFF"/>
      <x:name val="Carlito"/>
    </x:font>
    <x:font>
      <x:i/>
      <x:sz val="10"/>
      <x:color rgb="FFD8E5EE"/>
      <x:name val="Carlito"/>
    </x:font>
    <x:font>
      <x:b/>
      <x:sz val="9"/>
      <x:color rgb="FF243746"/>
      <x:name val="Carlito"/>
    </x:font>
    <x:font>
      <x:b/>
      <x:sz val="18"/>
      <x:color rgb="FF243746"/>
      <x:name val="Carlito"/>
    </x:font>
    <x:font>
      <x:b/>
      <x:sz val="11"/>
      <x:color rgb="FFFFFFFF"/>
      <x:name val="Carlito"/>
    </x:font>
    <x:font>
      <x:b/>
      <x:sz val="11"/>
      <x:color rgb="FF243746"/>
      <x:name val="Carlito"/>
    </x:font>
    <x:font>
      <x:sz val="10"/>
      <x:color rgb="FF243746"/>
      <x:name val="Carlito"/>
    </x:font>
    <x:font>
      <x:b/>
      <x:sz val="9"/>
      <x:color rgb="FFFFFFFF"/>
      <x:name val="Carlito"/>
    </x:font>
  </x:fonts>
  <x:fills count="9">
    <x:fill>
      <x:patternFill patternType="none"/>
    </x:fill>
    <x:fill>
      <x:patternFill patternType="gray125"/>
    </x:fill>
    <x:fill>
      <x:patternFill patternType="solid">
        <x:fgColor rgb="FF17324D"/>
      </x:patternFill>
    </x:fill>
    <x:fill>
      <x:patternFill patternType="solid">
        <x:fgColor rgb="FFE8F2F2"/>
      </x:patternFill>
    </x:fill>
    <x:fill>
      <x:patternFill patternType="solid">
        <x:fgColor rgb="FFFCECE9"/>
      </x:patternFill>
    </x:fill>
    <x:fill>
      <x:patternFill patternType="solid">
        <x:fgColor rgb="FF147D7E"/>
      </x:patternFill>
    </x:fill>
    <x:fill>
      <x:patternFill patternType="solid">
        <x:fgColor rgb="FFF4F7F9"/>
      </x:patternFill>
    </x:fill>
    <x:fill>
      <x:patternFill patternType="solid">
        <x:fgColor rgb="FFFFFBEA"/>
      </x:patternFill>
    </x:fill>
    <x:fill>
      <x:patternFill patternType="solid">
        <x:fgColor rgb="FFF1F6F8"/>
      </x:patternFill>
    </x:fill>
  </x:fills>
  <x:borders count="25">
    <x:border/>
    <x:border>
      <x:left style="thin">
        <x:color rgb="FFCAD7DF"/>
      </x:left>
      <x:top style="thin">
        <x:color rgb="FFCAD7DF"/>
      </x:top>
    </x:border>
    <x:border>
      <x:right style="thin">
        <x:color rgb="FFCAD7DF"/>
      </x:right>
      <x:top style="thin">
        <x:color rgb="FFCAD7DF"/>
      </x:top>
    </x:border>
    <x:border>
      <x:left style="thin">
        <x:color rgb="FFCAD7DF"/>
      </x:left>
    </x:border>
    <x:border>
      <x:right style="thin">
        <x:color rgb="FFCAD7DF"/>
      </x:right>
    </x:border>
    <x:border>
      <x:left style="thin">
        <x:color rgb="FFCAD7DF"/>
      </x:left>
      <x:bottom style="thin">
        <x:color rgb="FFCAD7DF"/>
      </x:bottom>
    </x:border>
    <x:border>
      <x:right style="thin">
        <x:color rgb="FFCAD7DF"/>
      </x:right>
      <x:bottom style="thin">
        <x:color rgb="FFCAD7DF"/>
      </x:bottom>
    </x:border>
    <x:border>
      <x:right style="thin">
        <x:color rgb="FFD7E0E5"/>
      </x:right>
      <x:bottom style="thin">
        <x:color rgb="FFD7E0E5"/>
      </x:bottom>
    </x:border>
    <x:border>
      <x:left style="thin">
        <x:color rgb="FFD7E0E5"/>
      </x:left>
      <x:bottom style="thin">
        <x:color rgb="FFD7E0E5"/>
      </x:bottom>
    </x:border>
    <x:border>
      <x:right style="thin">
        <x:color rgb="FFD7E0E5"/>
      </x:right>
      <x:top style="thin">
        <x:color rgb="FFD7E0E5"/>
      </x:top>
      <x:bottom style="thin">
        <x:color rgb="FFD7E0E5"/>
      </x:bottom>
    </x:border>
    <x:border>
      <x:left style="thin">
        <x:color rgb="FFD7E0E5"/>
      </x:left>
      <x:top style="thin">
        <x:color rgb="FFD7E0E5"/>
      </x:top>
      <x:bottom style="thin">
        <x:color rgb="FFD7E0E5"/>
      </x:bottom>
    </x:border>
    <x:border>
      <x:right style="thin">
        <x:color rgb="FFD7E0E5"/>
      </x:right>
      <x:top style="thin">
        <x:color rgb="FFD7E0E5"/>
      </x:top>
    </x:border>
    <x:border>
      <x:left style="thin">
        <x:color rgb="FFD7E0E5"/>
      </x:left>
      <x:top style="thin">
        <x:color rgb="FFD7E0E5"/>
      </x:top>
    </x:border>
    <x:border>
      <x:left style="thin">
        <x:color rgb="FFD7E0E5"/>
      </x:left>
      <x:right style="thin">
        <x:color rgb="FFD7E0E5"/>
      </x:right>
      <x:bottom style="thin">
        <x:color rgb="FFD7E0E5"/>
      </x:bottom>
    </x:border>
    <x:border>
      <x:left style="thin">
        <x:color rgb="FFD7E0E5"/>
      </x:left>
      <x:right style="thin">
        <x:color rgb="FFD7E0E5"/>
      </x:right>
      <x:top style="thin">
        <x:color rgb="FFD7E0E5"/>
      </x:top>
      <x:bottom style="thin">
        <x:color rgb="FFD7E0E5"/>
      </x:bottom>
    </x:border>
    <x:border>
      <x:left style="thin">
        <x:color rgb="FFD7E0E5"/>
      </x:left>
      <x:right style="thin">
        <x:color rgb="FFD7E0E5"/>
      </x:right>
      <x:top style="thin">
        <x:color rgb="FFD7E0E5"/>
      </x:top>
    </x:border>
    <x:border>
      <x:right style="thin">
        <x:color rgb="FFE2E8EC"/>
      </x:right>
      <x:bottom style="thin">
        <x:color rgb="FFE2E8EC"/>
      </x:bottom>
    </x:border>
    <x:border>
      <x:left style="thin">
        <x:color rgb="FFE2E8EC"/>
      </x:left>
      <x:right style="thin">
        <x:color rgb="FFE2E8EC"/>
      </x:right>
      <x:bottom style="thin">
        <x:color rgb="FFE2E8EC"/>
      </x:bottom>
    </x:border>
    <x:border>
      <x:left style="thin">
        <x:color rgb="FFE2E8EC"/>
      </x:left>
      <x:bottom style="thin">
        <x:color rgb="FFE2E8EC"/>
      </x:bottom>
    </x:border>
    <x:border>
      <x:right style="thin">
        <x:color rgb="FFE2E8EC"/>
      </x:right>
      <x:top style="thin">
        <x:color rgb="FFE2E8EC"/>
      </x:top>
      <x:bottom style="thin">
        <x:color rgb="FFE2E8EC"/>
      </x:bottom>
    </x:border>
    <x:border>
      <x:left style="thin">
        <x:color rgb="FFE2E8EC"/>
      </x:left>
      <x:right style="thin">
        <x:color rgb="FFE2E8EC"/>
      </x:right>
      <x:top style="thin">
        <x:color rgb="FFE2E8EC"/>
      </x:top>
      <x:bottom style="thin">
        <x:color rgb="FFE2E8EC"/>
      </x:bottom>
    </x:border>
    <x:border>
      <x:left style="thin">
        <x:color rgb="FFE2E8EC"/>
      </x:left>
      <x:top style="thin">
        <x:color rgb="FFE2E8EC"/>
      </x:top>
      <x:bottom style="thin">
        <x:color rgb="FFE2E8EC"/>
      </x:bottom>
    </x:border>
    <x:border>
      <x:right style="thin">
        <x:color rgb="FFE2E8EC"/>
      </x:right>
      <x:top style="thin">
        <x:color rgb="FFE2E8EC"/>
      </x:top>
    </x:border>
    <x:border>
      <x:left style="thin">
        <x:color rgb="FFE2E8EC"/>
      </x:left>
      <x:right style="thin">
        <x:color rgb="FFE2E8EC"/>
      </x:right>
      <x:top style="thin">
        <x:color rgb="FFE2E8EC"/>
      </x:top>
    </x:border>
    <x:border>
      <x:left style="thin">
        <x:color rgb="FFE2E8EC"/>
      </x:left>
      <x:top style="thin">
        <x:color rgb="FFE2E8EC"/>
      </x:top>
    </x:border>
  </x:borders>
  <x:cellStyleXfs count="1">
    <x:xf numFmtId="0" fontId="0" fillId="0" borderId="0"/>
  </x:cellStyleXfs>
  <x:cellXfs count="21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0" fillId="3" borderId="2" xfId="0" applyNumberFormat="1" applyFont="1" applyFill="1" applyBorder="1"/>
    <x:xf numFmtId="0" fontId="0" fillId="3" borderId="3" xfId="0" applyNumberFormat="1" applyFont="1" applyFill="1" applyBorder="1"/>
    <x:xf numFmtId="0" fontId="0" fillId="3" borderId="4" xfId="0" applyNumberFormat="1" applyFont="1" applyFill="1" applyBorder="1"/>
    <x:xf numFmtId="0" fontId="0" fillId="3" borderId="5" xfId="0" applyNumberFormat="1" applyFont="1" applyFill="1" applyBorder="1"/>
    <x:xf numFmtId="0" fontId="0" fillId="3" borderId="6"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0" fillId="4" borderId="2" xfId="0" applyNumberFormat="1" applyFont="1" applyFill="1" applyBorder="1"/>
    <x:xf numFmtId="0" fontId="0" fillId="4" borderId="3" xfId="0" applyNumberFormat="1" applyFont="1" applyFill="1" applyBorder="1"/>
    <x:xf numFmtId="0" fontId="0" fillId="4" borderId="4" xfId="0" applyNumberFormat="1" applyFont="1" applyFill="1" applyBorder="1"/>
    <x:xf numFmtId="0" fontId="0" fillId="4" borderId="5" xfId="0" applyNumberFormat="1" applyFont="1" applyFill="1" applyBorder="1"/>
    <x:xf numFmtId="0" fontId="0" fillId="4" borderId="6" xfId="0" applyNumberFormat="1" applyFont="1" applyFill="1" applyBorder="1"/>
    <x:xf numFmtId="0" fontId="3" fillId="3" borderId="1" xfId="0" applyNumberFormat="1" applyFont="1" applyFill="1" applyBorder="1"/>
    <x:xf numFmtId="0" fontId="3" fillId="3" borderId="2" xfId="0" applyNumberFormat="1" applyFont="1" applyFill="1" applyBorder="1"/>
    <x:xf numFmtId="0" fontId="3" fillId="4" borderId="1" xfId="0" applyNumberFormat="1" applyFont="1" applyFill="1" applyBorder="1"/>
    <x:xf numFmtId="0" fontId="3" fillId="4" borderId="2" xfId="0" applyNumberFormat="1" applyFont="1" applyFill="1" applyBorder="1"/>
    <x:xf numFmtId="200" fontId="0" fillId="3" borderId="3" xfId="0" applyNumberFormat="1" applyFont="1" applyFill="1" applyBorder="1"/>
    <x:xf numFmtId="200" fontId="0" fillId="3" borderId="4" xfId="0" applyNumberFormat="1" applyFont="1" applyFill="1" applyBorder="1"/>
    <x:xf numFmtId="200" fontId="0" fillId="4" borderId="3" xfId="0" applyNumberFormat="1" applyFont="1" applyFill="1" applyBorder="1"/>
    <x:xf numFmtId="200" fontId="0" fillId="4" borderId="4" xfId="0" applyNumberFormat="1" applyFont="1" applyFill="1" applyBorder="1"/>
    <x:xf numFmtId="200" fontId="0" fillId="3" borderId="5" xfId="0" applyNumberFormat="1" applyFont="1" applyFill="1" applyBorder="1"/>
    <x:xf numFmtId="200" fontId="0" fillId="3" borderId="6" xfId="0" applyNumberFormat="1" applyFont="1" applyFill="1" applyBorder="1"/>
    <x:xf numFmtId="200" fontId="0" fillId="4" borderId="5" xfId="0" applyNumberFormat="1" applyFont="1" applyFill="1" applyBorder="1"/>
    <x:xf numFmtId="200" fontId="0" fillId="4" borderId="6" xfId="0" applyNumberFormat="1" applyFont="1" applyFill="1" applyBorder="1"/>
    <x:xf numFmtId="201" fontId="0" fillId="3" borderId="3" xfId="0" applyNumberFormat="1" applyFont="1" applyFill="1" applyBorder="1"/>
    <x:xf numFmtId="201" fontId="0" fillId="3" borderId="4" xfId="0" applyNumberFormat="1" applyFont="1" applyFill="1" applyBorder="1"/>
    <x:xf numFmtId="201" fontId="0" fillId="3" borderId="5" xfId="0" applyNumberFormat="1" applyFont="1" applyFill="1" applyBorder="1"/>
    <x:xf numFmtId="201" fontId="0" fillId="3" borderId="6" xfId="0" applyNumberFormat="1" applyFont="1" applyFill="1" applyBorder="1"/>
    <x:xf numFmtId="202" fontId="0" fillId="3" borderId="3" xfId="0" applyNumberFormat="1" applyFont="1" applyFill="1" applyBorder="1"/>
    <x:xf numFmtId="202" fontId="0" fillId="3" borderId="4" xfId="0" applyNumberFormat="1" applyFont="1" applyFill="1" applyBorder="1"/>
    <x:xf numFmtId="202" fontId="0" fillId="3" borderId="5" xfId="0" applyNumberFormat="1" applyFont="1" applyFill="1" applyBorder="1"/>
    <x:xf numFmtId="202" fontId="0" fillId="3" borderId="6" xfId="0" applyNumberFormat="1" applyFont="1" applyFill="1" applyBorder="1"/>
    <x:xf numFmtId="200" fontId="4" fillId="3" borderId="3" xfId="0" applyNumberFormat="1" applyFont="1" applyFill="1" applyBorder="1"/>
    <x:xf numFmtId="200" fontId="4" fillId="3" borderId="4" xfId="0" applyNumberFormat="1" applyFont="1" applyFill="1" applyBorder="1"/>
    <x:xf numFmtId="200" fontId="4" fillId="4" borderId="3" xfId="0" applyNumberFormat="1" applyFont="1" applyFill="1" applyBorder="1"/>
    <x:xf numFmtId="200" fontId="4" fillId="4" borderId="4" xfId="0" applyNumberFormat="1" applyFont="1" applyFill="1" applyBorder="1"/>
    <x:xf numFmtId="201" fontId="4" fillId="3" borderId="3" xfId="0" applyNumberFormat="1" applyFont="1" applyFill="1" applyBorder="1"/>
    <x:xf numFmtId="201" fontId="4" fillId="3" borderId="4" xfId="0" applyNumberFormat="1" applyFont="1" applyFill="1" applyBorder="1"/>
    <x:xf numFmtId="202" fontId="4" fillId="3" borderId="3" xfId="0" applyNumberFormat="1" applyFont="1" applyFill="1" applyBorder="1"/>
    <x:xf numFmtId="202" fontId="4" fillId="3" borderId="4" xfId="0" applyNumberFormat="1" applyFont="1" applyFill="1" applyBorder="1"/>
    <x:xf numFmtId="200" fontId="4" fillId="3" borderId="5" xfId="0" applyNumberFormat="1" applyFont="1" applyFill="1" applyBorder="1"/>
    <x:xf numFmtId="200" fontId="4" fillId="3" borderId="6" xfId="0" applyNumberFormat="1" applyFont="1" applyFill="1" applyBorder="1"/>
    <x:xf numFmtId="200" fontId="4" fillId="4" borderId="5" xfId="0" applyNumberFormat="1" applyFont="1" applyFill="1" applyBorder="1"/>
    <x:xf numFmtId="200" fontId="4" fillId="4" borderId="6" xfId="0" applyNumberFormat="1" applyFont="1" applyFill="1" applyBorder="1"/>
    <x:xf numFmtId="201" fontId="4" fillId="3" borderId="5" xfId="0" applyNumberFormat="1" applyFont="1" applyFill="1" applyBorder="1"/>
    <x:xf numFmtId="201" fontId="4" fillId="3" borderId="6" xfId="0" applyNumberFormat="1" applyFont="1" applyFill="1" applyBorder="1"/>
    <x:xf numFmtId="202" fontId="4" fillId="3" borderId="5" xfId="0" applyNumberFormat="1" applyFont="1" applyFill="1" applyBorder="1"/>
    <x:xf numFmtId="202" fontId="4" fillId="3" borderId="6"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6" borderId="7" xfId="0" applyNumberFormat="1" applyFont="1" applyFill="1" applyBorder="1"/>
    <x:xf numFmtId="0" fontId="0" fillId="6" borderId="8" xfId="0" applyNumberFormat="1" applyFont="1" applyFill="1" applyBorder="1"/>
    <x:xf numFmtId="0" fontId="6" fillId="6" borderId="7" xfId="0" applyNumberFormat="1" applyFont="1" applyFill="1" applyBorder="1"/>
    <x:xf numFmtId="0" fontId="6" fillId="6" borderId="8" xfId="0" applyNumberFormat="1" applyFont="1" applyFill="1" applyBorder="1"/>
    <x:xf numFmtId="200" fontId="0" fillId="0" borderId="10" xfId="0" applyNumberFormat="1" applyFont="1" applyFill="1" applyBorder="1"/>
    <x:xf numFmtId="20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6" borderId="13" xfId="0" applyNumberFormat="1" applyFont="1" applyFill="1" applyBorder="1"/>
    <x:xf numFmtId="0" fontId="6" fillId="6" borderId="13" xfId="0" applyNumberFormat="1" applyFont="1" applyFill="1" applyBorder="1"/>
    <x:xf numFmtId="200" fontId="0" fillId="0" borderId="14" xfId="0" applyNumberFormat="1" applyFont="1" applyFill="1" applyBorder="1"/>
    <x:xf numFmtId="200" fontId="0" fillId="0" borderId="15" xfId="0" applyNumberFormat="1" applyFont="1" applyFill="1" applyBorder="1"/>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top" wrapText="1"/>
    </x:xf>
    <x:xf numFmtId="0" fontId="8" fillId="5" borderId="0" xfId="0" applyNumberFormat="1" applyFont="1" applyFill="1" applyBorder="1"/>
    <x:xf numFmtId="0" fontId="8" fillId="5" borderId="0" xfId="0" applyNumberFormat="1" applyFont="1" applyFill="1" applyBorder="1" applyAlignment="1">
      <x:alignment wrapText="1"/>
    </x:xf>
    <x:xf numFmtId="203" fontId="0" fillId="0" borderId="0" xfId="0" applyNumberFormat="1" applyFont="1" applyFill="1" applyBorder="1"/>
    <x:xf numFmtId="204" fontId="0" fillId="0" borderId="0" xfId="0" applyNumberFormat="1" applyFont="1" applyFill="1" applyBorder="1"/>
    <x:xf numFmtId="205" fontId="0" fillId="0" borderId="0" xfId="0" applyNumberFormat="1" applyFont="1" applyFill="1" applyBorder="1"/>
    <x:xf numFmtId="206" fontId="0" fillId="0" borderId="0" xfId="0" applyNumberFormat="1" applyFont="1" applyFill="1" applyBorder="1"/>
    <x:xf numFmtId="0" fontId="8" fillId="5" borderId="16" xfId="0" applyNumberFormat="1" applyFont="1" applyFill="1" applyBorder="1" applyAlignment="1">
      <x:alignment wrapText="1"/>
    </x:xf>
    <x:xf numFmtId="0" fontId="8" fillId="5" borderId="17" xfId="0" applyNumberFormat="1" applyFont="1" applyFill="1" applyBorder="1" applyAlignment="1">
      <x:alignment wrapText="1"/>
    </x:xf>
    <x:xf numFmtId="0" fontId="8" fillId="5" borderId="18" xfId="0" applyNumberFormat="1" applyFont="1" applyFill="1" applyBorder="1" applyAlignment="1">
      <x:alignment wrapText="1"/>
    </x:xf>
    <x:xf numFmtId="0" fontId="0" fillId="0" borderId="19" xfId="0" applyNumberFormat="1" applyFont="1" applyFill="1" applyBorder="1"/>
    <x:xf numFmtId="0" fontId="0" fillId="0" borderId="20" xfId="0" applyNumberFormat="1" applyFont="1" applyFill="1" applyBorder="1"/>
    <x:xf numFmtId="203" fontId="0" fillId="0" borderId="20" xfId="0" applyNumberFormat="1" applyFont="1" applyFill="1" applyBorder="1"/>
    <x:xf numFmtId="204" fontId="0" fillId="0" borderId="20" xfId="0" applyNumberFormat="1" applyFont="1" applyFill="1" applyBorder="1"/>
    <x:xf numFmtId="205" fontId="0" fillId="0" borderId="20" xfId="0" applyNumberFormat="1" applyFont="1" applyFill="1" applyBorder="1"/>
    <x:xf numFmtId="206"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203" fontId="0" fillId="0" borderId="23" xfId="0" applyNumberFormat="1" applyFont="1" applyFill="1" applyBorder="1"/>
    <x:xf numFmtId="204" fontId="0" fillId="0" borderId="23" xfId="0" applyNumberFormat="1" applyFont="1" applyFill="1" applyBorder="1"/>
    <x:xf numFmtId="205" fontId="0" fillId="0" borderId="23" xfId="0" applyNumberFormat="1" applyFont="1" applyFill="1" applyBorder="1"/>
    <x:xf numFmtId="206" fontId="0" fillId="0" borderId="23" xfId="0" applyNumberFormat="1" applyFont="1" applyFill="1" applyBorder="1"/>
    <x:xf numFmtId="0" fontId="0" fillId="0" borderId="24" xfId="0" applyNumberFormat="1" applyFont="1" applyFill="1" applyBorder="1"/>
    <x:xf numFmtId="0" fontId="0" fillId="7" borderId="19" xfId="0" applyNumberFormat="1" applyFont="1" applyFill="1" applyBorder="1"/>
    <x:xf numFmtId="0" fontId="0" fillId="7" borderId="20" xfId="0" applyNumberFormat="1" applyFont="1" applyFill="1" applyBorder="1"/>
    <x:xf numFmtId="203" fontId="0" fillId="7" borderId="20" xfId="0" applyNumberFormat="1" applyFont="1" applyFill="1" applyBorder="1"/>
    <x:xf numFmtId="204" fontId="0" fillId="7" borderId="20" xfId="0" applyNumberFormat="1" applyFont="1" applyFill="1" applyBorder="1"/>
    <x:xf numFmtId="205" fontId="0" fillId="7" borderId="20" xfId="0" applyNumberFormat="1" applyFont="1" applyFill="1" applyBorder="1"/>
    <x:xf numFmtId="0" fontId="0" fillId="7" borderId="22" xfId="0" applyNumberFormat="1" applyFont="1" applyFill="1" applyBorder="1"/>
    <x:xf numFmtId="0" fontId="0" fillId="7" borderId="23" xfId="0" applyNumberFormat="1" applyFont="1" applyFill="1" applyBorder="1"/>
    <x:xf numFmtId="203" fontId="0" fillId="7" borderId="23" xfId="0" applyNumberFormat="1" applyFont="1" applyFill="1" applyBorder="1"/>
    <x:xf numFmtId="204" fontId="0" fillId="7" borderId="23" xfId="0" applyNumberFormat="1" applyFont="1" applyFill="1" applyBorder="1"/>
    <x:xf numFmtId="205" fontId="0" fillId="7" borderId="23" xfId="0" applyNumberFormat="1" applyFont="1" applyFill="1" applyBorder="1"/>
    <x:xf numFmtId="204" fontId="0" fillId="8" borderId="20" xfId="0" applyNumberFormat="1" applyFont="1" applyFill="1" applyBorder="1"/>
    <x:xf numFmtId="206" fontId="0" fillId="8" borderId="20" xfId="0" applyNumberFormat="1" applyFont="1" applyFill="1" applyBorder="1"/>
    <x:xf numFmtId="0" fontId="0" fillId="8" borderId="20" xfId="0" applyNumberFormat="1" applyFont="1" applyFill="1" applyBorder="1"/>
    <x:xf numFmtId="0" fontId="0" fillId="8" borderId="21" xfId="0" applyNumberFormat="1" applyFont="1" applyFill="1" applyBorder="1"/>
    <x:xf numFmtId="204" fontId="0" fillId="8" borderId="23" xfId="0" applyNumberFormat="1" applyFont="1" applyFill="1" applyBorder="1"/>
    <x:xf numFmtId="206" fontId="0" fillId="8" borderId="23" xfId="0" applyNumberFormat="1" applyFont="1" applyFill="1" applyBorder="1"/>
    <x:xf numFmtId="0" fontId="0" fillId="8" borderId="23" xfId="0" applyNumberFormat="1" applyFont="1" applyFill="1" applyBorder="1"/>
    <x:xf numFmtId="0" fontId="0" fillId="8" borderId="24" xfId="0" applyNumberFormat="1" applyFont="1" applyFill="1" applyBorder="1"/>
    <x:xf numFmtId="0" fontId="0" fillId="7" borderId="0" xfId="0" applyNumberFormat="1" applyFont="1" applyFill="1" applyBorder="1"/>
    <x:xf numFmtId="203" fontId="0" fillId="7" borderId="0" xfId="0" applyNumberFormat="1" applyFont="1" applyFill="1" applyBorder="1"/>
    <x:xf numFmtId="204" fontId="0" fillId="7" borderId="0" xfId="0" applyNumberFormat="1" applyFont="1" applyFill="1" applyBorder="1"/>
    <x:xf numFmtId="0" fontId="0" fillId="8" borderId="0" xfId="0" applyNumberFormat="1" applyFont="1" applyFill="1" applyBorder="1"/>
    <x:xf numFmtId="0" fontId="5" fillId="5" borderId="16" xfId="0" applyNumberFormat="1" applyFont="1" applyFill="1" applyBorder="1"/>
    <x:xf numFmtId="0" fontId="5" fillId="5" borderId="17" xfId="0" applyNumberFormat="1" applyFont="1" applyFill="1" applyBorder="1"/>
    <x:xf numFmtId="0" fontId="5" fillId="5" borderId="18" xfId="0" applyNumberFormat="1" applyFont="1" applyFill="1" applyBorder="1"/>
    <x:xf numFmtId="201" fontId="0" fillId="0" borderId="0" xfId="0" applyNumberFormat="1" applyFont="1" applyFill="1" applyBorder="1"/>
    <x:xf numFmtId="201" fontId="0" fillId="0" borderId="21" xfId="0" applyNumberFormat="1" applyFont="1" applyFill="1" applyBorder="1"/>
    <x:xf numFmtId="201" fontId="0" fillId="0" borderId="24" xfId="0" applyNumberFormat="1" applyFont="1" applyFill="1" applyBorder="1"/>
    <x:xf numFmtId="207" fontId="0" fillId="0" borderId="0" xfId="0" applyNumberFormat="1" applyFont="1" applyFill="1" applyBorder="1"/>
    <x:xf numFmtId="207" fontId="0" fillId="0" borderId="20" xfId="0" applyNumberFormat="1" applyFont="1" applyFill="1" applyBorder="1"/>
    <x:xf numFmtId="207" fontId="0" fillId="0" borderId="23" xfId="0" applyNumberFormat="1" applyFont="1" applyFill="1" applyBorder="1"/>
    <x:xf numFmtId="0" fontId="6" fillId="3" borderId="0" xfId="0" applyNumberFormat="1" applyFont="1" applyFill="1" applyBorder="1"/>
    <x:xf numFmtId="0" fontId="6" fillId="3" borderId="1" xfId="0" applyNumberFormat="1" applyFont="1" applyFill="1" applyBorder="1"/>
    <x:xf numFmtId="0" fontId="6" fillId="3" borderId="2" xfId="0" applyNumberFormat="1" applyFont="1" applyFill="1" applyBorder="1"/>
    <x:xf numFmtId="0" fontId="6" fillId="3" borderId="5" xfId="0" applyNumberFormat="1" applyFont="1" applyFill="1" applyBorder="1"/>
    <x:xf numFmtId="0" fontId="6" fillId="3" borderId="6" xfId="0" applyNumberFormat="1" applyFont="1" applyFill="1" applyBorder="1"/>
    <x:xf numFmtId="0" fontId="2" fillId="2"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3" fillId="3" borderId="1" xfId="0" applyNumberFormat="1" applyFont="1" applyFill="1" applyBorder="1" applyAlignment="1">
      <x:alignment vertical="center"/>
    </x:xf>
    <x:xf numFmtId="0" fontId="3" fillId="3" borderId="2" xfId="0" applyNumberFormat="1" applyFont="1" applyFill="1" applyBorder="1" applyAlignment="1">
      <x:alignment vertical="center"/>
    </x:xf>
    <x:xf numFmtId="0" fontId="3" fillId="4" borderId="1" xfId="0" applyNumberFormat="1" applyFont="1" applyFill="1" applyBorder="1" applyAlignment="1">
      <x:alignment vertical="center"/>
    </x:xf>
    <x:xf numFmtId="0" fontId="3" fillId="4" borderId="2" xfId="0" applyNumberFormat="1" applyFont="1" applyFill="1" applyBorder="1" applyAlignment="1">
      <x:alignment vertical="center"/>
    </x:xf>
    <x:xf numFmtId="200" fontId="4" fillId="3" borderId="3" xfId="0" applyNumberFormat="1" applyFont="1" applyFill="1" applyBorder="1" applyAlignment="1">
      <x:alignment vertical="center"/>
    </x:xf>
    <x:xf numFmtId="200" fontId="4" fillId="3" borderId="4" xfId="0" applyNumberFormat="1" applyFont="1" applyFill="1" applyBorder="1" applyAlignment="1">
      <x:alignment vertical="center"/>
    </x:xf>
    <x:xf numFmtId="200" fontId="4" fillId="4" borderId="3" xfId="0" applyNumberFormat="1" applyFont="1" applyFill="1" applyBorder="1" applyAlignment="1">
      <x:alignment vertical="center"/>
    </x:xf>
    <x:xf numFmtId="200" fontId="4" fillId="4" borderId="4" xfId="0" applyNumberFormat="1" applyFont="1" applyFill="1" applyBorder="1" applyAlignment="1">
      <x:alignment vertical="center"/>
    </x:xf>
    <x:xf numFmtId="201" fontId="4" fillId="3" borderId="3" xfId="0" applyNumberFormat="1" applyFont="1" applyFill="1" applyBorder="1" applyAlignment="1">
      <x:alignment vertical="center"/>
    </x:xf>
    <x:xf numFmtId="201" fontId="4" fillId="3" borderId="4" xfId="0" applyNumberFormat="1" applyFont="1" applyFill="1" applyBorder="1" applyAlignment="1">
      <x:alignment vertical="center"/>
    </x:xf>
    <x:xf numFmtId="202" fontId="4" fillId="3" borderId="3" xfId="0" applyNumberFormat="1" applyFont="1" applyFill="1" applyBorder="1" applyAlignment="1">
      <x:alignment vertical="center"/>
    </x:xf>
    <x:xf numFmtId="202" fontId="4" fillId="3" borderId="4" xfId="0" applyNumberFormat="1" applyFont="1" applyFill="1" applyBorder="1" applyAlignment="1">
      <x:alignment vertical="center"/>
    </x:xf>
    <x:xf numFmtId="200" fontId="4" fillId="3" borderId="5" xfId="0" applyNumberFormat="1" applyFont="1" applyFill="1" applyBorder="1" applyAlignment="1">
      <x:alignment vertical="center"/>
    </x:xf>
    <x:xf numFmtId="200" fontId="4" fillId="3" borderId="6" xfId="0" applyNumberFormat="1" applyFont="1" applyFill="1" applyBorder="1" applyAlignment="1">
      <x:alignment vertical="center"/>
    </x:xf>
    <x:xf numFmtId="200" fontId="4" fillId="4" borderId="5" xfId="0" applyNumberFormat="1" applyFont="1" applyFill="1" applyBorder="1" applyAlignment="1">
      <x:alignment vertical="center"/>
    </x:xf>
    <x:xf numFmtId="200" fontId="4" fillId="4" borderId="6" xfId="0" applyNumberFormat="1" applyFont="1" applyFill="1" applyBorder="1" applyAlignment="1">
      <x:alignment vertical="center"/>
    </x:xf>
    <x:xf numFmtId="201" fontId="4" fillId="3" borderId="5" xfId="0" applyNumberFormat="1" applyFont="1" applyFill="1" applyBorder="1" applyAlignment="1">
      <x:alignment vertical="center"/>
    </x:xf>
    <x:xf numFmtId="201" fontId="4" fillId="3" borderId="6" xfId="0" applyNumberFormat="1" applyFont="1" applyFill="1" applyBorder="1" applyAlignment="1">
      <x:alignment vertical="center"/>
    </x:xf>
    <x:xf numFmtId="202" fontId="4" fillId="3" borderId="5" xfId="0" applyNumberFormat="1" applyFont="1" applyFill="1" applyBorder="1" applyAlignment="1">
      <x:alignment vertical="center"/>
    </x:xf>
    <x:xf numFmtId="202" fontId="4" fillId="3" borderId="6" xfId="0" applyNumberFormat="1" applyFont="1" applyFill="1" applyBorder="1" applyAlignment="1">
      <x:alignment vertical="center"/>
    </x:xf>
    <x:xf numFmtId="0" fontId="5" fillId="5" borderId="0" xfId="0" applyNumberFormat="1" applyFont="1" applyFill="1" applyBorder="1" applyAlignment="1">
      <x:alignment vertical="center"/>
    </x:xf>
    <x:xf numFmtId="0" fontId="6" fillId="6" borderId="7" xfId="0" applyNumberFormat="1" applyFont="1" applyFill="1" applyBorder="1" applyAlignment="1">
      <x:alignment vertical="center"/>
    </x:xf>
    <x:xf numFmtId="0" fontId="6" fillId="6" borderId="8" xfId="0" applyNumberFormat="1" applyFont="1" applyFill="1" applyBorder="1" applyAlignment="1">
      <x:alignment vertical="center"/>
    </x:xf>
    <x:xf numFmtId="0" fontId="6" fillId="6" borderId="13" xfId="0" applyNumberFormat="1" applyFont="1" applyFill="1" applyBorder="1" applyAlignment="1">
      <x:alignment vertical="center"/>
    </x:xf>
    <x:xf numFmtId="0" fontId="0" fillId="0" borderId="9" xfId="0" applyNumberFormat="1" applyFont="1" applyFill="1" applyBorder="1" applyAlignment="1">
      <x:alignment vertical="center"/>
    </x:xf>
    <x:xf numFmtId="200" fontId="0" fillId="0" borderId="10" xfId="0" applyNumberFormat="1" applyFont="1" applyFill="1" applyBorder="1" applyAlignment="1">
      <x:alignment vertical="center"/>
    </x:xf>
    <x:xf numFmtId="0" fontId="0" fillId="0" borderId="14" xfId="0" applyNumberFormat="1" applyFont="1" applyFill="1" applyBorder="1" applyAlignment="1">
      <x:alignment vertical="center"/>
    </x:xf>
    <x:xf numFmtId="0" fontId="0" fillId="0" borderId="10" xfId="0" applyNumberFormat="1" applyFont="1" applyFill="1" applyBorder="1" applyAlignment="1">
      <x:alignment vertical="center"/>
    </x:xf>
    <x:xf numFmtId="0" fontId="0" fillId="0" borderId="11" xfId="0" applyNumberFormat="1" applyFont="1" applyFill="1" applyBorder="1" applyAlignment="1">
      <x:alignment vertical="center"/>
    </x:xf>
    <x:xf numFmtId="200" fontId="0" fillId="0" borderId="12" xfId="0" applyNumberFormat="1" applyFont="1" applyFill="1" applyBorder="1" applyAlignment="1">
      <x:alignment vertical="center"/>
    </x:xf>
    <x:xf numFmtId="0" fontId="0" fillId="0" borderId="15" xfId="0" applyNumberFormat="1" applyFont="1" applyFill="1" applyBorder="1" applyAlignment="1">
      <x:alignment vertical="center"/>
    </x:xf>
    <x:xf numFmtId="0" fontId="0" fillId="0" borderId="12" xfId="0" applyNumberFormat="1" applyFont="1" applyFill="1" applyBorder="1" applyAlignment="1">
      <x:alignment vertical="center"/>
    </x:xf>
    <x:xf numFmtId="0" fontId="7" fillId="6" borderId="0" xfId="0" applyNumberFormat="1" applyFont="1" applyFill="1" applyBorder="1" applyAlignment="1">
      <x:alignment vertical="center" wrapText="1"/>
    </x:xf>
    <x:xf numFmtId="200" fontId="0" fillId="0" borderId="14" xfId="0" applyNumberFormat="1" applyFont="1" applyFill="1" applyBorder="1" applyAlignment="1">
      <x:alignment vertical="center"/>
    </x:xf>
    <x:xf numFmtId="200" fontId="0" fillId="0" borderId="15" xfId="0" applyNumberFormat="1" applyFont="1" applyFill="1" applyBorder="1" applyAlignment="1">
      <x:alignment vertical="center"/>
    </x:xf>
    <x:xf numFmtId="0" fontId="8" fillId="5" borderId="16" xfId="0" applyNumberFormat="1" applyFont="1" applyFill="1" applyBorder="1" applyAlignment="1">
      <x:alignment vertical="center" wrapText="1"/>
    </x:xf>
    <x:xf numFmtId="0" fontId="8" fillId="5" borderId="17" xfId="0" applyNumberFormat="1" applyFont="1" applyFill="1" applyBorder="1" applyAlignment="1">
      <x:alignment vertical="center" wrapText="1"/>
    </x:xf>
    <x:xf numFmtId="0" fontId="8" fillId="5" borderId="18" xfId="0" applyNumberFormat="1" applyFont="1" applyFill="1" applyBorder="1" applyAlignment="1">
      <x:alignment vertical="center" wrapText="1"/>
    </x:xf>
    <x:xf numFmtId="0" fontId="0" fillId="7" borderId="19" xfId="0" applyNumberFormat="1" applyFont="1" applyFill="1" applyBorder="1" applyAlignment="1">
      <x:alignment vertical="center"/>
    </x:xf>
    <x:xf numFmtId="0" fontId="0" fillId="7" borderId="20" xfId="0" applyNumberFormat="1" applyFont="1" applyFill="1" applyBorder="1" applyAlignment="1">
      <x:alignment vertical="center"/>
    </x:xf>
    <x:xf numFmtId="203" fontId="0" fillId="7" borderId="20" xfId="0" applyNumberFormat="1" applyFont="1" applyFill="1" applyBorder="1" applyAlignment="1">
      <x:alignment vertical="center"/>
    </x:xf>
    <x:xf numFmtId="204" fontId="0" fillId="7" borderId="20" xfId="0" applyNumberFormat="1" applyFont="1" applyFill="1" applyBorder="1" applyAlignment="1">
      <x:alignment vertical="center"/>
    </x:xf>
    <x:xf numFmtId="205" fontId="0" fillId="7" borderId="20" xfId="0" applyNumberFormat="1" applyFont="1" applyFill="1" applyBorder="1" applyAlignment="1">
      <x:alignment vertical="center"/>
    </x:xf>
    <x:xf numFmtId="204" fontId="0" fillId="8" borderId="20" xfId="0" applyNumberFormat="1" applyFont="1" applyFill="1" applyBorder="1" applyAlignment="1">
      <x:alignment vertical="center"/>
    </x:xf>
    <x:xf numFmtId="206" fontId="0" fillId="8" borderId="20" xfId="0" applyNumberFormat="1" applyFont="1" applyFill="1" applyBorder="1" applyAlignment="1">
      <x:alignment vertical="center"/>
    </x:xf>
    <x:xf numFmtId="0" fontId="0" fillId="8" borderId="20" xfId="0" applyNumberFormat="1" applyFont="1" applyFill="1" applyBorder="1" applyAlignment="1">
      <x:alignment vertical="center"/>
    </x:xf>
    <x:xf numFmtId="0" fontId="0" fillId="8" borderId="21" xfId="0" applyNumberFormat="1" applyFont="1" applyFill="1" applyBorder="1" applyAlignment="1">
      <x:alignment vertical="center"/>
    </x:xf>
    <x:xf numFmtId="0" fontId="0" fillId="7" borderId="22" xfId="0" applyNumberFormat="1" applyFont="1" applyFill="1" applyBorder="1" applyAlignment="1">
      <x:alignment vertical="center"/>
    </x:xf>
    <x:xf numFmtId="0" fontId="0" fillId="7" borderId="23" xfId="0" applyNumberFormat="1" applyFont="1" applyFill="1" applyBorder="1" applyAlignment="1">
      <x:alignment vertical="center"/>
    </x:xf>
    <x:xf numFmtId="203" fontId="0" fillId="7" borderId="23" xfId="0" applyNumberFormat="1" applyFont="1" applyFill="1" applyBorder="1" applyAlignment="1">
      <x:alignment vertical="center"/>
    </x:xf>
    <x:xf numFmtId="204" fontId="0" fillId="7" borderId="23" xfId="0" applyNumberFormat="1" applyFont="1" applyFill="1" applyBorder="1" applyAlignment="1">
      <x:alignment vertical="center"/>
    </x:xf>
    <x:xf numFmtId="205" fontId="0" fillId="7" borderId="23" xfId="0" applyNumberFormat="1" applyFont="1" applyFill="1" applyBorder="1" applyAlignment="1">
      <x:alignment vertical="center"/>
    </x:xf>
    <x:xf numFmtId="204" fontId="0" fillId="8" borderId="23" xfId="0" applyNumberFormat="1" applyFont="1" applyFill="1" applyBorder="1" applyAlignment="1">
      <x:alignment vertical="center"/>
    </x:xf>
    <x:xf numFmtId="206" fontId="0" fillId="8" borderId="23" xfId="0" applyNumberFormat="1" applyFont="1" applyFill="1" applyBorder="1" applyAlignment="1">
      <x:alignment vertical="center"/>
    </x:xf>
    <x:xf numFmtId="0" fontId="0" fillId="8" borderId="23" xfId="0" applyNumberFormat="1" applyFont="1" applyFill="1" applyBorder="1" applyAlignment="1">
      <x:alignment vertical="center"/>
    </x:xf>
    <x:xf numFmtId="0" fontId="0" fillId="8" borderId="24" xfId="0" applyNumberFormat="1" applyFont="1" applyFill="1" applyBorder="1" applyAlignment="1">
      <x:alignment vertical="center"/>
    </x:xf>
    <x:xf numFmtId="0" fontId="5" fillId="5" borderId="16" xfId="0" applyNumberFormat="1" applyFont="1" applyFill="1" applyBorder="1" applyAlignment="1">
      <x:alignment vertical="center"/>
    </x:xf>
    <x:xf numFmtId="0" fontId="5" fillId="5" borderId="17" xfId="0" applyNumberFormat="1" applyFont="1" applyFill="1" applyBorder="1" applyAlignment="1">
      <x:alignment vertical="center"/>
    </x:xf>
    <x:xf numFmtId="0" fontId="5" fillId="5" borderId="18" xfId="0" applyNumberFormat="1" applyFont="1" applyFill="1" applyBorder="1" applyAlignment="1">
      <x:alignment vertical="center"/>
    </x:xf>
    <x:xf numFmtId="0" fontId="0" fillId="0" borderId="19" xfId="0" applyNumberFormat="1" applyFont="1" applyFill="1" applyBorder="1" applyAlignment="1">
      <x:alignment vertical="center"/>
    </x:xf>
    <x:xf numFmtId="0" fontId="0" fillId="0" borderId="20" xfId="0" applyNumberFormat="1" applyFont="1" applyFill="1" applyBorder="1" applyAlignment="1">
      <x:alignment vertical="center"/>
    </x:xf>
    <x:xf numFmtId="203" fontId="0" fillId="0" borderId="20" xfId="0" applyNumberFormat="1" applyFont="1" applyFill="1" applyBorder="1" applyAlignment="1">
      <x:alignment vertical="center"/>
    </x:xf>
    <x:xf numFmtId="204" fontId="0" fillId="0" borderId="20" xfId="0" applyNumberFormat="1" applyFont="1" applyFill="1" applyBorder="1" applyAlignment="1">
      <x:alignment vertical="center"/>
    </x:xf>
    <x:xf numFmtId="0" fontId="0" fillId="0" borderId="21" xfId="0" applyNumberFormat="1" applyFont="1" applyFill="1" applyBorder="1" applyAlignment="1">
      <x:alignment vertical="center"/>
    </x:xf>
    <x:xf numFmtId="0" fontId="0" fillId="0" borderId="22" xfId="0" applyNumberFormat="1" applyFont="1" applyFill="1" applyBorder="1" applyAlignment="1">
      <x:alignment vertical="center"/>
    </x:xf>
    <x:xf numFmtId="0" fontId="0" fillId="0" borderId="23" xfId="0" applyNumberFormat="1" applyFont="1" applyFill="1" applyBorder="1" applyAlignment="1">
      <x:alignment vertical="center"/>
    </x:xf>
    <x:xf numFmtId="203" fontId="0" fillId="0" borderId="23" xfId="0" applyNumberFormat="1" applyFont="1" applyFill="1" applyBorder="1" applyAlignment="1">
      <x:alignment vertical="center"/>
    </x:xf>
    <x:xf numFmtId="204" fontId="0" fillId="0" borderId="23" xfId="0" applyNumberFormat="1" applyFont="1" applyFill="1" applyBorder="1" applyAlignment="1">
      <x:alignment vertical="center"/>
    </x:xf>
    <x:xf numFmtId="0" fontId="0" fillId="0" borderId="24" xfId="0" applyNumberFormat="1" applyFont="1" applyFill="1" applyBorder="1" applyAlignment="1">
      <x:alignment vertical="center"/>
    </x:xf>
    <x:xf numFmtId="201" fontId="0" fillId="0" borderId="21" xfId="0" applyNumberFormat="1" applyFont="1" applyFill="1" applyBorder="1" applyAlignment="1">
      <x:alignment vertical="center"/>
    </x:xf>
    <x:xf numFmtId="201" fontId="0" fillId="0" borderId="24" xfId="0" applyNumberFormat="1" applyFont="1" applyFill="1" applyBorder="1" applyAlignment="1">
      <x:alignment vertical="center"/>
    </x:xf>
    <x:xf numFmtId="203" fontId="0" fillId="0" borderId="0" xfId="0" applyNumberFormat="1" applyFont="1" applyFill="1" applyBorder="1" applyAlignment="1">
      <x:alignment vertical="center"/>
    </x:xf>
    <x:xf numFmtId="207" fontId="0" fillId="0" borderId="20" xfId="0" applyNumberFormat="1" applyFont="1" applyFill="1" applyBorder="1" applyAlignment="1">
      <x:alignment vertical="center"/>
    </x:xf>
    <x:xf numFmtId="207" fontId="0" fillId="0" borderId="23" xfId="0" applyNumberFormat="1" applyFont="1" applyFill="1" applyBorder="1" applyAlignment="1">
      <x:alignment vertical="center"/>
    </x:xf>
    <x:xf numFmtId="0" fontId="6" fillId="3" borderId="1" xfId="0" applyNumberFormat="1" applyFont="1" applyFill="1" applyBorder="1" applyAlignment="1">
      <x:alignment vertical="center"/>
    </x:xf>
    <x:xf numFmtId="0" fontId="6" fillId="3" borderId="2" xfId="0" applyNumberFormat="1" applyFont="1" applyFill="1" applyBorder="1" applyAlignment="1">
      <x:alignment vertical="center"/>
    </x:xf>
    <x:xf numFmtId="0" fontId="6" fillId="3" borderId="5" xfId="0" applyNumberFormat="1" applyFont="1" applyFill="1" applyBorder="1" applyAlignment="1">
      <x:alignment vertical="center"/>
    </x:xf>
    <x:xf numFmtId="0" fontId="6" fillId="3" borderId="6" xfId="0" applyNumberFormat="1" applyFont="1" applyFill="1" applyBorder="1" applyAlignment="1">
      <x:alignment vertical="center"/>
    </x:xf>
  </x:cellXfs>
  <x:cellStyles count="1">
    <x:cellStyle name="Normal" xfId="0"/>
  </x:cellStyles>
  <x:dxfs count="4">
    <x:dxf>
      <x:font>
        <x:b/>
        <x:color rgb="FFC44536"/>
      </x:font>
      <x:fill>
        <x:patternFill patternType="solid">
          <x:bgColor rgb="FFFCECE9"/>
        </x:patternFill>
      </x:fill>
    </x:dxf>
    <x:dxf>
      <x:font>
        <x:b/>
        <x:color rgb="FFC44536"/>
      </x:font>
      <x:fill>
        <x:patternFill patternType="solid">
          <x:bgColor rgb="FFFCECE9"/>
        </x:patternFill>
      </x:fill>
    </x:dxf>
    <x:dxf>
      <x:font>
        <x:b/>
        <x:color rgb="FF2E7D5B"/>
      </x:font>
      <x:fill>
        <x:patternFill patternType="solid">
          <x:bgColor rgb="FFE6F4EA"/>
        </x:patternFill>
      </x:fill>
    </x:dxf>
    <x:dxf>
      <x:font>
        <x:b/>
        <x:color rgb="FFC44536"/>
      </x:font>
      <x:fill>
        <x:patternFill patternType="solid">
          <x:bgColor rgb="FFFCEC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59c2bee019d431b" /><Relationship Type="http://schemas.openxmlformats.org/officeDocument/2006/relationships/theme" Target="/xl/theme/theme1.xml" Id="R36cd89820b334e89" /><Relationship Type="http://schemas.openxmlformats.org/officeDocument/2006/relationships/sharedStrings" Target="/xl/sharedStrings.xml" Id="Re49243c2f6954c9c" /><Relationship Type="http://schemas.openxmlformats.org/officeDocument/2006/relationships/worksheet" Target="/xl/worksheets/sheet1.xml" Id="R213d4dd28a3d46fa" /><Relationship Type="http://schemas.openxmlformats.org/officeDocument/2006/relationships/worksheet" Target="/xl/worksheets/sheet2.xml" Id="R2f65c4871afa46e5" /><Relationship Type="http://schemas.openxmlformats.org/officeDocument/2006/relationships/worksheet" Target="/xl/worksheets/sheet3.xml" Id="R3cb1012366aa404c" /><Relationship Type="http://schemas.openxmlformats.org/officeDocument/2006/relationships/worksheet" Target="/xl/worksheets/sheet4.xml" Id="R402dc6449c954824" /><Relationship Type="http://schemas.openxmlformats.org/officeDocument/2006/relationships/worksheet" Target="/xl/worksheets/sheet5.xml" Id="Rcc401c2b7d86472a" /><Relationship Type="http://schemas.openxmlformats.org/officeDocument/2006/relationships/worksheet" Target="/xl/worksheets/sheet6.xml" Id="Rd1bb18f06295448a" /></Relationships>
</file>

<file path=xl/drawings/_rels/drawing1.xml.rels>&#65279;<?xml version="1.0" encoding="utf-8"?><Relationships xmlns="http://schemas.openxmlformats.org/package/2006/relationships"><Relationship Type="http://schemas.openxmlformats.org/officeDocument/2006/relationships/chart" Target="/xl/drawings/charts/chart1.xml" Id="Rf5907e2bae3a4c4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Outstanding AR by aging bucket ($)</a:t>
            </a:r>
          </a:p>
        </c:rich>
      </c:tx>
      <c:overlay val="0"/>
    </c:title>
    <c:plotArea>
      <c:barChart>
        <c:barDir val="col"/>
        <c:varyColors val="0"/>
        <c:ser>
          <c:idx val="0"/>
          <c:order val="0"/>
          <c:tx>
            <c:v>Balance</c:v>
          </c:tx>
          <c:cat>
            <c:strRef>
              <c:f>'Dashboard'!$A$10:$A$14</c:f>
              <c:strCache>
                <c:ptCount val="0"/>
              </c:strCache>
            </c:strRef>
          </c:cat>
          <c:val>
            <c:numRef>
              <c:f>'Dashboard'!$B$10:$B$14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6</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5907e2bae3a4c48"/>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248bd88953c49f9"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7" hidden="0" customWidth="1"/>
    <x:col min="3" max="3" width="17"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34" customHeight="1">
      <x:c r="A1" s="3" t="str">
        <x:v>Freelancer Invoice &amp; Payment Tracker</x:v>
      </x:c>
      <x:c r="B1" s="3"/>
      <x:c r="C1" s="3"/>
      <x:c r="D1" s="3"/>
      <x:c r="E1" s="3"/>
      <x:c r="F1" s="3"/>
      <x:c r="G1" s="3"/>
      <x:c r="H1" s="3"/>
      <x:c r="I1" s="3"/>
      <x:c r="J1" s="3"/>
      <x:c r="K1" s="3"/>
      <x:c r="L1" s="3"/>
    </x:row>
    <x:row r="2" ht="22" customHeight="1">
      <x:c r="A2" s="139" t="str">
        <x:v>Accounts receivable dashboard | Reporting date: 2026-08-08 | USD</x:v>
      </x:c>
      <x:c r="B2" s="139"/>
      <x:c r="C2" s="139"/>
      <x:c r="D2" s="139"/>
      <x:c r="E2" s="139"/>
      <x:c r="F2" s="139"/>
      <x:c r="G2" s="139"/>
      <x:c r="H2" s="139"/>
      <x:c r="I2" s="139"/>
      <x:c r="J2" s="139"/>
      <x:c r="K2" s="139"/>
      <x:c r="L2" s="139"/>
    </x:row>
    <x:row r="3" ht="22" customHeight="1">
      <x:c r="A3" s="140"/>
      <x:c r="B3" s="140"/>
      <x:c r="C3" s="140"/>
      <x:c r="D3" s="140"/>
      <x:c r="E3" s="140"/>
      <x:c r="F3" s="140"/>
      <x:c r="G3" s="140"/>
      <x:c r="H3" s="140"/>
      <x:c r="I3" s="140"/>
      <x:c r="J3" s="140"/>
      <x:c r="K3" s="140"/>
      <x:c r="L3" s="140"/>
    </x:row>
    <x:row r="4" ht="22" customHeight="1">
      <x:c r="A4" s="141" t="str">
        <x:v>INVOICED</x:v>
      </x:c>
      <x:c r="B4" s="142" t="str"/>
      <x:c r="C4" s="141" t="str">
        <x:v>COLLECTED</x:v>
      </x:c>
      <x:c r="D4" s="142" t="str"/>
      <x:c r="E4" s="141" t="str">
        <x:v>OUTSTANDING</x:v>
      </x:c>
      <x:c r="F4" s="142" t="str"/>
      <x:c r="G4" s="143" t="str">
        <x:v>OVERDUE</x:v>
      </x:c>
      <x:c r="H4" s="144" t="str"/>
      <x:c r="I4" s="141" t="str">
        <x:v>COLLECTION RATE</x:v>
      </x:c>
      <x:c r="J4" s="142" t="str"/>
      <x:c r="K4" s="141" t="str">
        <x:v>OPEN INVOICES</x:v>
      </x:c>
      <x:c r="L4" s="142" t="str"/>
    </x:row>
    <x:row r="5" ht="22" customHeight="1">
      <x:c r="A5" s="145" t="n">
        <x:f>SUM('Invoice Register'!$J$5:$J$184)</x:f>
        <x:v>303327.7000000002</x:v>
      </x:c>
      <x:c r="B5" s="146"/>
      <x:c r="C5" s="145" t="n">
        <x:f>SUM('Invoice Register'!$M$5:$M$184)</x:f>
        <x:v>228210.05000000002</x:v>
      </x:c>
      <x:c r="D5" s="146"/>
      <x:c r="E5" s="145" t="n">
        <x:f>SUM('Invoice Register'!$N$5:$N$184)</x:f>
        <x:v>75117.65</x:v>
      </x:c>
      <x:c r="F5" s="146"/>
      <x:c r="G5" s="147" t="n">
        <x:f>SUMIFS('Invoice Register'!$N$5:$N$184,'Invoice Register'!$O$5:$O$184,"&gt;0")</x:f>
        <x:v>72277.35</x:v>
      </x:c>
      <x:c r="H5" s="148"/>
      <x:c r="I5" s="149" t="n">
        <x:f>C5/A5</x:f>
        <x:v>0.7523547964791869</x:v>
      </x:c>
      <x:c r="J5" s="150"/>
      <x:c r="K5" s="151" t="n">
        <x:f>COUNTIF('Invoice Register'!$N$5:$N$184,"&gt;0")</x:f>
        <x:v>56</x:v>
      </x:c>
      <x:c r="L5" s="152"/>
    </x:row>
    <x:row r="6" ht="22" customHeight="1">
      <x:c r="A6" s="153"/>
      <x:c r="B6" s="154"/>
      <x:c r="C6" s="153"/>
      <x:c r="D6" s="154"/>
      <x:c r="E6" s="153"/>
      <x:c r="F6" s="154"/>
      <x:c r="G6" s="155"/>
      <x:c r="H6" s="156"/>
      <x:c r="I6" s="157"/>
      <x:c r="J6" s="158"/>
      <x:c r="K6" s="159"/>
      <x:c r="L6" s="160"/>
    </x:row>
    <x:row r="7" ht="22" customHeight="1">
      <x:c r="A7" s="140"/>
      <x:c r="B7" s="140"/>
      <x:c r="C7" s="140"/>
      <x:c r="D7" s="140"/>
      <x:c r="E7" s="140"/>
      <x:c r="F7" s="140"/>
      <x:c r="G7" s="140"/>
      <x:c r="H7" s="140"/>
      <x:c r="I7" s="140"/>
      <x:c r="J7" s="140"/>
      <x:c r="K7" s="140"/>
      <x:c r="L7" s="140"/>
    </x:row>
    <x:row r="8" ht="22" customHeight="1">
      <x:c r="A8" s="161" t="str">
        <x:v>Outstanding balance by aging bucket</x:v>
      </x:c>
      <x:c r="B8" s="161"/>
      <x:c r="C8" s="161"/>
      <x:c r="D8" s="161"/>
      <x:c r="E8" s="161"/>
      <x:c r="F8" s="161"/>
      <x:c r="G8" s="140"/>
      <x:c r="H8" s="161" t="str">
        <x:v>Collection priorities</x:v>
      </x:c>
      <x:c r="I8" s="161"/>
      <x:c r="J8" s="161"/>
      <x:c r="K8" s="161"/>
      <x:c r="L8" s="161"/>
    </x:row>
    <x:row r="9" ht="22" customHeight="1">
      <x:c r="A9" s="162" t="str">
        <x:v>Bucket</x:v>
      </x:c>
      <x:c r="B9" s="163" t="str">
        <x:v>Balance</x:v>
      </x:c>
      <x:c r="C9" s="140"/>
      <x:c r="D9" s="140"/>
      <x:c r="E9" s="140"/>
      <x:c r="F9" s="140"/>
      <x:c r="G9" s="140"/>
      <x:c r="H9" s="162" t="str">
        <x:v>Priority</x:v>
      </x:c>
      <x:c r="I9" s="164" t="str">
        <x:v>Rule</x:v>
      </x:c>
      <x:c r="J9" s="164" t="str">
        <x:v>Action</x:v>
      </x:c>
      <x:c r="K9" s="164" t="str"/>
      <x:c r="L9" s="163" t="str"/>
    </x:row>
    <x:row r="10" ht="22" customHeight="1">
      <x:c r="A10" s="165" t="str">
        <x:v>Current</x:v>
      </x:c>
      <x:c r="B10" s="166" t="n">
        <x:f>SUMIF('Invoice Register'!$Q$5:$Q$184,A10,'Invoice Register'!$N$5:$N$184)</x:f>
        <x:v>2840.3</x:v>
      </x:c>
      <x:c r="C10" s="140"/>
      <x:c r="D10" s="140"/>
      <x:c r="E10" s="140"/>
      <x:c r="F10" s="140"/>
      <x:c r="G10" s="140"/>
      <x:c r="H10" s="165" t="str">
        <x:v>Critical</x:v>
      </x:c>
      <x:c r="I10" s="167" t="str">
        <x:v>90+ days / $5k+</x:v>
      </x:c>
      <x:c r="J10" s="167" t="str">
        <x:v>Call + escalation</x:v>
      </x:c>
      <x:c r="K10" s="167" t="str"/>
      <x:c r="L10" s="168" t="str"/>
    </x:row>
    <x:row r="11" ht="22" customHeight="1">
      <x:c r="A11" s="165" t="str">
        <x:v>1-30 days</x:v>
      </x:c>
      <x:c r="B11" s="166" t="n">
        <x:f>SUMIF('Invoice Register'!$Q$5:$Q$184,A11,'Invoice Register'!$N$5:$N$184)</x:f>
        <x:v>4170.48</x:v>
      </x:c>
      <x:c r="C11" s="140"/>
      <x:c r="D11" s="140"/>
      <x:c r="E11" s="140"/>
      <x:c r="F11" s="140"/>
      <x:c r="G11" s="140"/>
      <x:c r="H11" s="165" t="str">
        <x:v>High</x:v>
      </x:c>
      <x:c r="I11" s="167" t="str">
        <x:v>31-90 days</x:v>
      </x:c>
      <x:c r="J11" s="167" t="str">
        <x:v>Personal follow-up</x:v>
      </x:c>
      <x:c r="K11" s="167" t="str"/>
      <x:c r="L11" s="168" t="str"/>
    </x:row>
    <x:row r="12" ht="22" customHeight="1">
      <x:c r="A12" s="165" t="str">
        <x:v>31-60 days</x:v>
      </x:c>
      <x:c r="B12" s="166" t="n">
        <x:f>SUMIF('Invoice Register'!$Q$5:$Q$184,A12,'Invoice Register'!$N$5:$N$184)</x:f>
        <x:v>11950.76</x:v>
      </x:c>
      <x:c r="C12" s="140"/>
      <x:c r="D12" s="140"/>
      <x:c r="E12" s="140"/>
      <x:c r="F12" s="140"/>
      <x:c r="G12" s="140"/>
      <x:c r="H12" s="165" t="str">
        <x:v>Medium</x:v>
      </x:c>
      <x:c r="I12" s="167" t="str">
        <x:v>1-30 days</x:v>
      </x:c>
      <x:c r="J12" s="167" t="str">
        <x:v>Email reminder</x:v>
      </x:c>
      <x:c r="K12" s="167" t="str"/>
      <x:c r="L12" s="168" t="str"/>
    </x:row>
    <x:row r="13" ht="22" customHeight="1">
      <x:c r="A13" s="165" t="str">
        <x:v>61-90 days</x:v>
      </x:c>
      <x:c r="B13" s="166" t="n">
        <x:f>SUMIF('Invoice Register'!$Q$5:$Q$184,A13,'Invoice Register'!$N$5:$N$184)</x:f>
        <x:v>2834.14</x:v>
      </x:c>
      <x:c r="C13" s="140"/>
      <x:c r="D13" s="140"/>
      <x:c r="E13" s="140"/>
      <x:c r="F13" s="140"/>
      <x:c r="G13" s="140"/>
      <x:c r="H13" s="165" t="str">
        <x:v>Routine</x:v>
      </x:c>
      <x:c r="I13" s="167" t="str">
        <x:v>Current</x:v>
      </x:c>
      <x:c r="J13" s="167" t="str">
        <x:v>Monitor due date</x:v>
      </x:c>
      <x:c r="K13" s="167" t="str"/>
      <x:c r="L13" s="168" t="str"/>
    </x:row>
    <x:row r="14" ht="22" customHeight="1">
      <x:c r="A14" s="169" t="str">
        <x:v>90+ days</x:v>
      </x:c>
      <x:c r="B14" s="170" t="n">
        <x:f>SUMIF('Invoice Register'!$Q$5:$Q$184,A14,'Invoice Register'!$N$5:$N$184)</x:f>
        <x:v>53321.97000000001</x:v>
      </x:c>
      <x:c r="C14" s="140"/>
      <x:c r="D14" s="140"/>
      <x:c r="E14" s="140"/>
      <x:c r="F14" s="140"/>
      <x:c r="G14" s="140"/>
      <x:c r="H14" s="169" t="str">
        <x:v>Closed</x:v>
      </x:c>
      <x:c r="I14" s="171" t="str">
        <x:v>Paid</x:v>
      </x:c>
      <x:c r="J14" s="171" t="str">
        <x:v>No action</x:v>
      </x:c>
      <x:c r="K14" s="171" t="str"/>
      <x:c r="L14" s="172" t="str"/>
    </x:row>
    <x:row r="15" ht="22" customHeight="1">
      <x:c r="A15" s="140"/>
      <x:c r="B15" s="140"/>
      <x:c r="C15" s="140"/>
      <x:c r="D15" s="140"/>
      <x:c r="E15" s="140"/>
      <x:c r="F15" s="140"/>
      <x:c r="G15" s="140"/>
      <x:c r="H15" s="140"/>
      <x:c r="I15" s="140"/>
      <x:c r="J15" s="140"/>
      <x:c r="K15" s="140"/>
      <x:c r="L15" s="140"/>
    </x:row>
    <x:row r="16" ht="22" customHeight="1">
      <x:c r="A16" s="140"/>
      <x:c r="B16" s="140"/>
      <x:c r="C16" s="140"/>
      <x:c r="D16" s="140"/>
      <x:c r="E16" s="140"/>
      <x:c r="F16" s="140"/>
      <x:c r="G16" s="140"/>
      <x:c r="H16" s="140"/>
      <x:c r="I16" s="140"/>
      <x:c r="J16" s="140"/>
      <x:c r="K16" s="140"/>
      <x:c r="L16" s="140"/>
    </x:row>
    <x:row r="17" ht="22" customHeight="1">
      <x:c r="A17" s="161" t="str">
        <x:v>Top overdue clients</x:v>
      </x:c>
      <x:c r="B17" s="161"/>
      <x:c r="C17" s="161"/>
      <x:c r="D17" s="161"/>
      <x:c r="E17" s="161"/>
      <x:c r="F17" s="161"/>
      <x:c r="G17" s="140"/>
      <x:c r="H17" s="161" t="str">
        <x:v>Operating notes</x:v>
      </x:c>
      <x:c r="I17" s="161"/>
      <x:c r="J17" s="161"/>
      <x:c r="K17" s="161"/>
      <x:c r="L17" s="161"/>
    </x:row>
    <x:row r="18" ht="22" customHeight="1">
      <x:c r="A18" s="162" t="str">
        <x:v>Client</x:v>
      </x:c>
      <x:c r="B18" s="164" t="str">
        <x:v>Overdue balance</x:v>
      </x:c>
      <x:c r="C18" s="163" t="str">
        <x:v>Oldest days</x:v>
      </x:c>
      <x:c r="D18" s="140"/>
      <x:c r="E18" s="140"/>
      <x:c r="F18" s="140"/>
      <x:c r="G18" s="140"/>
      <x:c r="H18" s="173" t="str">
        <x:v>1. Enter new invoices in Invoice Register.
2. Record receipts in Payment Log using the Invoice ID.
3. Review Collection Queue by priority.
4. Dashboard formulas update balances and aging.
5. Reporting date is fixed at 2026-08-08 for reproducibility.</x:v>
      </x:c>
      <x:c r="I18" s="173"/>
      <x:c r="J18" s="173"/>
      <x:c r="K18" s="173"/>
      <x:c r="L18" s="173"/>
    </x:row>
    <x:row r="19" ht="22" customHeight="1">
      <x:c r="A19" s="165" t="str">
        <x:v>Harbor Legal Partners</x:v>
      </x:c>
      <x:c r="B19" s="174" t="n">
        <x:f>SUMIFS('Invoice Register'!$N$5:$N$184,'Invoice Register'!$C$5:$C$184,A19,'Invoice Register'!$O$5:$O$184,"&gt;0")</x:f>
        <x:v>10415.55</x:v>
      </x:c>
      <x:c r="C19" s="168" t="n">
        <x:v>285</x:v>
      </x:c>
      <x:c r="D19" s="140"/>
      <x:c r="E19" s="140"/>
      <x:c r="F19" s="140"/>
      <x:c r="G19" s="140"/>
      <x:c r="H19" s="173"/>
      <x:c r="I19" s="173"/>
      <x:c r="J19" s="173"/>
      <x:c r="K19" s="173"/>
      <x:c r="L19" s="173"/>
    </x:row>
    <x:row r="20" ht="22" customHeight="1">
      <x:c r="A20" s="165" t="str">
        <x:v>Atlas Property Group</x:v>
      </x:c>
      <x:c r="B20" s="174" t="n">
        <x:f>SUMIFS('Invoice Register'!$N$5:$N$184,'Invoice Register'!$C$5:$C$184,A20,'Invoice Register'!$O$5:$O$184,"&gt;0")</x:f>
        <x:v>9862.27</x:v>
      </x:c>
      <x:c r="C20" s="168" t="n">
        <x:v>316</x:v>
      </x:c>
      <x:c r="D20" s="140"/>
      <x:c r="E20" s="140"/>
      <x:c r="F20" s="140"/>
      <x:c r="G20" s="140"/>
      <x:c r="H20" s="173"/>
      <x:c r="I20" s="173"/>
      <x:c r="J20" s="173"/>
      <x:c r="K20" s="173"/>
      <x:c r="L20" s="173"/>
    </x:row>
    <x:row r="21" ht="22" customHeight="1">
      <x:c r="A21" s="165" t="str">
        <x:v>Bluebird Media</x:v>
      </x:c>
      <x:c r="B21" s="174" t="n">
        <x:f>SUMIFS('Invoice Register'!$N$5:$N$184,'Invoice Register'!$C$5:$C$184,A21,'Invoice Register'!$O$5:$O$184,"&gt;0")</x:f>
        <x:v>9700.279999999999</x:v>
      </x:c>
      <x:c r="C21" s="168" t="n">
        <x:v>326</x:v>
      </x:c>
      <x:c r="D21" s="140"/>
      <x:c r="E21" s="140"/>
      <x:c r="F21" s="140"/>
      <x:c r="G21" s="140"/>
      <x:c r="H21" s="173"/>
      <x:c r="I21" s="173"/>
      <x:c r="J21" s="173"/>
      <x:c r="K21" s="173"/>
      <x:c r="L21" s="173"/>
    </x:row>
    <x:row r="22" ht="22" customHeight="1">
      <x:c r="A22" s="165" t="str">
        <x:v>BrightPath Learning</x:v>
      </x:c>
      <x:c r="B22" s="174" t="n">
        <x:f>SUMIFS('Invoice Register'!$N$5:$N$184,'Invoice Register'!$C$5:$C$184,A22,'Invoice Register'!$O$5:$O$184,"&gt;0")</x:f>
        <x:v>9069</x:v>
      </x:c>
      <x:c r="C22" s="168" t="n">
        <x:v>296</x:v>
      </x:c>
      <x:c r="D22" s="140"/>
      <x:c r="E22" s="140"/>
      <x:c r="F22" s="140"/>
      <x:c r="G22" s="140"/>
      <x:c r="H22" s="173"/>
      <x:c r="I22" s="173"/>
      <x:c r="J22" s="173"/>
      <x:c r="K22" s="173"/>
      <x:c r="L22" s="173"/>
    </x:row>
    <x:row r="23" ht="22" customHeight="1">
      <x:c r="A23" s="169" t="str">
        <x:v>Orbit SaaS Labs</x:v>
      </x:c>
      <x:c r="B23" s="175" t="n">
        <x:f>SUMIFS('Invoice Register'!$N$5:$N$184,'Invoice Register'!$C$5:$C$184,A23,'Invoice Register'!$O$5:$O$184,"&gt;0")</x:f>
        <x:v>8515.08</x:v>
      </x:c>
      <x:c r="C23" s="172" t="n">
        <x:v>275</x:v>
      </x:c>
      <x:c r="D23" s="140"/>
      <x:c r="E23" s="140"/>
      <x:c r="F23" s="140"/>
      <x:c r="G23" s="140"/>
      <x:c r="H23" s="173"/>
      <x:c r="I23" s="173"/>
      <x:c r="J23" s="173"/>
      <x:c r="K23" s="173"/>
      <x:c r="L23" s="173"/>
    </x:row>
  </x:sheetData>
  <x:mergeCells>
    <x:mergeCell ref="A1:L1"/>
    <x:mergeCell ref="A2:L2"/>
    <x:mergeCell ref="A5:B6"/>
    <x:mergeCell ref="C5:D6"/>
    <x:mergeCell ref="E5:F6"/>
    <x:mergeCell ref="G5:H6"/>
    <x:mergeCell ref="I5:J6"/>
    <x:mergeCell ref="K5:L6"/>
    <x:mergeCell ref="A8:F8"/>
    <x:mergeCell ref="H8:L8"/>
    <x:mergeCell ref="A17:F17"/>
    <x:mergeCell ref="H17:L17"/>
    <x:mergeCell ref="H18:L23"/>
  </x:mergeCells>
  <x:pageMargins left="0.7" right="0.7" top="0.75" bottom="0.75" header="0.3" footer="0.3"/>
  <x:drawing xmlns:r="http://schemas.openxmlformats.org/officeDocument/2006/relationships" r:id="R0248bd88953c49f9"/>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1" hidden="0" customWidth="1"/>
    <x:col min="3" max="3" width="24" hidden="0" customWidth="1"/>
    <x:col min="4" max="4" width="20" hidden="0" customWidth="1"/>
    <x:col min="5" max="5" width="13" hidden="0" customWidth="1"/>
    <x:col min="6" max="6" width="13" hidden="0" customWidth="1"/>
    <x:col min="7" max="7" width="14" hidden="0" customWidth="1"/>
    <x:col min="8" max="8" width="10" hidden="0" customWidth="1"/>
    <x:col min="9" max="9" width="12" hidden="0" customWidth="1"/>
    <x:col min="10" max="10" width="14" hidden="0" customWidth="1"/>
    <x:col min="11" max="11" width="18" hidden="0" customWidth="1"/>
    <x:col min="12" max="12" width="27" hidden="0" customWidth="1"/>
    <x:col min="13" max="13" width="14" hidden="0" customWidth="1"/>
    <x:col min="14" max="14" width="14" hidden="0" customWidth="1"/>
    <x:col min="15" max="15" width="12" hidden="0" customWidth="1"/>
    <x:col min="16" max="16" width="24" hidden="0" customWidth="1"/>
    <x:col min="17" max="17" width="14" hidden="0" customWidth="1"/>
  </x:cols>
  <x:sheetData>
    <x:row r="1" ht="25" customHeight="1">
      <x:c r="A1" s="3" t="str">
        <x:v>Invoice Register</x:v>
      </x:c>
      <x:c r="B1" s="3"/>
      <x:c r="C1" s="3"/>
      <x:c r="D1" s="3"/>
      <x:c r="E1" s="3"/>
      <x:c r="F1" s="3"/>
      <x:c r="G1" s="3"/>
      <x:c r="H1" s="3"/>
      <x:c r="I1" s="3"/>
      <x:c r="J1" s="3"/>
      <x:c r="K1" s="3"/>
      <x:c r="L1" s="3"/>
      <x:c r="M1" s="3"/>
      <x:c r="N1" s="3"/>
      <x:c r="O1" s="3"/>
      <x:c r="P1" s="3"/>
      <x:c r="Q1" s="3"/>
    </x:row>
    <x:row r="2" ht="25" customHeight="1">
      <x:c r="A2" s="139" t="str">
        <x:v>Editable source fields in A:L | Calculated collection fields in M:Q</x:v>
      </x:c>
      <x:c r="B2" s="139"/>
      <x:c r="C2" s="139"/>
      <x:c r="D2" s="139"/>
      <x:c r="E2" s="139"/>
      <x:c r="F2" s="139"/>
      <x:c r="G2" s="139"/>
      <x:c r="H2" s="139"/>
      <x:c r="I2" s="139"/>
      <x:c r="J2" s="139"/>
      <x:c r="K2" s="139"/>
      <x:c r="L2" s="139"/>
      <x:c r="M2" s="140"/>
      <x:c r="N2" s="140"/>
      <x:c r="O2" s="140"/>
      <x:c r="P2" s="140"/>
      <x:c r="Q2" s="140"/>
    </x:row>
    <x:row r="3">
      <x:c r="A3" s="140"/>
      <x:c r="B3" s="140"/>
      <x:c r="C3" s="140"/>
      <x:c r="D3" s="140"/>
      <x:c r="E3" s="140"/>
      <x:c r="F3" s="140"/>
      <x:c r="G3" s="140"/>
      <x:c r="H3" s="140"/>
      <x:c r="I3" s="140"/>
      <x:c r="J3" s="140"/>
      <x:c r="K3" s="140"/>
      <x:c r="L3" s="140"/>
      <x:c r="M3" s="140"/>
      <x:c r="N3" s="140"/>
      <x:c r="O3" s="140"/>
      <x:c r="P3" s="140"/>
      <x:c r="Q3" s="140"/>
    </x:row>
    <x:row r="4">
      <x:c r="A4" s="176" t="str">
        <x:v>Invoice ID</x:v>
      </x:c>
      <x:c r="B4" s="177" t="str">
        <x:v>Client ID</x:v>
      </x:c>
      <x:c r="C4" s="177" t="str">
        <x:v>Client Name</x:v>
      </x:c>
      <x:c r="D4" s="177" t="str">
        <x:v>Service</x:v>
      </x:c>
      <x:c r="E4" s="177" t="str">
        <x:v>Issue Date</x:v>
      </x:c>
      <x:c r="F4" s="177" t="str">
        <x:v>Due Date</x:v>
      </x:c>
      <x:c r="G4" s="177" t="str">
        <x:v>Subtotal</x:v>
      </x:c>
      <x:c r="H4" s="177" t="str">
        <x:v>Tax Rate</x:v>
      </x:c>
      <x:c r="I4" s="177" t="str">
        <x:v>Tax</x:v>
      </x:c>
      <x:c r="J4" s="177" t="str">
        <x:v>Invoice Total</x:v>
      </x:c>
      <x:c r="K4" s="177" t="str">
        <x:v>Contact</x:v>
      </x:c>
      <x:c r="L4" s="177" t="str">
        <x:v>Email</x:v>
      </x:c>
      <x:c r="M4" s="177" t="str">
        <x:v>Amount Paid</x:v>
      </x:c>
      <x:c r="N4" s="177" t="str">
        <x:v>Balance</x:v>
      </x:c>
      <x:c r="O4" s="177" t="str">
        <x:v>Days Overdue</x:v>
      </x:c>
      <x:c r="P4" s="177" t="str">
        <x:v>Status</x:v>
      </x:c>
      <x:c r="Q4" s="178" t="str">
        <x:v>Aging Bucket</x:v>
      </x:c>
    </x:row>
    <x:row r="5">
      <x:c r="A5" s="179" t="str">
        <x:v>INV-0001</x:v>
      </x:c>
      <x:c r="B5" s="180" t="str">
        <x:v>C001</x:v>
      </x:c>
      <x:c r="C5" s="180" t="str">
        <x:v>Northstar Creative</x:v>
      </x:c>
      <x:c r="D5" s="180" t="str">
        <x:v>Dashboard build</x:v>
      </x:c>
      <x:c r="E5" s="181" t="n">
        <x:v>45873</x:v>
      </x:c>
      <x:c r="F5" s="181" t="n">
        <x:v>45903</x:v>
      </x:c>
      <x:c r="G5" s="182" t="n">
        <x:v>1925.87</x:v>
      </x:c>
      <x:c r="H5" s="183" t="n">
        <x:v>0.1</x:v>
      </x:c>
      <x:c r="I5" s="182" t="n">
        <x:v>192.59</x:v>
      </x:c>
      <x:c r="J5" s="182" t="n">
        <x:v>2118.46</x:v>
      </x:c>
      <x:c r="K5" s="182" t="str">
        <x:v>Maya Chen</x:v>
      </x:c>
      <x:c r="L5" s="182" t="str">
        <x:v>maya@northstar.example</x:v>
      </x:c>
      <x:c r="M5" s="184" t="n">
        <x:f>ROUND(SUMIF('Payment Log'!$B$5:$B$173,A5,'Payment Log'!$D$5:$D$173),2)</x:f>
        <x:v>2118.46</x:v>
      </x:c>
      <x:c r="N5" s="184" t="n">
        <x:f>ROUND(MAX(0,J5-M5),2)</x:f>
        <x:v>0</x:v>
      </x:c>
      <x:c r="O5" s="185" t="n">
        <x:f>IF(N5=0,0,MAX(0,'Checks'!$B$3-F5))</x:f>
        <x:v>0</x:v>
      </x:c>
      <x:c r="P5" s="186" t="str">
        <x:f>IF(N5=0,"Paid",IF(O5&gt;0,IF(M5&gt;0,"Partially Paid - Overdue","Overdue"),IF(M5&gt;0,"Partially Paid","Open")))</x:f>
        <x:v>Paid</x:v>
      </x:c>
      <x:c r="Q5" s="187" t="str">
        <x:f>IF(N5=0,"Paid",IF(O5=0,"Current",IF(O5&lt;=30,"1-30 days",IF(O5&lt;=60,"31-60 days",IF(O5&lt;=90,"61-90 days","90+ days")))))</x:f>
        <x:v>Paid</x:v>
      </x:c>
    </x:row>
    <x:row r="6">
      <x:c r="A6" s="179" t="str">
        <x:v>INV-0002</x:v>
      </x:c>
      <x:c r="B6" s="180" t="str">
        <x:v>C002</x:v>
      </x:c>
      <x:c r="C6" s="180" t="str">
        <x:v>Lumen Health Studio</x:v>
      </x:c>
      <x:c r="D6" s="180" t="str">
        <x:v>Monthly reporting</x:v>
      </x:c>
      <x:c r="E6" s="181" t="n">
        <x:v>45875</x:v>
      </x:c>
      <x:c r="F6" s="181" t="n">
        <x:v>45890</x:v>
      </x:c>
      <x:c r="G6" s="182" t="n">
        <x:v>917.58</x:v>
      </x:c>
      <x:c r="H6" s="183" t="n">
        <x:v>0</x:v>
      </x:c>
      <x:c r="I6" s="182" t="n">
        <x:v>0</x:v>
      </x:c>
      <x:c r="J6" s="182" t="n">
        <x:v>917.58</x:v>
      </x:c>
      <x:c r="K6" s="182" t="str">
        <x:v>Elias Ward</x:v>
      </x:c>
      <x:c r="L6" s="182" t="str">
        <x:v>elias@lumen.example</x:v>
      </x:c>
      <x:c r="M6" s="184" t="n">
        <x:f>ROUND(SUMIF('Payment Log'!$B$5:$B$173,A6,'Payment Log'!$D$5:$D$173),2)</x:f>
        <x:v>700.44</x:v>
      </x:c>
      <x:c r="N6" s="184" t="n">
        <x:f>ROUND(MAX(0,J6-M6),2)</x:f>
        <x:v>217.14</x:v>
      </x:c>
      <x:c r="O6" s="185" t="n">
        <x:f>IF(N6=0,0,MAX(0,'Checks'!$B$3-F6))</x:f>
        <x:v>352</x:v>
      </x:c>
      <x:c r="P6" s="186" t="str">
        <x:f>IF(N6=0,"Paid",IF(O6&gt;0,IF(M6&gt;0,"Partially Paid - Overdue","Overdue"),IF(M6&gt;0,"Partially Paid","Open")))</x:f>
        <x:v>Partially Paid - Overdue</x:v>
      </x:c>
      <x:c r="Q6" s="187" t="str">
        <x:f>IF(N6=0,"Paid",IF(O6=0,"Current",IF(O6&lt;=30,"1-30 days",IF(O6&lt;=60,"31-60 days",IF(O6&lt;=90,"61-90 days","90+ days")))))</x:f>
        <x:v>90+ days</x:v>
      </x:c>
    </x:row>
    <x:row r="7">
      <x:c r="A7" s="179" t="str">
        <x:v>INV-0003</x:v>
      </x:c>
      <x:c r="B7" s="180" t="str">
        <x:v>C003</x:v>
      </x:c>
      <x:c r="C7" s="180" t="str">
        <x:v>Cedar &amp; Co. Retail</x:v>
      </x:c>
      <x:c r="D7" s="180" t="str">
        <x:v>Data cleanup</x:v>
      </x:c>
      <x:c r="E7" s="181" t="n">
        <x:v>45877</x:v>
      </x:c>
      <x:c r="F7" s="181" t="n">
        <x:v>45907</x:v>
      </x:c>
      <x:c r="G7" s="182" t="n">
        <x:v>705.59</x:v>
      </x:c>
      <x:c r="H7" s="183" t="n">
        <x:v>0</x:v>
      </x:c>
      <x:c r="I7" s="182" t="n">
        <x:v>0</x:v>
      </x:c>
      <x:c r="J7" s="182" t="n">
        <x:v>705.59</x:v>
      </x:c>
      <x:c r="K7" s="182" t="str">
        <x:v>Nora Patel</x:v>
      </x:c>
      <x:c r="L7" s="182" t="str">
        <x:v>nora@cedar.example</x:v>
      </x:c>
      <x:c r="M7" s="184" t="n">
        <x:f>ROUND(SUMIF('Payment Log'!$B$5:$B$173,A7,'Payment Log'!$D$5:$D$173),2)</x:f>
        <x:v>705.59</x:v>
      </x:c>
      <x:c r="N7" s="184" t="n">
        <x:f>ROUND(MAX(0,J7-M7),2)</x:f>
        <x:v>0</x:v>
      </x:c>
      <x:c r="O7" s="185" t="n">
        <x:f>IF(N7=0,0,MAX(0,'Checks'!$B$3-F7))</x:f>
        <x:v>0</x:v>
      </x:c>
      <x:c r="P7" s="186" t="str">
        <x:f>IF(N7=0,"Paid",IF(O7&gt;0,IF(M7&gt;0,"Partially Paid - Overdue","Overdue"),IF(M7&gt;0,"Partially Paid","Open")))</x:f>
        <x:v>Paid</x:v>
      </x:c>
      <x:c r="Q7" s="187" t="str">
        <x:f>IF(N7=0,"Paid",IF(O7=0,"Current",IF(O7&lt;=30,"1-30 days",IF(O7&lt;=60,"31-60 days",IF(O7&lt;=90,"61-90 days","90+ days")))))</x:f>
        <x:v>Paid</x:v>
      </x:c>
    </x:row>
    <x:row r="8">
      <x:c r="A8" s="179" t="str">
        <x:v>INV-0004</x:v>
      </x:c>
      <x:c r="B8" s="180" t="str">
        <x:v>C004</x:v>
      </x:c>
      <x:c r="C8" s="180" t="str">
        <x:v>Harbor Legal Partners</x:v>
      </x:c>
      <x:c r="D8" s="180" t="str">
        <x:v>Automation setup</x:v>
      </x:c>
      <x:c r="E8" s="181" t="n">
        <x:v>45879</x:v>
      </x:c>
      <x:c r="F8" s="181" t="n">
        <x:v>45909</x:v>
      </x:c>
      <x:c r="G8" s="182" t="n">
        <x:v>731.38</x:v>
      </x:c>
      <x:c r="H8" s="183" t="n">
        <x:v>0</x:v>
      </x:c>
      <x:c r="I8" s="182" t="n">
        <x:v>0</x:v>
      </x:c>
      <x:c r="J8" s="182" t="n">
        <x:v>731.38</x:v>
      </x:c>
      <x:c r="K8" s="182" t="str">
        <x:v>Owen Brooks</x:v>
      </x:c>
      <x:c r="L8" s="182" t="str">
        <x:v>owen@harbor.example</x:v>
      </x:c>
      <x:c r="M8" s="184" t="n">
        <x:f>ROUND(SUMIF('Payment Log'!$B$5:$B$173,A8,'Payment Log'!$D$5:$D$173),2)</x:f>
        <x:v>731.38</x:v>
      </x:c>
      <x:c r="N8" s="184" t="n">
        <x:f>ROUND(MAX(0,J8-M8),2)</x:f>
        <x:v>0</x:v>
      </x:c>
      <x:c r="O8" s="185" t="n">
        <x:f>IF(N8=0,0,MAX(0,'Checks'!$B$3-F8))</x:f>
        <x:v>0</x:v>
      </x:c>
      <x:c r="P8" s="186" t="str">
        <x:f>IF(N8=0,"Paid",IF(O8&gt;0,IF(M8&gt;0,"Partially Paid - Overdue","Overdue"),IF(M8&gt;0,"Partially Paid","Open")))</x:f>
        <x:v>Paid</x:v>
      </x:c>
      <x:c r="Q8" s="187" t="str">
        <x:f>IF(N8=0,"Paid",IF(O8=0,"Current",IF(O8&lt;=30,"1-30 days",IF(O8&lt;=60,"31-60 days",IF(O8&lt;=90,"61-90 days","90+ days")))))</x:f>
        <x:v>Paid</x:v>
      </x:c>
    </x:row>
    <x:row r="9">
      <x:c r="A9" s="179" t="str">
        <x:v>INV-0005</x:v>
      </x:c>
      <x:c r="B9" s="180" t="str">
        <x:v>C005</x:v>
      </x:c>
      <x:c r="C9" s="180" t="str">
        <x:v>Atlas Property Group</x:v>
      </x:c>
      <x:c r="D9" s="180" t="str">
        <x:v>KPI analysis</x:v>
      </x:c>
      <x:c r="E9" s="181" t="n">
        <x:v>45881</x:v>
      </x:c>
      <x:c r="F9" s="181" t="n">
        <x:v>45902</x:v>
      </x:c>
      <x:c r="G9" s="182" t="n">
        <x:v>1023.76</x:v>
      </x:c>
      <x:c r="H9" s="183" t="n">
        <x:v>0</x:v>
      </x:c>
      <x:c r="I9" s="182" t="n">
        <x:v>0</x:v>
      </x:c>
      <x:c r="J9" s="182" t="n">
        <x:v>1023.76</x:v>
      </x:c>
      <x:c r="K9" s="182" t="str">
        <x:v>Sara Lin</x:v>
      </x:c>
      <x:c r="L9" s="182" t="str">
        <x:v>sara@atlas.example</x:v>
      </x:c>
      <x:c r="M9" s="184" t="n">
        <x:f>ROUND(SUMIF('Payment Log'!$B$5:$B$173,A9,'Payment Log'!$D$5:$D$173),2)</x:f>
        <x:v>1023.76</x:v>
      </x:c>
      <x:c r="N9" s="184" t="n">
        <x:f>ROUND(MAX(0,J9-M9),2)</x:f>
        <x:v>0</x:v>
      </x:c>
      <x:c r="O9" s="185" t="n">
        <x:f>IF(N9=0,0,MAX(0,'Checks'!$B$3-F9))</x:f>
        <x:v>0</x:v>
      </x:c>
      <x:c r="P9" s="186" t="str">
        <x:f>IF(N9=0,"Paid",IF(O9&gt;0,IF(M9&gt;0,"Partially Paid - Overdue","Overdue"),IF(M9&gt;0,"Partially Paid","Open")))</x:f>
        <x:v>Paid</x:v>
      </x:c>
      <x:c r="Q9" s="187" t="str">
        <x:f>IF(N9=0,"Paid",IF(O9=0,"Current",IF(O9&lt;=30,"1-30 days",IF(O9&lt;=60,"31-60 days",IF(O9&lt;=90,"61-90 days","90+ days")))))</x:f>
        <x:v>Paid</x:v>
      </x:c>
    </x:row>
    <x:row r="10">
      <x:c r="A10" s="179" t="str">
        <x:v>INV-0006</x:v>
      </x:c>
      <x:c r="B10" s="180" t="str">
        <x:v>C006</x:v>
      </x:c>
      <x:c r="C10" s="180" t="str">
        <x:v>BrightPath Learning</x:v>
      </x:c>
      <x:c r="D10" s="180" t="str">
        <x:v>Advisory retainer</x:v>
      </x:c>
      <x:c r="E10" s="181" t="n">
        <x:v>45883</x:v>
      </x:c>
      <x:c r="F10" s="181" t="n">
        <x:v>45898</x:v>
      </x:c>
      <x:c r="G10" s="182" t="n">
        <x:v>494.24</x:v>
      </x:c>
      <x:c r="H10" s="183" t="n">
        <x:v>0.1</x:v>
      </x:c>
      <x:c r="I10" s="182" t="n">
        <x:v>49.42</x:v>
      </x:c>
      <x:c r="J10" s="182" t="n">
        <x:v>543.66</x:v>
      </x:c>
      <x:c r="K10" s="182" t="str">
        <x:v>Lina Costa</x:v>
      </x:c>
      <x:c r="L10" s="182" t="str">
        <x:v>lina@brightpath.example</x:v>
      </x:c>
      <x:c r="M10" s="184" t="n">
        <x:f>ROUND(SUMIF('Payment Log'!$B$5:$B$173,A10,'Payment Log'!$D$5:$D$173),2)</x:f>
        <x:v>543.66</x:v>
      </x:c>
      <x:c r="N10" s="184" t="n">
        <x:f>ROUND(MAX(0,J10-M10),2)</x:f>
        <x:v>0</x:v>
      </x:c>
      <x:c r="O10" s="185" t="n">
        <x:f>IF(N10=0,0,MAX(0,'Checks'!$B$3-F10))</x:f>
        <x:v>0</x:v>
      </x:c>
      <x:c r="P10" s="186" t="str">
        <x:f>IF(N10=0,"Paid",IF(O10&gt;0,IF(M10&gt;0,"Partially Paid - Overdue","Overdue"),IF(M10&gt;0,"Partially Paid","Open")))</x:f>
        <x:v>Paid</x:v>
      </x:c>
      <x:c r="Q10" s="187" t="str">
        <x:f>IF(N10=0,"Paid",IF(O10=0,"Current",IF(O10&lt;=30,"1-30 days",IF(O10&lt;=60,"31-60 days",IF(O10&lt;=90,"61-90 days","90+ days")))))</x:f>
        <x:v>Paid</x:v>
      </x:c>
    </x:row>
    <x:row r="11">
      <x:c r="A11" s="179" t="str">
        <x:v>INV-0007</x:v>
      </x:c>
      <x:c r="B11" s="180" t="str">
        <x:v>C007</x:v>
      </x:c>
      <x:c r="C11" s="180" t="str">
        <x:v>PeakFit Clubs</x:v>
      </x:c>
      <x:c r="D11" s="180" t="str">
        <x:v>Dashboard build</x:v>
      </x:c>
      <x:c r="E11" s="181" t="n">
        <x:v>45885</x:v>
      </x:c>
      <x:c r="F11" s="181" t="n">
        <x:v>45915</x:v>
      </x:c>
      <x:c r="G11" s="182" t="n">
        <x:v>744.94</x:v>
      </x:c>
      <x:c r="H11" s="183" t="n">
        <x:v>0</x:v>
      </x:c>
      <x:c r="I11" s="182" t="n">
        <x:v>0</x:v>
      </x:c>
      <x:c r="J11" s="182" t="n">
        <x:v>744.94</x:v>
      </x:c>
      <x:c r="K11" s="182" t="str">
        <x:v>Noah Reed</x:v>
      </x:c>
      <x:c r="L11" s="182" t="str">
        <x:v>noah@peakfit.example</x:v>
      </x:c>
      <x:c r="M11" s="184" t="n">
        <x:f>ROUND(SUMIF('Payment Log'!$B$5:$B$173,A11,'Payment Log'!$D$5:$D$173),2)</x:f>
        <x:v>744.94</x:v>
      </x:c>
      <x:c r="N11" s="184" t="n">
        <x:f>ROUND(MAX(0,J11-M11),2)</x:f>
        <x:v>0</x:v>
      </x:c>
      <x:c r="O11" s="185" t="n">
        <x:f>IF(N11=0,0,MAX(0,'Checks'!$B$3-F11))</x:f>
        <x:v>0</x:v>
      </x:c>
      <x:c r="P11" s="186" t="str">
        <x:f>IF(N11=0,"Paid",IF(O11&gt;0,IF(M11&gt;0,"Partially Paid - Overdue","Overdue"),IF(M11&gt;0,"Partially Paid","Open")))</x:f>
        <x:v>Paid</x:v>
      </x:c>
      <x:c r="Q11" s="187" t="str">
        <x:f>IF(N11=0,"Paid",IF(O11=0,"Current",IF(O11&lt;=30,"1-30 days",IF(O11&lt;=60,"31-60 days",IF(O11&lt;=90,"61-90 days","90+ days")))))</x:f>
        <x:v>Paid</x:v>
      </x:c>
    </x:row>
    <x:row r="12">
      <x:c r="A12" s="179" t="str">
        <x:v>INV-0008</x:v>
      </x:c>
      <x:c r="B12" s="180" t="str">
        <x:v>C008</x:v>
      </x:c>
      <x:c r="C12" s="180" t="str">
        <x:v>GreenFork Catering</x:v>
      </x:c>
      <x:c r="D12" s="180" t="str">
        <x:v>Monthly reporting</x:v>
      </x:c>
      <x:c r="E12" s="181" t="n">
        <x:v>45887</x:v>
      </x:c>
      <x:c r="F12" s="181" t="n">
        <x:v>45901</x:v>
      </x:c>
      <x:c r="G12" s="182" t="n">
        <x:v>1418.77</x:v>
      </x:c>
      <x:c r="H12" s="183" t="n">
        <x:v>0</x:v>
      </x:c>
      <x:c r="I12" s="182" t="n">
        <x:v>0</x:v>
      </x:c>
      <x:c r="J12" s="182" t="n">
        <x:v>1418.77</x:v>
      </x:c>
      <x:c r="K12" s="182" t="str">
        <x:v>Ava Stone</x:v>
      </x:c>
      <x:c r="L12" s="182" t="str">
        <x:v>ava@greenfork.example</x:v>
      </x:c>
      <x:c r="M12" s="184" t="n">
        <x:f>ROUND(SUMIF('Payment Log'!$B$5:$B$173,A12,'Payment Log'!$D$5:$D$173),2)</x:f>
        <x:v>1418.77</x:v>
      </x:c>
      <x:c r="N12" s="184" t="n">
        <x:f>ROUND(MAX(0,J12-M12),2)</x:f>
        <x:v>0</x:v>
      </x:c>
      <x:c r="O12" s="185" t="n">
        <x:f>IF(N12=0,0,MAX(0,'Checks'!$B$3-F12))</x:f>
        <x:v>0</x:v>
      </x:c>
      <x:c r="P12" s="186" t="str">
        <x:f>IF(N12=0,"Paid",IF(O12&gt;0,IF(M12&gt;0,"Partially Paid - Overdue","Overdue"),IF(M12&gt;0,"Partially Paid","Open")))</x:f>
        <x:v>Paid</x:v>
      </x:c>
      <x:c r="Q12" s="187" t="str">
        <x:f>IF(N12=0,"Paid",IF(O12=0,"Current",IF(O12&lt;=30,"1-30 days",IF(O12&lt;=60,"31-60 days",IF(O12&lt;=90,"61-90 days","90+ days")))))</x:f>
        <x:v>Paid</x:v>
      </x:c>
    </x:row>
    <x:row r="13">
      <x:c r="A13" s="179" t="str">
        <x:v>INV-0009</x:v>
      </x:c>
      <x:c r="B13" s="180" t="str">
        <x:v>C009</x:v>
      </x:c>
      <x:c r="C13" s="180" t="str">
        <x:v>Orbit SaaS Labs</x:v>
      </x:c>
      <x:c r="D13" s="180" t="str">
        <x:v>Data cleanup</x:v>
      </x:c>
      <x:c r="E13" s="181" t="n">
        <x:v>45889</x:v>
      </x:c>
      <x:c r="F13" s="181" t="n">
        <x:v>45919</x:v>
      </x:c>
      <x:c r="G13" s="182" t="n">
        <x:v>911.35</x:v>
      </x:c>
      <x:c r="H13" s="183" t="n">
        <x:v>0</x:v>
      </x:c>
      <x:c r="I13" s="182" t="n">
        <x:v>0</x:v>
      </x:c>
      <x:c r="J13" s="182" t="n">
        <x:v>911.35</x:v>
      </x:c>
      <x:c r="K13" s="182" t="str">
        <x:v>Leo Martin</x:v>
      </x:c>
      <x:c r="L13" s="182" t="str">
        <x:v>leo@orbit.example</x:v>
      </x:c>
      <x:c r="M13" s="184" t="n">
        <x:f>ROUND(SUMIF('Payment Log'!$B$5:$B$173,A13,'Payment Log'!$D$5:$D$173),2)</x:f>
        <x:v>911.35</x:v>
      </x:c>
      <x:c r="N13" s="184" t="n">
        <x:f>ROUND(MAX(0,J13-M13),2)</x:f>
        <x:v>0</x:v>
      </x:c>
      <x:c r="O13" s="185" t="n">
        <x:f>IF(N13=0,0,MAX(0,'Checks'!$B$3-F13))</x:f>
        <x:v>0</x:v>
      </x:c>
      <x:c r="P13" s="186" t="str">
        <x:f>IF(N13=0,"Paid",IF(O13&gt;0,IF(M13&gt;0,"Partially Paid - Overdue","Overdue"),IF(M13&gt;0,"Partially Paid","Open")))</x:f>
        <x:v>Paid</x:v>
      </x:c>
      <x:c r="Q13" s="187" t="str">
        <x:f>IF(N13=0,"Paid",IF(O13=0,"Current",IF(O13&lt;=30,"1-30 days",IF(O13&lt;=60,"31-60 days",IF(O13&lt;=90,"61-90 days","90+ days")))))</x:f>
        <x:v>Paid</x:v>
      </x:c>
    </x:row>
    <x:row r="14">
      <x:c r="A14" s="179" t="str">
        <x:v>INV-0010</x:v>
      </x:c>
      <x:c r="B14" s="180" t="str">
        <x:v>C010</x:v>
      </x:c>
      <x:c r="C14" s="180" t="str">
        <x:v>Willow Events</x:v>
      </x:c>
      <x:c r="D14" s="180" t="str">
        <x:v>Automation setup</x:v>
      </x:c>
      <x:c r="E14" s="181" t="n">
        <x:v>45891</x:v>
      </x:c>
      <x:c r="F14" s="181" t="n">
        <x:v>45906</x:v>
      </x:c>
      <x:c r="G14" s="182" t="n">
        <x:v>2176.78</x:v>
      </x:c>
      <x:c r="H14" s="183" t="n">
        <x:v>0</x:v>
      </x:c>
      <x:c r="I14" s="182" t="n">
        <x:v>0</x:v>
      </x:c>
      <x:c r="J14" s="182" t="n">
        <x:v>2176.78</x:v>
      </x:c>
      <x:c r="K14" s="182" t="str">
        <x:v>Emma Hayes</x:v>
      </x:c>
      <x:c r="L14" s="182" t="str">
        <x:v>emma@willow.example</x:v>
      </x:c>
      <x:c r="M14" s="184" t="n">
        <x:f>ROUND(SUMIF('Payment Log'!$B$5:$B$173,A14,'Payment Log'!$D$5:$D$173),2)</x:f>
        <x:v>2176.78</x:v>
      </x:c>
      <x:c r="N14" s="184" t="n">
        <x:f>ROUND(MAX(0,J14-M14),2)</x:f>
        <x:v>0</x:v>
      </x:c>
      <x:c r="O14" s="185" t="n">
        <x:f>IF(N14=0,0,MAX(0,'Checks'!$B$3-F14))</x:f>
        <x:v>0</x:v>
      </x:c>
      <x:c r="P14" s="186" t="str">
        <x:f>IF(N14=0,"Paid",IF(O14&gt;0,IF(M14&gt;0,"Partially Paid - Overdue","Overdue"),IF(M14&gt;0,"Partially Paid","Open")))</x:f>
        <x:v>Paid</x:v>
      </x:c>
      <x:c r="Q14" s="187" t="str">
        <x:f>IF(N14=0,"Paid",IF(O14=0,"Current",IF(O14&lt;=30,"1-30 days",IF(O14&lt;=60,"31-60 days",IF(O14&lt;=90,"61-90 days","90+ days")))))</x:f>
        <x:v>Paid</x:v>
      </x:c>
    </x:row>
    <x:row r="15">
      <x:c r="A15" s="179" t="str">
        <x:v>INV-0011</x:v>
      </x:c>
      <x:c r="B15" s="180" t="str">
        <x:v>C011</x:v>
      </x:c>
      <x:c r="C15" s="180" t="str">
        <x:v>Copperline Consulting</x:v>
      </x:c>
      <x:c r="D15" s="180" t="str">
        <x:v>KPI analysis</x:v>
      </x:c>
      <x:c r="E15" s="181" t="n">
        <x:v>45893</x:v>
      </x:c>
      <x:c r="F15" s="181" t="n">
        <x:v>45923</x:v>
      </x:c>
      <x:c r="G15" s="182" t="n">
        <x:v>1921.72</x:v>
      </x:c>
      <x:c r="H15" s="183" t="n">
        <x:v>0.1</x:v>
      </x:c>
      <x:c r="I15" s="182" t="n">
        <x:v>192.17</x:v>
      </x:c>
      <x:c r="J15" s="182" t="n">
        <x:v>2113.89</x:v>
      </x:c>
      <x:c r="K15" s="182" t="str">
        <x:v>Iris Young</x:v>
      </x:c>
      <x:c r="L15" s="182" t="str">
        <x:v>iris@copperline.example</x:v>
      </x:c>
      <x:c r="M15" s="184" t="n">
        <x:f>ROUND(SUMIF('Payment Log'!$B$5:$B$173,A15,'Payment Log'!$D$5:$D$173),2)</x:f>
        <x:v>0</x:v>
      </x:c>
      <x:c r="N15" s="184" t="n">
        <x:f>ROUND(MAX(0,J15-M15),2)</x:f>
        <x:v>2113.89</x:v>
      </x:c>
      <x:c r="O15" s="185" t="n">
        <x:f>IF(N15=0,0,MAX(0,'Checks'!$B$3-F15))</x:f>
        <x:v>319</x:v>
      </x:c>
      <x:c r="P15" s="186" t="str">
        <x:f>IF(N15=0,"Paid",IF(O15&gt;0,IF(M15&gt;0,"Partially Paid - Overdue","Overdue"),IF(M15&gt;0,"Partially Paid","Open")))</x:f>
        <x:v>Overdue</x:v>
      </x:c>
      <x:c r="Q15" s="187" t="str">
        <x:f>IF(N15=0,"Paid",IF(O15=0,"Current",IF(O15&lt;=30,"1-30 days",IF(O15&lt;=60,"31-60 days",IF(O15&lt;=90,"61-90 days","90+ days")))))</x:f>
        <x:v>90+ days</x:v>
      </x:c>
    </x:row>
    <x:row r="16">
      <x:c r="A16" s="179" t="str">
        <x:v>INV-0012</x:v>
      </x:c>
      <x:c r="B16" s="180" t="str">
        <x:v>C012</x:v>
      </x:c>
      <x:c r="C16" s="180" t="str">
        <x:v>Bluebird Media</x:v>
      </x:c>
      <x:c r="D16" s="180" t="str">
        <x:v>Advisory retainer</x:v>
      </x:c>
      <x:c r="E16" s="181" t="n">
        <x:v>45895</x:v>
      </x:c>
      <x:c r="F16" s="181" t="n">
        <x:v>45916</x:v>
      </x:c>
      <x:c r="G16" s="182" t="n">
        <x:v>2238.78</x:v>
      </x:c>
      <x:c r="H16" s="183" t="n">
        <x:v>0</x:v>
      </x:c>
      <x:c r="I16" s="182" t="n">
        <x:v>0</x:v>
      </x:c>
      <x:c r="J16" s="182" t="n">
        <x:v>2238.78</x:v>
      </x:c>
      <x:c r="K16" s="182" t="str">
        <x:v>Theo King</x:v>
      </x:c>
      <x:c r="L16" s="182" t="str">
        <x:v>theo@bluebird.example</x:v>
      </x:c>
      <x:c r="M16" s="184" t="n">
        <x:f>ROUND(SUMIF('Payment Log'!$B$5:$B$173,A16,'Payment Log'!$D$5:$D$173),2)</x:f>
        <x:v>966.46</x:v>
      </x:c>
      <x:c r="N16" s="184" t="n">
        <x:f>ROUND(MAX(0,J16-M16),2)</x:f>
        <x:v>1272.32</x:v>
      </x:c>
      <x:c r="O16" s="185" t="n">
        <x:f>IF(N16=0,0,MAX(0,'Checks'!$B$3-F16))</x:f>
        <x:v>326</x:v>
      </x:c>
      <x:c r="P16" s="186" t="str">
        <x:f>IF(N16=0,"Paid",IF(O16&gt;0,IF(M16&gt;0,"Partially Paid - Overdue","Overdue"),IF(M16&gt;0,"Partially Paid","Open")))</x:f>
        <x:v>Partially Paid - Overdue</x:v>
      </x:c>
      <x:c r="Q16" s="187" t="str">
        <x:f>IF(N16=0,"Paid",IF(O16=0,"Current",IF(O16&lt;=30,"1-30 days",IF(O16&lt;=60,"31-60 days",IF(O16&lt;=90,"61-90 days","90+ days")))))</x:f>
        <x:v>90+ days</x:v>
      </x:c>
    </x:row>
    <x:row r="17">
      <x:c r="A17" s="179" t="str">
        <x:v>INV-0013</x:v>
      </x:c>
      <x:c r="B17" s="180" t="str">
        <x:v>C001</x:v>
      </x:c>
      <x:c r="C17" s="180" t="str">
        <x:v>Northstar Creative</x:v>
      </x:c>
      <x:c r="D17" s="180" t="str">
        <x:v>Dashboard build</x:v>
      </x:c>
      <x:c r="E17" s="181" t="n">
        <x:v>45897</x:v>
      </x:c>
      <x:c r="F17" s="181" t="n">
        <x:v>45927</x:v>
      </x:c>
      <x:c r="G17" s="182" t="n">
        <x:v>2778.8</x:v>
      </x:c>
      <x:c r="H17" s="183" t="n">
        <x:v>0</x:v>
      </x:c>
      <x:c r="I17" s="182" t="n">
        <x:v>0</x:v>
      </x:c>
      <x:c r="J17" s="182" t="n">
        <x:v>2778.8</x:v>
      </x:c>
      <x:c r="K17" s="182" t="str">
        <x:v>Maya Chen</x:v>
      </x:c>
      <x:c r="L17" s="182" t="str">
        <x:v>maya@northstar.example</x:v>
      </x:c>
      <x:c r="M17" s="184" t="n">
        <x:f>ROUND(SUMIF('Payment Log'!$B$5:$B$173,A17,'Payment Log'!$D$5:$D$173),2)</x:f>
        <x:v>2778.8</x:v>
      </x:c>
      <x:c r="N17" s="184" t="n">
        <x:f>ROUND(MAX(0,J17-M17),2)</x:f>
        <x:v>0</x:v>
      </x:c>
      <x:c r="O17" s="185" t="n">
        <x:f>IF(N17=0,0,MAX(0,'Checks'!$B$3-F17))</x:f>
        <x:v>0</x:v>
      </x:c>
      <x:c r="P17" s="186" t="str">
        <x:f>IF(N17=0,"Paid",IF(O17&gt;0,IF(M17&gt;0,"Partially Paid - Overdue","Overdue"),IF(M17&gt;0,"Partially Paid","Open")))</x:f>
        <x:v>Paid</x:v>
      </x:c>
      <x:c r="Q17" s="187" t="str">
        <x:f>IF(N17=0,"Paid",IF(O17=0,"Current",IF(O17&lt;=30,"1-30 days",IF(O17&lt;=60,"31-60 days",IF(O17&lt;=90,"61-90 days","90+ days")))))</x:f>
        <x:v>Paid</x:v>
      </x:c>
    </x:row>
    <x:row r="18">
      <x:c r="A18" s="179" t="str">
        <x:v>INV-0014</x:v>
      </x:c>
      <x:c r="B18" s="180" t="str">
        <x:v>C002</x:v>
      </x:c>
      <x:c r="C18" s="180" t="str">
        <x:v>Lumen Health Studio</x:v>
      </x:c>
      <x:c r="D18" s="180" t="str">
        <x:v>Monthly reporting</x:v>
      </x:c>
      <x:c r="E18" s="181" t="n">
        <x:v>45899</x:v>
      </x:c>
      <x:c r="F18" s="181" t="n">
        <x:v>45914</x:v>
      </x:c>
      <x:c r="G18" s="182" t="n">
        <x:v>1551.72</x:v>
      </x:c>
      <x:c r="H18" s="183" t="n">
        <x:v>0</x:v>
      </x:c>
      <x:c r="I18" s="182" t="n">
        <x:v>0</x:v>
      </x:c>
      <x:c r="J18" s="182" t="n">
        <x:v>1551.72</x:v>
      </x:c>
      <x:c r="K18" s="182" t="str">
        <x:v>Elias Ward</x:v>
      </x:c>
      <x:c r="L18" s="182" t="str">
        <x:v>elias@lumen.example</x:v>
      </x:c>
      <x:c r="M18" s="184" t="n">
        <x:f>ROUND(SUMIF('Payment Log'!$B$5:$B$173,A18,'Payment Log'!$D$5:$D$173),2)</x:f>
        <x:v>1042.53</x:v>
      </x:c>
      <x:c r="N18" s="184" t="n">
        <x:f>ROUND(MAX(0,J18-M18),2)</x:f>
        <x:v>509.19</x:v>
      </x:c>
      <x:c r="O18" s="185" t="n">
        <x:f>IF(N18=0,0,MAX(0,'Checks'!$B$3-F18))</x:f>
        <x:v>328</x:v>
      </x:c>
      <x:c r="P18" s="186" t="str">
        <x:f>IF(N18=0,"Paid",IF(O18&gt;0,IF(M18&gt;0,"Partially Paid - Overdue","Overdue"),IF(M18&gt;0,"Partially Paid","Open")))</x:f>
        <x:v>Partially Paid - Overdue</x:v>
      </x:c>
      <x:c r="Q18" s="187" t="str">
        <x:f>IF(N18=0,"Paid",IF(O18=0,"Current",IF(O18&lt;=30,"1-30 days",IF(O18&lt;=60,"31-60 days",IF(O18&lt;=90,"61-90 days","90+ days")))))</x:f>
        <x:v>90+ days</x:v>
      </x:c>
    </x:row>
    <x:row r="19">
      <x:c r="A19" s="179" t="str">
        <x:v>INV-0015</x:v>
      </x:c>
      <x:c r="B19" s="180" t="str">
        <x:v>C003</x:v>
      </x:c>
      <x:c r="C19" s="180" t="str">
        <x:v>Cedar &amp; Co. Retail</x:v>
      </x:c>
      <x:c r="D19" s="180" t="str">
        <x:v>Data cleanup</x:v>
      </x:c>
      <x:c r="E19" s="181" t="n">
        <x:v>45901</x:v>
      </x:c>
      <x:c r="F19" s="181" t="n">
        <x:v>45931</x:v>
      </x:c>
      <x:c r="G19" s="182" t="n">
        <x:v>1709.14</x:v>
      </x:c>
      <x:c r="H19" s="183" t="n">
        <x:v>0</x:v>
      </x:c>
      <x:c r="I19" s="182" t="n">
        <x:v>0</x:v>
      </x:c>
      <x:c r="J19" s="182" t="n">
        <x:v>1709.14</x:v>
      </x:c>
      <x:c r="K19" s="182" t="str">
        <x:v>Nora Patel</x:v>
      </x:c>
      <x:c r="L19" s="182" t="str">
        <x:v>nora@cedar.example</x:v>
      </x:c>
      <x:c r="M19" s="184" t="n">
        <x:f>ROUND(SUMIF('Payment Log'!$B$5:$B$173,A19,'Payment Log'!$D$5:$D$173),2)</x:f>
        <x:v>1709.14</x:v>
      </x:c>
      <x:c r="N19" s="184" t="n">
        <x:f>ROUND(MAX(0,J19-M19),2)</x:f>
        <x:v>0</x:v>
      </x:c>
      <x:c r="O19" s="185" t="n">
        <x:f>IF(N19=0,0,MAX(0,'Checks'!$B$3-F19))</x:f>
        <x:v>0</x:v>
      </x:c>
      <x:c r="P19" s="186" t="str">
        <x:f>IF(N19=0,"Paid",IF(O19&gt;0,IF(M19&gt;0,"Partially Paid - Overdue","Overdue"),IF(M19&gt;0,"Partially Paid","Open")))</x:f>
        <x:v>Paid</x:v>
      </x:c>
      <x:c r="Q19" s="187" t="str">
        <x:f>IF(N19=0,"Paid",IF(O19=0,"Current",IF(O19&lt;=30,"1-30 days",IF(O19&lt;=60,"31-60 days",IF(O19&lt;=90,"61-90 days","90+ days")))))</x:f>
        <x:v>Paid</x:v>
      </x:c>
    </x:row>
    <x:row r="20">
      <x:c r="A20" s="179" t="str">
        <x:v>INV-0016</x:v>
      </x:c>
      <x:c r="B20" s="180" t="str">
        <x:v>C004</x:v>
      </x:c>
      <x:c r="C20" s="180" t="str">
        <x:v>Harbor Legal Partners</x:v>
      </x:c>
      <x:c r="D20" s="180" t="str">
        <x:v>Automation setup</x:v>
      </x:c>
      <x:c r="E20" s="181" t="n">
        <x:v>45903</x:v>
      </x:c>
      <x:c r="F20" s="181" t="n">
        <x:v>45933</x:v>
      </x:c>
      <x:c r="G20" s="182" t="n">
        <x:v>2546.34</x:v>
      </x:c>
      <x:c r="H20" s="183" t="n">
        <x:v>0.1</x:v>
      </x:c>
      <x:c r="I20" s="182" t="n">
        <x:v>254.63</x:v>
      </x:c>
      <x:c r="J20" s="182" t="n">
        <x:v>2800.97</x:v>
      </x:c>
      <x:c r="K20" s="182" t="str">
        <x:v>Owen Brooks</x:v>
      </x:c>
      <x:c r="L20" s="182" t="str">
        <x:v>owen@harbor.example</x:v>
      </x:c>
      <x:c r="M20" s="184" t="n">
        <x:f>ROUND(SUMIF('Payment Log'!$B$5:$B$173,A20,'Payment Log'!$D$5:$D$173),2)</x:f>
        <x:v>2800.97</x:v>
      </x:c>
      <x:c r="N20" s="184" t="n">
        <x:f>ROUND(MAX(0,J20-M20),2)</x:f>
        <x:v>0</x:v>
      </x:c>
      <x:c r="O20" s="185" t="n">
        <x:f>IF(N20=0,0,MAX(0,'Checks'!$B$3-F20))</x:f>
        <x:v>0</x:v>
      </x:c>
      <x:c r="P20" s="186" t="str">
        <x:f>IF(N20=0,"Paid",IF(O20&gt;0,IF(M20&gt;0,"Partially Paid - Overdue","Overdue"),IF(M20&gt;0,"Partially Paid","Open")))</x:f>
        <x:v>Paid</x:v>
      </x:c>
      <x:c r="Q20" s="187" t="str">
        <x:f>IF(N20=0,"Paid",IF(O20=0,"Current",IF(O20&lt;=30,"1-30 days",IF(O20&lt;=60,"31-60 days",IF(O20&lt;=90,"61-90 days","90+ days")))))</x:f>
        <x:v>Paid</x:v>
      </x:c>
    </x:row>
    <x:row r="21">
      <x:c r="A21" s="179" t="str">
        <x:v>INV-0017</x:v>
      </x:c>
      <x:c r="B21" s="180" t="str">
        <x:v>C005</x:v>
      </x:c>
      <x:c r="C21" s="180" t="str">
        <x:v>Atlas Property Group</x:v>
      </x:c>
      <x:c r="D21" s="180" t="str">
        <x:v>KPI analysis</x:v>
      </x:c>
      <x:c r="E21" s="181" t="n">
        <x:v>45905</x:v>
      </x:c>
      <x:c r="F21" s="181" t="n">
        <x:v>45926</x:v>
      </x:c>
      <x:c r="G21" s="182" t="n">
        <x:v>610.2</x:v>
      </x:c>
      <x:c r="H21" s="183" t="n">
        <x:v>0</x:v>
      </x:c>
      <x:c r="I21" s="182" t="n">
        <x:v>0</x:v>
      </x:c>
      <x:c r="J21" s="182" t="n">
        <x:v>610.2</x:v>
      </x:c>
      <x:c r="K21" s="182" t="str">
        <x:v>Sara Lin</x:v>
      </x:c>
      <x:c r="L21" s="182" t="str">
        <x:v>sara@atlas.example</x:v>
      </x:c>
      <x:c r="M21" s="184" t="n">
        <x:f>ROUND(SUMIF('Payment Log'!$B$5:$B$173,A21,'Payment Log'!$D$5:$D$173),2)</x:f>
        <x:v>361.85</x:v>
      </x:c>
      <x:c r="N21" s="184" t="n">
        <x:f>ROUND(MAX(0,J21-M21),2)</x:f>
        <x:v>248.35</x:v>
      </x:c>
      <x:c r="O21" s="185" t="n">
        <x:f>IF(N21=0,0,MAX(0,'Checks'!$B$3-F21))</x:f>
        <x:v>316</x:v>
      </x:c>
      <x:c r="P21" s="186" t="str">
        <x:f>IF(N21=0,"Paid",IF(O21&gt;0,IF(M21&gt;0,"Partially Paid - Overdue","Overdue"),IF(M21&gt;0,"Partially Paid","Open")))</x:f>
        <x:v>Partially Paid - Overdue</x:v>
      </x:c>
      <x:c r="Q21" s="187" t="str">
        <x:f>IF(N21=0,"Paid",IF(O21=0,"Current",IF(O21&lt;=30,"1-30 days",IF(O21&lt;=60,"31-60 days",IF(O21&lt;=90,"61-90 days","90+ days")))))</x:f>
        <x:v>90+ days</x:v>
      </x:c>
    </x:row>
    <x:row r="22">
      <x:c r="A22" s="179" t="str">
        <x:v>INV-0018</x:v>
      </x:c>
      <x:c r="B22" s="180" t="str">
        <x:v>C006</x:v>
      </x:c>
      <x:c r="C22" s="180" t="str">
        <x:v>BrightPath Learning</x:v>
      </x:c>
      <x:c r="D22" s="180" t="str">
        <x:v>Advisory retainer</x:v>
      </x:c>
      <x:c r="E22" s="181" t="n">
        <x:v>45907</x:v>
      </x:c>
      <x:c r="F22" s="181" t="n">
        <x:v>45922</x:v>
      </x:c>
      <x:c r="G22" s="182" t="n">
        <x:v>552.13</x:v>
      </x:c>
      <x:c r="H22" s="183" t="n">
        <x:v>0</x:v>
      </x:c>
      <x:c r="I22" s="182" t="n">
        <x:v>0</x:v>
      </x:c>
      <x:c r="J22" s="182" t="n">
        <x:v>552.13</x:v>
      </x:c>
      <x:c r="K22" s="182" t="str">
        <x:v>Lina Costa</x:v>
      </x:c>
      <x:c r="L22" s="182" t="str">
        <x:v>lina@brightpath.example</x:v>
      </x:c>
      <x:c r="M22" s="184" t="n">
        <x:f>ROUND(SUMIF('Payment Log'!$B$5:$B$173,A22,'Payment Log'!$D$5:$D$173),2)</x:f>
        <x:v>552.13</x:v>
      </x:c>
      <x:c r="N22" s="184" t="n">
        <x:f>ROUND(MAX(0,J22-M22),2)</x:f>
        <x:v>0</x:v>
      </x:c>
      <x:c r="O22" s="185" t="n">
        <x:f>IF(N22=0,0,MAX(0,'Checks'!$B$3-F22))</x:f>
        <x:v>0</x:v>
      </x:c>
      <x:c r="P22" s="186" t="str">
        <x:f>IF(N22=0,"Paid",IF(O22&gt;0,IF(M22&gt;0,"Partially Paid - Overdue","Overdue"),IF(M22&gt;0,"Partially Paid","Open")))</x:f>
        <x:v>Paid</x:v>
      </x:c>
      <x:c r="Q22" s="187" t="str">
        <x:f>IF(N22=0,"Paid",IF(O22=0,"Current",IF(O22&lt;=30,"1-30 days",IF(O22&lt;=60,"31-60 days",IF(O22&lt;=90,"61-90 days","90+ days")))))</x:f>
        <x:v>Paid</x:v>
      </x:c>
    </x:row>
    <x:row r="23">
      <x:c r="A23" s="179" t="str">
        <x:v>INV-0019</x:v>
      </x:c>
      <x:c r="B23" s="180" t="str">
        <x:v>C007</x:v>
      </x:c>
      <x:c r="C23" s="180" t="str">
        <x:v>PeakFit Clubs</x:v>
      </x:c>
      <x:c r="D23" s="180" t="str">
        <x:v>Dashboard build</x:v>
      </x:c>
      <x:c r="E23" s="181" t="n">
        <x:v>45909</x:v>
      </x:c>
      <x:c r="F23" s="181" t="n">
        <x:v>45939</x:v>
      </x:c>
      <x:c r="G23" s="182" t="n">
        <x:v>2689.14</x:v>
      </x:c>
      <x:c r="H23" s="183" t="n">
        <x:v>0</x:v>
      </x:c>
      <x:c r="I23" s="182" t="n">
        <x:v>0</x:v>
      </x:c>
      <x:c r="J23" s="182" t="n">
        <x:v>2689.14</x:v>
      </x:c>
      <x:c r="K23" s="182" t="str">
        <x:v>Noah Reed</x:v>
      </x:c>
      <x:c r="L23" s="182" t="str">
        <x:v>noah@peakfit.example</x:v>
      </x:c>
      <x:c r="M23" s="184" t="n">
        <x:f>ROUND(SUMIF('Payment Log'!$B$5:$B$173,A23,'Payment Log'!$D$5:$D$173),2)</x:f>
        <x:v>2689.14</x:v>
      </x:c>
      <x:c r="N23" s="184" t="n">
        <x:f>ROUND(MAX(0,J23-M23),2)</x:f>
        <x:v>0</x:v>
      </x:c>
      <x:c r="O23" s="185" t="n">
        <x:f>IF(N23=0,0,MAX(0,'Checks'!$B$3-F23))</x:f>
        <x:v>0</x:v>
      </x:c>
      <x:c r="P23" s="186" t="str">
        <x:f>IF(N23=0,"Paid",IF(O23&gt;0,IF(M23&gt;0,"Partially Paid - Overdue","Overdue"),IF(M23&gt;0,"Partially Paid","Open")))</x:f>
        <x:v>Paid</x:v>
      </x:c>
      <x:c r="Q23" s="187" t="str">
        <x:f>IF(N23=0,"Paid",IF(O23=0,"Current",IF(O23&lt;=30,"1-30 days",IF(O23&lt;=60,"31-60 days",IF(O23&lt;=90,"61-90 days","90+ days")))))</x:f>
        <x:v>Paid</x:v>
      </x:c>
    </x:row>
    <x:row r="24">
      <x:c r="A24" s="179" t="str">
        <x:v>INV-0020</x:v>
      </x:c>
      <x:c r="B24" s="180" t="str">
        <x:v>C008</x:v>
      </x:c>
      <x:c r="C24" s="180" t="str">
        <x:v>GreenFork Catering</x:v>
      </x:c>
      <x:c r="D24" s="180" t="str">
        <x:v>Monthly reporting</x:v>
      </x:c>
      <x:c r="E24" s="181" t="n">
        <x:v>45911</x:v>
      </x:c>
      <x:c r="F24" s="181" t="n">
        <x:v>45925</x:v>
      </x:c>
      <x:c r="G24" s="182" t="n">
        <x:v>999.04</x:v>
      </x:c>
      <x:c r="H24" s="183" t="n">
        <x:v>0</x:v>
      </x:c>
      <x:c r="I24" s="182" t="n">
        <x:v>0</x:v>
      </x:c>
      <x:c r="J24" s="182" t="n">
        <x:v>999.04</x:v>
      </x:c>
      <x:c r="K24" s="182" t="str">
        <x:v>Ava Stone</x:v>
      </x:c>
      <x:c r="L24" s="182" t="str">
        <x:v>ava@greenfork.example</x:v>
      </x:c>
      <x:c r="M24" s="184" t="n">
        <x:f>ROUND(SUMIF('Payment Log'!$B$5:$B$173,A24,'Payment Log'!$D$5:$D$173),2)</x:f>
        <x:v>999.04</x:v>
      </x:c>
      <x:c r="N24" s="184" t="n">
        <x:f>ROUND(MAX(0,J24-M24),2)</x:f>
        <x:v>0</x:v>
      </x:c>
      <x:c r="O24" s="185" t="n">
        <x:f>IF(N24=0,0,MAX(0,'Checks'!$B$3-F24))</x:f>
        <x:v>0</x:v>
      </x:c>
      <x:c r="P24" s="186" t="str">
        <x:f>IF(N24=0,"Paid",IF(O24&gt;0,IF(M24&gt;0,"Partially Paid - Overdue","Overdue"),IF(M24&gt;0,"Partially Paid","Open")))</x:f>
        <x:v>Paid</x:v>
      </x:c>
      <x:c r="Q24" s="187" t="str">
        <x:f>IF(N24=0,"Paid",IF(O24=0,"Current",IF(O24&lt;=30,"1-30 days",IF(O24&lt;=60,"31-60 days",IF(O24&lt;=90,"61-90 days","90+ days")))))</x:f>
        <x:v>Paid</x:v>
      </x:c>
    </x:row>
    <x:row r="25">
      <x:c r="A25" s="179" t="str">
        <x:v>INV-0021</x:v>
      </x:c>
      <x:c r="B25" s="180" t="str">
        <x:v>C009</x:v>
      </x:c>
      <x:c r="C25" s="180" t="str">
        <x:v>Orbit SaaS Labs</x:v>
      </x:c>
      <x:c r="D25" s="180" t="str">
        <x:v>Data cleanup</x:v>
      </x:c>
      <x:c r="E25" s="181" t="n">
        <x:v>45913</x:v>
      </x:c>
      <x:c r="F25" s="181" t="n">
        <x:v>45943</x:v>
      </x:c>
      <x:c r="G25" s="182" t="n">
        <x:v>1387.93</x:v>
      </x:c>
      <x:c r="H25" s="183" t="n">
        <x:v>0.1</x:v>
      </x:c>
      <x:c r="I25" s="182" t="n">
        <x:v>138.79</x:v>
      </x:c>
      <x:c r="J25" s="182" t="n">
        <x:v>1526.72</x:v>
      </x:c>
      <x:c r="K25" s="182" t="str">
        <x:v>Leo Martin</x:v>
      </x:c>
      <x:c r="L25" s="182" t="str">
        <x:v>leo@orbit.example</x:v>
      </x:c>
      <x:c r="M25" s="184" t="n">
        <x:f>ROUND(SUMIF('Payment Log'!$B$5:$B$173,A25,'Payment Log'!$D$5:$D$173),2)</x:f>
        <x:v>1526.72</x:v>
      </x:c>
      <x:c r="N25" s="184" t="n">
        <x:f>ROUND(MAX(0,J25-M25),2)</x:f>
        <x:v>0</x:v>
      </x:c>
      <x:c r="O25" s="185" t="n">
        <x:f>IF(N25=0,0,MAX(0,'Checks'!$B$3-F25))</x:f>
        <x:v>0</x:v>
      </x:c>
      <x:c r="P25" s="186" t="str">
        <x:f>IF(N25=0,"Paid",IF(O25&gt;0,IF(M25&gt;0,"Partially Paid - Overdue","Overdue"),IF(M25&gt;0,"Partially Paid","Open")))</x:f>
        <x:v>Paid</x:v>
      </x:c>
      <x:c r="Q25" s="187" t="str">
        <x:f>IF(N25=0,"Paid",IF(O25=0,"Current",IF(O25&lt;=30,"1-30 days",IF(O25&lt;=60,"31-60 days",IF(O25&lt;=90,"61-90 days","90+ days")))))</x:f>
        <x:v>Paid</x:v>
      </x:c>
    </x:row>
    <x:row r="26">
      <x:c r="A26" s="179" t="str">
        <x:v>INV-0022</x:v>
      </x:c>
      <x:c r="B26" s="180" t="str">
        <x:v>C010</x:v>
      </x:c>
      <x:c r="C26" s="180" t="str">
        <x:v>Willow Events</x:v>
      </x:c>
      <x:c r="D26" s="180" t="str">
        <x:v>Automation setup</x:v>
      </x:c>
      <x:c r="E26" s="181" t="n">
        <x:v>45915</x:v>
      </x:c>
      <x:c r="F26" s="181" t="n">
        <x:v>45930</x:v>
      </x:c>
      <x:c r="G26" s="182" t="n">
        <x:v>2080.77</x:v>
      </x:c>
      <x:c r="H26" s="183" t="n">
        <x:v>0</x:v>
      </x:c>
      <x:c r="I26" s="182" t="n">
        <x:v>0</x:v>
      </x:c>
      <x:c r="J26" s="182" t="n">
        <x:v>2080.77</x:v>
      </x:c>
      <x:c r="K26" s="182" t="str">
        <x:v>Emma Hayes</x:v>
      </x:c>
      <x:c r="L26" s="182" t="str">
        <x:v>emma@willow.example</x:v>
      </x:c>
      <x:c r="M26" s="184" t="n">
        <x:f>ROUND(SUMIF('Payment Log'!$B$5:$B$173,A26,'Payment Log'!$D$5:$D$173),2)</x:f>
        <x:v>1172.78</x:v>
      </x:c>
      <x:c r="N26" s="184" t="n">
        <x:f>ROUND(MAX(0,J26-M26),2)</x:f>
        <x:v>907.99</x:v>
      </x:c>
      <x:c r="O26" s="185" t="n">
        <x:f>IF(N26=0,0,MAX(0,'Checks'!$B$3-F26))</x:f>
        <x:v>312</x:v>
      </x:c>
      <x:c r="P26" s="186" t="str">
        <x:f>IF(N26=0,"Paid",IF(O26&gt;0,IF(M26&gt;0,"Partially Paid - Overdue","Overdue"),IF(M26&gt;0,"Partially Paid","Open")))</x:f>
        <x:v>Partially Paid - Overdue</x:v>
      </x:c>
      <x:c r="Q26" s="187" t="str">
        <x:f>IF(N26=0,"Paid",IF(O26=0,"Current",IF(O26&lt;=30,"1-30 days",IF(O26&lt;=60,"31-60 days",IF(O26&lt;=90,"61-90 days","90+ days")))))</x:f>
        <x:v>90+ days</x:v>
      </x:c>
    </x:row>
    <x:row r="27">
      <x:c r="A27" s="179" t="str">
        <x:v>INV-0023</x:v>
      </x:c>
      <x:c r="B27" s="180" t="str">
        <x:v>C011</x:v>
      </x:c>
      <x:c r="C27" s="180" t="str">
        <x:v>Copperline Consulting</x:v>
      </x:c>
      <x:c r="D27" s="180" t="str">
        <x:v>KPI analysis</x:v>
      </x:c>
      <x:c r="E27" s="181" t="n">
        <x:v>45917</x:v>
      </x:c>
      <x:c r="F27" s="181" t="n">
        <x:v>45947</x:v>
      </x:c>
      <x:c r="G27" s="182" t="n">
        <x:v>1098.34</x:v>
      </x:c>
      <x:c r="H27" s="183" t="n">
        <x:v>0</x:v>
      </x:c>
      <x:c r="I27" s="182" t="n">
        <x:v>0</x:v>
      </x:c>
      <x:c r="J27" s="182" t="n">
        <x:v>1098.34</x:v>
      </x:c>
      <x:c r="K27" s="182" t="str">
        <x:v>Iris Young</x:v>
      </x:c>
      <x:c r="L27" s="182" t="str">
        <x:v>iris@copperline.example</x:v>
      </x:c>
      <x:c r="M27" s="184" t="n">
        <x:f>ROUND(SUMIF('Payment Log'!$B$5:$B$173,A27,'Payment Log'!$D$5:$D$173),2)</x:f>
        <x:v>667.83</x:v>
      </x:c>
      <x:c r="N27" s="184" t="n">
        <x:f>ROUND(MAX(0,J27-M27),2)</x:f>
        <x:v>430.51</x:v>
      </x:c>
      <x:c r="O27" s="185" t="n">
        <x:f>IF(N27=0,0,MAX(0,'Checks'!$B$3-F27))</x:f>
        <x:v>295</x:v>
      </x:c>
      <x:c r="P27" s="186" t="str">
        <x:f>IF(N27=0,"Paid",IF(O27&gt;0,IF(M27&gt;0,"Partially Paid - Overdue","Overdue"),IF(M27&gt;0,"Partially Paid","Open")))</x:f>
        <x:v>Partially Paid - Overdue</x:v>
      </x:c>
      <x:c r="Q27" s="187" t="str">
        <x:f>IF(N27=0,"Paid",IF(O27=0,"Current",IF(O27&lt;=30,"1-30 days",IF(O27&lt;=60,"31-60 days",IF(O27&lt;=90,"61-90 days","90+ days")))))</x:f>
        <x:v>90+ days</x:v>
      </x:c>
    </x:row>
    <x:row r="28">
      <x:c r="A28" s="179" t="str">
        <x:v>INV-0024</x:v>
      </x:c>
      <x:c r="B28" s="180" t="str">
        <x:v>C012</x:v>
      </x:c>
      <x:c r="C28" s="180" t="str">
        <x:v>Bluebird Media</x:v>
      </x:c>
      <x:c r="D28" s="180" t="str">
        <x:v>Advisory retainer</x:v>
      </x:c>
      <x:c r="E28" s="181" t="n">
        <x:v>45919</x:v>
      </x:c>
      <x:c r="F28" s="181" t="n">
        <x:v>45940</x:v>
      </x:c>
      <x:c r="G28" s="182" t="n">
        <x:v>846.35</x:v>
      </x:c>
      <x:c r="H28" s="183" t="n">
        <x:v>0</x:v>
      </x:c>
      <x:c r="I28" s="182" t="n">
        <x:v>0</x:v>
      </x:c>
      <x:c r="J28" s="182" t="n">
        <x:v>846.35</x:v>
      </x:c>
      <x:c r="K28" s="182" t="str">
        <x:v>Theo King</x:v>
      </x:c>
      <x:c r="L28" s="182" t="str">
        <x:v>theo@bluebird.example</x:v>
      </x:c>
      <x:c r="M28" s="184" t="n">
        <x:f>ROUND(SUMIF('Payment Log'!$B$5:$B$173,A28,'Payment Log'!$D$5:$D$173),2)</x:f>
        <x:v>846.35</x:v>
      </x:c>
      <x:c r="N28" s="184" t="n">
        <x:f>ROUND(MAX(0,J28-M28),2)</x:f>
        <x:v>0</x:v>
      </x:c>
      <x:c r="O28" s="185" t="n">
        <x:f>IF(N28=0,0,MAX(0,'Checks'!$B$3-F28))</x:f>
        <x:v>0</x:v>
      </x:c>
      <x:c r="P28" s="186" t="str">
        <x:f>IF(N28=0,"Paid",IF(O28&gt;0,IF(M28&gt;0,"Partially Paid - Overdue","Overdue"),IF(M28&gt;0,"Partially Paid","Open")))</x:f>
        <x:v>Paid</x:v>
      </x:c>
      <x:c r="Q28" s="187" t="str">
        <x:f>IF(N28=0,"Paid",IF(O28=0,"Current",IF(O28&lt;=30,"1-30 days",IF(O28&lt;=60,"31-60 days",IF(O28&lt;=90,"61-90 days","90+ days")))))</x:f>
        <x:v>Paid</x:v>
      </x:c>
    </x:row>
    <x:row r="29">
      <x:c r="A29" s="179" t="str">
        <x:v>INV-0025</x:v>
      </x:c>
      <x:c r="B29" s="180" t="str">
        <x:v>C001</x:v>
      </x:c>
      <x:c r="C29" s="180" t="str">
        <x:v>Northstar Creative</x:v>
      </x:c>
      <x:c r="D29" s="180" t="str">
        <x:v>Dashboard build</x:v>
      </x:c>
      <x:c r="E29" s="181" t="n">
        <x:v>45921</x:v>
      </x:c>
      <x:c r="F29" s="181" t="n">
        <x:v>45951</x:v>
      </x:c>
      <x:c r="G29" s="182" t="n">
        <x:v>2504.99</x:v>
      </x:c>
      <x:c r="H29" s="183" t="n">
        <x:v>0</x:v>
      </x:c>
      <x:c r="I29" s="182" t="n">
        <x:v>0</x:v>
      </x:c>
      <x:c r="J29" s="182" t="n">
        <x:v>2504.99</x:v>
      </x:c>
      <x:c r="K29" s="182" t="str">
        <x:v>Maya Chen</x:v>
      </x:c>
      <x:c r="L29" s="182" t="str">
        <x:v>maya@northstar.example</x:v>
      </x:c>
      <x:c r="M29" s="184" t="n">
        <x:f>ROUND(SUMIF('Payment Log'!$B$5:$B$173,A29,'Payment Log'!$D$5:$D$173),2)</x:f>
        <x:v>2504.99</x:v>
      </x:c>
      <x:c r="N29" s="184" t="n">
        <x:f>ROUND(MAX(0,J29-M29),2)</x:f>
        <x:v>0</x:v>
      </x:c>
      <x:c r="O29" s="185" t="n">
        <x:f>IF(N29=0,0,MAX(0,'Checks'!$B$3-F29))</x:f>
        <x:v>0</x:v>
      </x:c>
      <x:c r="P29" s="186" t="str">
        <x:f>IF(N29=0,"Paid",IF(O29&gt;0,IF(M29&gt;0,"Partially Paid - Overdue","Overdue"),IF(M29&gt;0,"Partially Paid","Open")))</x:f>
        <x:v>Paid</x:v>
      </x:c>
      <x:c r="Q29" s="187" t="str">
        <x:f>IF(N29=0,"Paid",IF(O29=0,"Current",IF(O29&lt;=30,"1-30 days",IF(O29&lt;=60,"31-60 days",IF(O29&lt;=90,"61-90 days","90+ days")))))</x:f>
        <x:v>Paid</x:v>
      </x:c>
    </x:row>
    <x:row r="30">
      <x:c r="A30" s="179" t="str">
        <x:v>INV-0026</x:v>
      </x:c>
      <x:c r="B30" s="180" t="str">
        <x:v>C002</x:v>
      </x:c>
      <x:c r="C30" s="180" t="str">
        <x:v>Lumen Health Studio</x:v>
      </x:c>
      <x:c r="D30" s="180" t="str">
        <x:v>Monthly reporting</x:v>
      </x:c>
      <x:c r="E30" s="181" t="n">
        <x:v>45923</x:v>
      </x:c>
      <x:c r="F30" s="181" t="n">
        <x:v>45938</x:v>
      </x:c>
      <x:c r="G30" s="182" t="n">
        <x:v>669.72</x:v>
      </x:c>
      <x:c r="H30" s="183" t="n">
        <x:v>0.1</x:v>
      </x:c>
      <x:c r="I30" s="182" t="n">
        <x:v>66.97</x:v>
      </x:c>
      <x:c r="J30" s="182" t="n">
        <x:v>736.69</x:v>
      </x:c>
      <x:c r="K30" s="182" t="str">
        <x:v>Elias Ward</x:v>
      </x:c>
      <x:c r="L30" s="182" t="str">
        <x:v>elias@lumen.example</x:v>
      </x:c>
      <x:c r="M30" s="184" t="n">
        <x:f>ROUND(SUMIF('Payment Log'!$B$5:$B$173,A30,'Payment Log'!$D$5:$D$173),2)</x:f>
        <x:v>736.69</x:v>
      </x:c>
      <x:c r="N30" s="184" t="n">
        <x:f>ROUND(MAX(0,J30-M30),2)</x:f>
        <x:v>0</x:v>
      </x:c>
      <x:c r="O30" s="185" t="n">
        <x:f>IF(N30=0,0,MAX(0,'Checks'!$B$3-F30))</x:f>
        <x:v>0</x:v>
      </x:c>
      <x:c r="P30" s="186" t="str">
        <x:f>IF(N30=0,"Paid",IF(O30&gt;0,IF(M30&gt;0,"Partially Paid - Overdue","Overdue"),IF(M30&gt;0,"Partially Paid","Open")))</x:f>
        <x:v>Paid</x:v>
      </x:c>
      <x:c r="Q30" s="187" t="str">
        <x:f>IF(N30=0,"Paid",IF(O30=0,"Current",IF(O30&lt;=30,"1-30 days",IF(O30&lt;=60,"31-60 days",IF(O30&lt;=90,"61-90 days","90+ days")))))</x:f>
        <x:v>Paid</x:v>
      </x:c>
    </x:row>
    <x:row r="31">
      <x:c r="A31" s="179" t="str">
        <x:v>INV-0027</x:v>
      </x:c>
      <x:c r="B31" s="180" t="str">
        <x:v>C003</x:v>
      </x:c>
      <x:c r="C31" s="180" t="str">
        <x:v>Cedar &amp; Co. Retail</x:v>
      </x:c>
      <x:c r="D31" s="180" t="str">
        <x:v>Data cleanup</x:v>
      </x:c>
      <x:c r="E31" s="181" t="n">
        <x:v>45925</x:v>
      </x:c>
      <x:c r="F31" s="181" t="n">
        <x:v>45955</x:v>
      </x:c>
      <x:c r="G31" s="182" t="n">
        <x:v>1556.54</x:v>
      </x:c>
      <x:c r="H31" s="183" t="n">
        <x:v>0</x:v>
      </x:c>
      <x:c r="I31" s="182" t="n">
        <x:v>0</x:v>
      </x:c>
      <x:c r="J31" s="182" t="n">
        <x:v>1556.54</x:v>
      </x:c>
      <x:c r="K31" s="182" t="str">
        <x:v>Nora Patel</x:v>
      </x:c>
      <x:c r="L31" s="182" t="str">
        <x:v>nora@cedar.example</x:v>
      </x:c>
      <x:c r="M31" s="184" t="n">
        <x:f>ROUND(SUMIF('Payment Log'!$B$5:$B$173,A31,'Payment Log'!$D$5:$D$173),2)</x:f>
        <x:v>1556.54</x:v>
      </x:c>
      <x:c r="N31" s="184" t="n">
        <x:f>ROUND(MAX(0,J31-M31),2)</x:f>
        <x:v>0</x:v>
      </x:c>
      <x:c r="O31" s="185" t="n">
        <x:f>IF(N31=0,0,MAX(0,'Checks'!$B$3-F31))</x:f>
        <x:v>0</x:v>
      </x:c>
      <x:c r="P31" s="186" t="str">
        <x:f>IF(N31=0,"Paid",IF(O31&gt;0,IF(M31&gt;0,"Partially Paid - Overdue","Overdue"),IF(M31&gt;0,"Partially Paid","Open")))</x:f>
        <x:v>Paid</x:v>
      </x:c>
      <x:c r="Q31" s="187" t="str">
        <x:f>IF(N31=0,"Paid",IF(O31=0,"Current",IF(O31&lt;=30,"1-30 days",IF(O31&lt;=60,"31-60 days",IF(O31&lt;=90,"61-90 days","90+ days")))))</x:f>
        <x:v>Paid</x:v>
      </x:c>
    </x:row>
    <x:row r="32">
      <x:c r="A32" s="179" t="str">
        <x:v>INV-0028</x:v>
      </x:c>
      <x:c r="B32" s="180" t="str">
        <x:v>C004</x:v>
      </x:c>
      <x:c r="C32" s="180" t="str">
        <x:v>Harbor Legal Partners</x:v>
      </x:c>
      <x:c r="D32" s="180" t="str">
        <x:v>Automation setup</x:v>
      </x:c>
      <x:c r="E32" s="181" t="n">
        <x:v>45927</x:v>
      </x:c>
      <x:c r="F32" s="181" t="n">
        <x:v>45957</x:v>
      </x:c>
      <x:c r="G32" s="182" t="n">
        <x:v>497.54</x:v>
      </x:c>
      <x:c r="H32" s="183" t="n">
        <x:v>0</x:v>
      </x:c>
      <x:c r="I32" s="182" t="n">
        <x:v>0</x:v>
      </x:c>
      <x:c r="J32" s="182" t="n">
        <x:v>497.54</x:v>
      </x:c>
      <x:c r="K32" s="182" t="str">
        <x:v>Owen Brooks</x:v>
      </x:c>
      <x:c r="L32" s="182" t="str">
        <x:v>owen@harbor.example</x:v>
      </x:c>
      <x:c r="M32" s="184" t="n">
        <x:f>ROUND(SUMIF('Payment Log'!$B$5:$B$173,A32,'Payment Log'!$D$5:$D$173),2)</x:f>
        <x:v>195.33</x:v>
      </x:c>
      <x:c r="N32" s="184" t="n">
        <x:f>ROUND(MAX(0,J32-M32),2)</x:f>
        <x:v>302.21</x:v>
      </x:c>
      <x:c r="O32" s="185" t="n">
        <x:f>IF(N32=0,0,MAX(0,'Checks'!$B$3-F32))</x:f>
        <x:v>285</x:v>
      </x:c>
      <x:c r="P32" s="186" t="str">
        <x:f>IF(N32=0,"Paid",IF(O32&gt;0,IF(M32&gt;0,"Partially Paid - Overdue","Overdue"),IF(M32&gt;0,"Partially Paid","Open")))</x:f>
        <x:v>Partially Paid - Overdue</x:v>
      </x:c>
      <x:c r="Q32" s="187" t="str">
        <x:f>IF(N32=0,"Paid",IF(O32=0,"Current",IF(O32&lt;=30,"1-30 days",IF(O32&lt;=60,"31-60 days",IF(O32&lt;=90,"61-90 days","90+ days")))))</x:f>
        <x:v>90+ days</x:v>
      </x:c>
    </x:row>
    <x:row r="33">
      <x:c r="A33" s="179" t="str">
        <x:v>INV-0029</x:v>
      </x:c>
      <x:c r="B33" s="180" t="str">
        <x:v>C005</x:v>
      </x:c>
      <x:c r="C33" s="180" t="str">
        <x:v>Atlas Property Group</x:v>
      </x:c>
      <x:c r="D33" s="180" t="str">
        <x:v>KPI analysis</x:v>
      </x:c>
      <x:c r="E33" s="181" t="n">
        <x:v>45929</x:v>
      </x:c>
      <x:c r="F33" s="181" t="n">
        <x:v>45950</x:v>
      </x:c>
      <x:c r="G33" s="182" t="n">
        <x:v>2065.01</x:v>
      </x:c>
      <x:c r="H33" s="183" t="n">
        <x:v>0</x:v>
      </x:c>
      <x:c r="I33" s="182" t="n">
        <x:v>0</x:v>
      </x:c>
      <x:c r="J33" s="182" t="n">
        <x:v>2065.01</x:v>
      </x:c>
      <x:c r="K33" s="182" t="str">
        <x:v>Sara Lin</x:v>
      </x:c>
      <x:c r="L33" s="182" t="str">
        <x:v>sara@atlas.example</x:v>
      </x:c>
      <x:c r="M33" s="184" t="n">
        <x:f>ROUND(SUMIF('Payment Log'!$B$5:$B$173,A33,'Payment Log'!$D$5:$D$173),2)</x:f>
        <x:v>0</x:v>
      </x:c>
      <x:c r="N33" s="184" t="n">
        <x:f>ROUND(MAX(0,J33-M33),2)</x:f>
        <x:v>2065.01</x:v>
      </x:c>
      <x:c r="O33" s="185" t="n">
        <x:f>IF(N33=0,0,MAX(0,'Checks'!$B$3-F33))</x:f>
        <x:v>292</x:v>
      </x:c>
      <x:c r="P33" s="186" t="str">
        <x:f>IF(N33=0,"Paid",IF(O33&gt;0,IF(M33&gt;0,"Partially Paid - Overdue","Overdue"),IF(M33&gt;0,"Partially Paid","Open")))</x:f>
        <x:v>Overdue</x:v>
      </x:c>
      <x:c r="Q33" s="187" t="str">
        <x:f>IF(N33=0,"Paid",IF(O33=0,"Current",IF(O33&lt;=30,"1-30 days",IF(O33&lt;=60,"31-60 days",IF(O33&lt;=90,"61-90 days","90+ days")))))</x:f>
        <x:v>90+ days</x:v>
      </x:c>
    </x:row>
    <x:row r="34">
      <x:c r="A34" s="179" t="str">
        <x:v>INV-0030</x:v>
      </x:c>
      <x:c r="B34" s="180" t="str">
        <x:v>C006</x:v>
      </x:c>
      <x:c r="C34" s="180" t="str">
        <x:v>BrightPath Learning</x:v>
      </x:c>
      <x:c r="D34" s="180" t="str">
        <x:v>Advisory retainer</x:v>
      </x:c>
      <x:c r="E34" s="181" t="n">
        <x:v>45931</x:v>
      </x:c>
      <x:c r="F34" s="181" t="n">
        <x:v>45946</x:v>
      </x:c>
      <x:c r="G34" s="182" t="n">
        <x:v>1879.9</x:v>
      </x:c>
      <x:c r="H34" s="183" t="n">
        <x:v>0</x:v>
      </x:c>
      <x:c r="I34" s="182" t="n">
        <x:v>0</x:v>
      </x:c>
      <x:c r="J34" s="182" t="n">
        <x:v>1879.9</x:v>
      </x:c>
      <x:c r="K34" s="182" t="str">
        <x:v>Lina Costa</x:v>
      </x:c>
      <x:c r="L34" s="182" t="str">
        <x:v>lina@brightpath.example</x:v>
      </x:c>
      <x:c r="M34" s="184" t="n">
        <x:f>ROUND(SUMIF('Payment Log'!$B$5:$B$173,A34,'Payment Log'!$D$5:$D$173),2)</x:f>
        <x:v>0</x:v>
      </x:c>
      <x:c r="N34" s="184" t="n">
        <x:f>ROUND(MAX(0,J34-M34),2)</x:f>
        <x:v>1879.9</x:v>
      </x:c>
      <x:c r="O34" s="185" t="n">
        <x:f>IF(N34=0,0,MAX(0,'Checks'!$B$3-F34))</x:f>
        <x:v>296</x:v>
      </x:c>
      <x:c r="P34" s="186" t="str">
        <x:f>IF(N34=0,"Paid",IF(O34&gt;0,IF(M34&gt;0,"Partially Paid - Overdue","Overdue"),IF(M34&gt;0,"Partially Paid","Open")))</x:f>
        <x:v>Overdue</x:v>
      </x:c>
      <x:c r="Q34" s="187" t="str">
        <x:f>IF(N34=0,"Paid",IF(O34=0,"Current",IF(O34&lt;=30,"1-30 days",IF(O34&lt;=60,"31-60 days",IF(O34&lt;=90,"61-90 days","90+ days")))))</x:f>
        <x:v>90+ days</x:v>
      </x:c>
    </x:row>
    <x:row r="35">
      <x:c r="A35" s="179" t="str">
        <x:v>INV-0031</x:v>
      </x:c>
      <x:c r="B35" s="180" t="str">
        <x:v>C007</x:v>
      </x:c>
      <x:c r="C35" s="180" t="str">
        <x:v>PeakFit Clubs</x:v>
      </x:c>
      <x:c r="D35" s="180" t="str">
        <x:v>Dashboard build</x:v>
      </x:c>
      <x:c r="E35" s="181" t="n">
        <x:v>45933</x:v>
      </x:c>
      <x:c r="F35" s="181" t="n">
        <x:v>45963</x:v>
      </x:c>
      <x:c r="G35" s="182" t="n">
        <x:v>2624.98</x:v>
      </x:c>
      <x:c r="H35" s="183" t="n">
        <x:v>0.1</x:v>
      </x:c>
      <x:c r="I35" s="182" t="n">
        <x:v>262.5</x:v>
      </x:c>
      <x:c r="J35" s="182" t="n">
        <x:v>2887.48</x:v>
      </x:c>
      <x:c r="K35" s="182" t="str">
        <x:v>Noah Reed</x:v>
      </x:c>
      <x:c r="L35" s="182" t="str">
        <x:v>noah@peakfit.example</x:v>
      </x:c>
      <x:c r="M35" s="184" t="n">
        <x:f>ROUND(SUMIF('Payment Log'!$B$5:$B$173,A35,'Payment Log'!$D$5:$D$173),2)</x:f>
        <x:v>2887.48</x:v>
      </x:c>
      <x:c r="N35" s="184" t="n">
        <x:f>ROUND(MAX(0,J35-M35),2)</x:f>
        <x:v>0</x:v>
      </x:c>
      <x:c r="O35" s="185" t="n">
        <x:f>IF(N35=0,0,MAX(0,'Checks'!$B$3-F35))</x:f>
        <x:v>0</x:v>
      </x:c>
      <x:c r="P35" s="186" t="str">
        <x:f>IF(N35=0,"Paid",IF(O35&gt;0,IF(M35&gt;0,"Partially Paid - Overdue","Overdue"),IF(M35&gt;0,"Partially Paid","Open")))</x:f>
        <x:v>Paid</x:v>
      </x:c>
      <x:c r="Q35" s="187" t="str">
        <x:f>IF(N35=0,"Paid",IF(O35=0,"Current",IF(O35&lt;=30,"1-30 days",IF(O35&lt;=60,"31-60 days",IF(O35&lt;=90,"61-90 days","90+ days")))))</x:f>
        <x:v>Paid</x:v>
      </x:c>
    </x:row>
    <x:row r="36">
      <x:c r="A36" s="179" t="str">
        <x:v>INV-0032</x:v>
      </x:c>
      <x:c r="B36" s="180" t="str">
        <x:v>C008</x:v>
      </x:c>
      <x:c r="C36" s="180" t="str">
        <x:v>GreenFork Catering</x:v>
      </x:c>
      <x:c r="D36" s="180" t="str">
        <x:v>Monthly reporting</x:v>
      </x:c>
      <x:c r="E36" s="181" t="n">
        <x:v>45935</x:v>
      </x:c>
      <x:c r="F36" s="181" t="n">
        <x:v>45949</x:v>
      </x:c>
      <x:c r="G36" s="182" t="n">
        <x:v>2733.22</x:v>
      </x:c>
      <x:c r="H36" s="183" t="n">
        <x:v>0</x:v>
      </x:c>
      <x:c r="I36" s="182" t="n">
        <x:v>0</x:v>
      </x:c>
      <x:c r="J36" s="182" t="n">
        <x:v>2733.22</x:v>
      </x:c>
      <x:c r="K36" s="182" t="str">
        <x:v>Ava Stone</x:v>
      </x:c>
      <x:c r="L36" s="182" t="str">
        <x:v>ava@greenfork.example</x:v>
      </x:c>
      <x:c r="M36" s="184" t="n">
        <x:f>ROUND(SUMIF('Payment Log'!$B$5:$B$173,A36,'Payment Log'!$D$5:$D$173),2)</x:f>
        <x:v>2733.22</x:v>
      </x:c>
      <x:c r="N36" s="184" t="n">
        <x:f>ROUND(MAX(0,J36-M36),2)</x:f>
        <x:v>0</x:v>
      </x:c>
      <x:c r="O36" s="185" t="n">
        <x:f>IF(N36=0,0,MAX(0,'Checks'!$B$3-F36))</x:f>
        <x:v>0</x:v>
      </x:c>
      <x:c r="P36" s="186" t="str">
        <x:f>IF(N36=0,"Paid",IF(O36&gt;0,IF(M36&gt;0,"Partially Paid - Overdue","Overdue"),IF(M36&gt;0,"Partially Paid","Open")))</x:f>
        <x:v>Paid</x:v>
      </x:c>
      <x:c r="Q36" s="187" t="str">
        <x:f>IF(N36=0,"Paid",IF(O36=0,"Current",IF(O36&lt;=30,"1-30 days",IF(O36&lt;=60,"31-60 days",IF(O36&lt;=90,"61-90 days","90+ days")))))</x:f>
        <x:v>Paid</x:v>
      </x:c>
    </x:row>
    <x:row r="37">
      <x:c r="A37" s="179" t="str">
        <x:v>INV-0033</x:v>
      </x:c>
      <x:c r="B37" s="180" t="str">
        <x:v>C009</x:v>
      </x:c>
      <x:c r="C37" s="180" t="str">
        <x:v>Orbit SaaS Labs</x:v>
      </x:c>
      <x:c r="D37" s="180" t="str">
        <x:v>Data cleanup</x:v>
      </x:c>
      <x:c r="E37" s="181" t="n">
        <x:v>45937</x:v>
      </x:c>
      <x:c r="F37" s="181" t="n">
        <x:v>45967</x:v>
      </x:c>
      <x:c r="G37" s="182" t="n">
        <x:v>2249.81</x:v>
      </x:c>
      <x:c r="H37" s="183" t="n">
        <x:v>0</x:v>
      </x:c>
      <x:c r="I37" s="182" t="n">
        <x:v>0</x:v>
      </x:c>
      <x:c r="J37" s="182" t="n">
        <x:v>2249.81</x:v>
      </x:c>
      <x:c r="K37" s="182" t="str">
        <x:v>Leo Martin</x:v>
      </x:c>
      <x:c r="L37" s="182" t="str">
        <x:v>leo@orbit.example</x:v>
      </x:c>
      <x:c r="M37" s="184" t="n">
        <x:f>ROUND(SUMIF('Payment Log'!$B$5:$B$173,A37,'Payment Log'!$D$5:$D$173),2)</x:f>
        <x:v>896.98</x:v>
      </x:c>
      <x:c r="N37" s="184" t="n">
        <x:f>ROUND(MAX(0,J37-M37),2)</x:f>
        <x:v>1352.83</x:v>
      </x:c>
      <x:c r="O37" s="185" t="n">
        <x:f>IF(N37=0,0,MAX(0,'Checks'!$B$3-F37))</x:f>
        <x:v>275</x:v>
      </x:c>
      <x:c r="P37" s="186" t="str">
        <x:f>IF(N37=0,"Paid",IF(O37&gt;0,IF(M37&gt;0,"Partially Paid - Overdue","Overdue"),IF(M37&gt;0,"Partially Paid","Open")))</x:f>
        <x:v>Partially Paid - Overdue</x:v>
      </x:c>
      <x:c r="Q37" s="187" t="str">
        <x:f>IF(N37=0,"Paid",IF(O37=0,"Current",IF(O37&lt;=30,"1-30 days",IF(O37&lt;=60,"31-60 days",IF(O37&lt;=90,"61-90 days","90+ days")))))</x:f>
        <x:v>90+ days</x:v>
      </x:c>
    </x:row>
    <x:row r="38">
      <x:c r="A38" s="179" t="str">
        <x:v>INV-0034</x:v>
      </x:c>
      <x:c r="B38" s="180" t="str">
        <x:v>C010</x:v>
      </x:c>
      <x:c r="C38" s="180" t="str">
        <x:v>Willow Events</x:v>
      </x:c>
      <x:c r="D38" s="180" t="str">
        <x:v>Automation setup</x:v>
      </x:c>
      <x:c r="E38" s="181" t="n">
        <x:v>45939</x:v>
      </x:c>
      <x:c r="F38" s="181" t="n">
        <x:v>45954</x:v>
      </x:c>
      <x:c r="G38" s="182" t="n">
        <x:v>2710.34</x:v>
      </x:c>
      <x:c r="H38" s="183" t="n">
        <x:v>0</x:v>
      </x:c>
      <x:c r="I38" s="182" t="n">
        <x:v>0</x:v>
      </x:c>
      <x:c r="J38" s="182" t="n">
        <x:v>2710.34</x:v>
      </x:c>
      <x:c r="K38" s="182" t="str">
        <x:v>Emma Hayes</x:v>
      </x:c>
      <x:c r="L38" s="182" t="str">
        <x:v>emma@willow.example</x:v>
      </x:c>
      <x:c r="M38" s="184" t="n">
        <x:f>ROUND(SUMIF('Payment Log'!$B$5:$B$173,A38,'Payment Log'!$D$5:$D$173),2)</x:f>
        <x:v>0</x:v>
      </x:c>
      <x:c r="N38" s="184" t="n">
        <x:f>ROUND(MAX(0,J38-M38),2)</x:f>
        <x:v>2710.34</x:v>
      </x:c>
      <x:c r="O38" s="185" t="n">
        <x:f>IF(N38=0,0,MAX(0,'Checks'!$B$3-F38))</x:f>
        <x:v>288</x:v>
      </x:c>
      <x:c r="P38" s="186" t="str">
        <x:f>IF(N38=0,"Paid",IF(O38&gt;0,IF(M38&gt;0,"Partially Paid - Overdue","Overdue"),IF(M38&gt;0,"Partially Paid","Open")))</x:f>
        <x:v>Overdue</x:v>
      </x:c>
      <x:c r="Q38" s="187" t="str">
        <x:f>IF(N38=0,"Paid",IF(O38=0,"Current",IF(O38&lt;=30,"1-30 days",IF(O38&lt;=60,"31-60 days",IF(O38&lt;=90,"61-90 days","90+ days")))))</x:f>
        <x:v>90+ days</x:v>
      </x:c>
    </x:row>
    <x:row r="39">
      <x:c r="A39" s="179" t="str">
        <x:v>INV-0035</x:v>
      </x:c>
      <x:c r="B39" s="180" t="str">
        <x:v>C011</x:v>
      </x:c>
      <x:c r="C39" s="180" t="str">
        <x:v>Copperline Consulting</x:v>
      </x:c>
      <x:c r="D39" s="180" t="str">
        <x:v>KPI analysis</x:v>
      </x:c>
      <x:c r="E39" s="181" t="n">
        <x:v>45941</x:v>
      </x:c>
      <x:c r="F39" s="181" t="n">
        <x:v>45971</x:v>
      </x:c>
      <x:c r="G39" s="182" t="n">
        <x:v>1017.18</x:v>
      </x:c>
      <x:c r="H39" s="183" t="n">
        <x:v>0</x:v>
      </x:c>
      <x:c r="I39" s="182" t="n">
        <x:v>0</x:v>
      </x:c>
      <x:c r="J39" s="182" t="n">
        <x:v>1017.18</x:v>
      </x:c>
      <x:c r="K39" s="182" t="str">
        <x:v>Iris Young</x:v>
      </x:c>
      <x:c r="L39" s="182" t="str">
        <x:v>iris@copperline.example</x:v>
      </x:c>
      <x:c r="M39" s="184" t="n">
        <x:f>ROUND(SUMIF('Payment Log'!$B$5:$B$173,A39,'Payment Log'!$D$5:$D$173),2)</x:f>
        <x:v>1017.18</x:v>
      </x:c>
      <x:c r="N39" s="184" t="n">
        <x:f>ROUND(MAX(0,J39-M39),2)</x:f>
        <x:v>0</x:v>
      </x:c>
      <x:c r="O39" s="185" t="n">
        <x:f>IF(N39=0,0,MAX(0,'Checks'!$B$3-F39))</x:f>
        <x:v>0</x:v>
      </x:c>
      <x:c r="P39" s="186" t="str">
        <x:f>IF(N39=0,"Paid",IF(O39&gt;0,IF(M39&gt;0,"Partially Paid - Overdue","Overdue"),IF(M39&gt;0,"Partially Paid","Open")))</x:f>
        <x:v>Paid</x:v>
      </x:c>
      <x:c r="Q39" s="187" t="str">
        <x:f>IF(N39=0,"Paid",IF(O39=0,"Current",IF(O39&lt;=30,"1-30 days",IF(O39&lt;=60,"31-60 days",IF(O39&lt;=90,"61-90 days","90+ days")))))</x:f>
        <x:v>Paid</x:v>
      </x:c>
    </x:row>
    <x:row r="40">
      <x:c r="A40" s="179" t="str">
        <x:v>INV-0036</x:v>
      </x:c>
      <x:c r="B40" s="180" t="str">
        <x:v>C012</x:v>
      </x:c>
      <x:c r="C40" s="180" t="str">
        <x:v>Bluebird Media</x:v>
      </x:c>
      <x:c r="D40" s="180" t="str">
        <x:v>Advisory retainer</x:v>
      </x:c>
      <x:c r="E40" s="181" t="n">
        <x:v>45943</x:v>
      </x:c>
      <x:c r="F40" s="181" t="n">
        <x:v>45964</x:v>
      </x:c>
      <x:c r="G40" s="182" t="n">
        <x:v>1519.19</x:v>
      </x:c>
      <x:c r="H40" s="183" t="n">
        <x:v>0.1</x:v>
      </x:c>
      <x:c r="I40" s="182" t="n">
        <x:v>151.92</x:v>
      </x:c>
      <x:c r="J40" s="182" t="n">
        <x:v>1671.11</x:v>
      </x:c>
      <x:c r="K40" s="182" t="str">
        <x:v>Theo King</x:v>
      </x:c>
      <x:c r="L40" s="182" t="str">
        <x:v>theo@bluebird.example</x:v>
      </x:c>
      <x:c r="M40" s="184" t="n">
        <x:f>ROUND(SUMIF('Payment Log'!$B$5:$B$173,A40,'Payment Log'!$D$5:$D$173),2)</x:f>
        <x:v>1671.11</x:v>
      </x:c>
      <x:c r="N40" s="184" t="n">
        <x:f>ROUND(MAX(0,J40-M40),2)</x:f>
        <x:v>0</x:v>
      </x:c>
      <x:c r="O40" s="185" t="n">
        <x:f>IF(N40=0,0,MAX(0,'Checks'!$B$3-F40))</x:f>
        <x:v>0</x:v>
      </x:c>
      <x:c r="P40" s="186" t="str">
        <x:f>IF(N40=0,"Paid",IF(O40&gt;0,IF(M40&gt;0,"Partially Paid - Overdue","Overdue"),IF(M40&gt;0,"Partially Paid","Open")))</x:f>
        <x:v>Paid</x:v>
      </x:c>
      <x:c r="Q40" s="187" t="str">
        <x:f>IF(N40=0,"Paid",IF(O40=0,"Current",IF(O40&lt;=30,"1-30 days",IF(O40&lt;=60,"31-60 days",IF(O40&lt;=90,"61-90 days","90+ days")))))</x:f>
        <x:v>Paid</x:v>
      </x:c>
    </x:row>
    <x:row r="41">
      <x:c r="A41" s="179" t="str">
        <x:v>INV-0037</x:v>
      </x:c>
      <x:c r="B41" s="180" t="str">
        <x:v>C001</x:v>
      </x:c>
      <x:c r="C41" s="180" t="str">
        <x:v>Northstar Creative</x:v>
      </x:c>
      <x:c r="D41" s="180" t="str">
        <x:v>Dashboard build</x:v>
      </x:c>
      <x:c r="E41" s="181" t="n">
        <x:v>45946</x:v>
      </x:c>
      <x:c r="F41" s="181" t="n">
        <x:v>45976</x:v>
      </x:c>
      <x:c r="G41" s="182" t="n">
        <x:v>2101.44</x:v>
      </x:c>
      <x:c r="H41" s="183" t="n">
        <x:v>0</x:v>
      </x:c>
      <x:c r="I41" s="182" t="n">
        <x:v>0</x:v>
      </x:c>
      <x:c r="J41" s="182" t="n">
        <x:v>2101.44</x:v>
      </x:c>
      <x:c r="K41" s="182" t="str">
        <x:v>Maya Chen</x:v>
      </x:c>
      <x:c r="L41" s="182" t="str">
        <x:v>maya@northstar.example</x:v>
      </x:c>
      <x:c r="M41" s="184" t="n">
        <x:f>ROUND(SUMIF('Payment Log'!$B$5:$B$173,A41,'Payment Log'!$D$5:$D$173),2)</x:f>
        <x:v>2101.44</x:v>
      </x:c>
      <x:c r="N41" s="184" t="n">
        <x:f>ROUND(MAX(0,J41-M41),2)</x:f>
        <x:v>0</x:v>
      </x:c>
      <x:c r="O41" s="185" t="n">
        <x:f>IF(N41=0,0,MAX(0,'Checks'!$B$3-F41))</x:f>
        <x:v>0</x:v>
      </x:c>
      <x:c r="P41" s="186" t="str">
        <x:f>IF(N41=0,"Paid",IF(O41&gt;0,IF(M41&gt;0,"Partially Paid - Overdue","Overdue"),IF(M41&gt;0,"Partially Paid","Open")))</x:f>
        <x:v>Paid</x:v>
      </x:c>
      <x:c r="Q41" s="187" t="str">
        <x:f>IF(N41=0,"Paid",IF(O41=0,"Current",IF(O41&lt;=30,"1-30 days",IF(O41&lt;=60,"31-60 days",IF(O41&lt;=90,"61-90 days","90+ days")))))</x:f>
        <x:v>Paid</x:v>
      </x:c>
    </x:row>
    <x:row r="42">
      <x:c r="A42" s="179" t="str">
        <x:v>INV-0038</x:v>
      </x:c>
      <x:c r="B42" s="180" t="str">
        <x:v>C002</x:v>
      </x:c>
      <x:c r="C42" s="180" t="str">
        <x:v>Lumen Health Studio</x:v>
      </x:c>
      <x:c r="D42" s="180" t="str">
        <x:v>Monthly reporting</x:v>
      </x:c>
      <x:c r="E42" s="181" t="n">
        <x:v>45948</x:v>
      </x:c>
      <x:c r="F42" s="181" t="n">
        <x:v>45963</x:v>
      </x:c>
      <x:c r="G42" s="182" t="n">
        <x:v>1668.74</x:v>
      </x:c>
      <x:c r="H42" s="183" t="n">
        <x:v>0</x:v>
      </x:c>
      <x:c r="I42" s="182" t="n">
        <x:v>0</x:v>
      </x:c>
      <x:c r="J42" s="182" t="n">
        <x:v>1668.74</x:v>
      </x:c>
      <x:c r="K42" s="182" t="str">
        <x:v>Elias Ward</x:v>
      </x:c>
      <x:c r="L42" s="182" t="str">
        <x:v>elias@lumen.example</x:v>
      </x:c>
      <x:c r="M42" s="184" t="n">
        <x:f>ROUND(SUMIF('Payment Log'!$B$5:$B$173,A42,'Payment Log'!$D$5:$D$173),2)</x:f>
        <x:v>1668.74</x:v>
      </x:c>
      <x:c r="N42" s="184" t="n">
        <x:f>ROUND(MAX(0,J42-M42),2)</x:f>
        <x:v>0</x:v>
      </x:c>
      <x:c r="O42" s="185" t="n">
        <x:f>IF(N42=0,0,MAX(0,'Checks'!$B$3-F42))</x:f>
        <x:v>0</x:v>
      </x:c>
      <x:c r="P42" s="186" t="str">
        <x:f>IF(N42=0,"Paid",IF(O42&gt;0,IF(M42&gt;0,"Partially Paid - Overdue","Overdue"),IF(M42&gt;0,"Partially Paid","Open")))</x:f>
        <x:v>Paid</x:v>
      </x:c>
      <x:c r="Q42" s="187" t="str">
        <x:f>IF(N42=0,"Paid",IF(O42=0,"Current",IF(O42&lt;=30,"1-30 days",IF(O42&lt;=60,"31-60 days",IF(O42&lt;=90,"61-90 days","90+ days")))))</x:f>
        <x:v>Paid</x:v>
      </x:c>
    </x:row>
    <x:row r="43">
      <x:c r="A43" s="179" t="str">
        <x:v>INV-0039</x:v>
      </x:c>
      <x:c r="B43" s="180" t="str">
        <x:v>C003</x:v>
      </x:c>
      <x:c r="C43" s="180" t="str">
        <x:v>Cedar &amp; Co. Retail</x:v>
      </x:c>
      <x:c r="D43" s="180" t="str">
        <x:v>Data cleanup</x:v>
      </x:c>
      <x:c r="E43" s="181" t="n">
        <x:v>45950</x:v>
      </x:c>
      <x:c r="F43" s="181" t="n">
        <x:v>45980</x:v>
      </x:c>
      <x:c r="G43" s="182" t="n">
        <x:v>1701.23</x:v>
      </x:c>
      <x:c r="H43" s="183" t="n">
        <x:v>0</x:v>
      </x:c>
      <x:c r="I43" s="182" t="n">
        <x:v>0</x:v>
      </x:c>
      <x:c r="J43" s="182" t="n">
        <x:v>1701.23</x:v>
      </x:c>
      <x:c r="K43" s="182" t="str">
        <x:v>Nora Patel</x:v>
      </x:c>
      <x:c r="L43" s="182" t="str">
        <x:v>nora@cedar.example</x:v>
      </x:c>
      <x:c r="M43" s="184" t="n">
        <x:f>ROUND(SUMIF('Payment Log'!$B$5:$B$173,A43,'Payment Log'!$D$5:$D$173),2)</x:f>
        <x:v>1701.23</x:v>
      </x:c>
      <x:c r="N43" s="184" t="n">
        <x:f>ROUND(MAX(0,J43-M43),2)</x:f>
        <x:v>0</x:v>
      </x:c>
      <x:c r="O43" s="185" t="n">
        <x:f>IF(N43=0,0,MAX(0,'Checks'!$B$3-F43))</x:f>
        <x:v>0</x:v>
      </x:c>
      <x:c r="P43" s="186" t="str">
        <x:f>IF(N43=0,"Paid",IF(O43&gt;0,IF(M43&gt;0,"Partially Paid - Overdue","Overdue"),IF(M43&gt;0,"Partially Paid","Open")))</x:f>
        <x:v>Paid</x:v>
      </x:c>
      <x:c r="Q43" s="187" t="str">
        <x:f>IF(N43=0,"Paid",IF(O43=0,"Current",IF(O43&lt;=30,"1-30 days",IF(O43&lt;=60,"31-60 days",IF(O43&lt;=90,"61-90 days","90+ days")))))</x:f>
        <x:v>Paid</x:v>
      </x:c>
    </x:row>
    <x:row r="44">
      <x:c r="A44" s="179" t="str">
        <x:v>INV-0040</x:v>
      </x:c>
      <x:c r="B44" s="180" t="str">
        <x:v>C004</x:v>
      </x:c>
      <x:c r="C44" s="180" t="str">
        <x:v>Harbor Legal Partners</x:v>
      </x:c>
      <x:c r="D44" s="180" t="str">
        <x:v>Automation setup</x:v>
      </x:c>
      <x:c r="E44" s="181" t="n">
        <x:v>45952</x:v>
      </x:c>
      <x:c r="F44" s="181" t="n">
        <x:v>45982</x:v>
      </x:c>
      <x:c r="G44" s="182" t="n">
        <x:v>2552.25</x:v>
      </x:c>
      <x:c r="H44" s="183" t="n">
        <x:v>0</x:v>
      </x:c>
      <x:c r="I44" s="182" t="n">
        <x:v>0</x:v>
      </x:c>
      <x:c r="J44" s="182" t="n">
        <x:v>2552.25</x:v>
      </x:c>
      <x:c r="K44" s="182" t="str">
        <x:v>Owen Brooks</x:v>
      </x:c>
      <x:c r="L44" s="182" t="str">
        <x:v>owen@harbor.example</x:v>
      </x:c>
      <x:c r="M44" s="184" t="n">
        <x:f>ROUND(SUMIF('Payment Log'!$B$5:$B$173,A44,'Payment Log'!$D$5:$D$173),2)</x:f>
        <x:v>0</x:v>
      </x:c>
      <x:c r="N44" s="184" t="n">
        <x:f>ROUND(MAX(0,J44-M44),2)</x:f>
        <x:v>2552.25</x:v>
      </x:c>
      <x:c r="O44" s="185" t="n">
        <x:f>IF(N44=0,0,MAX(0,'Checks'!$B$3-F44))</x:f>
        <x:v>260</x:v>
      </x:c>
      <x:c r="P44" s="186" t="str">
        <x:f>IF(N44=0,"Paid",IF(O44&gt;0,IF(M44&gt;0,"Partially Paid - Overdue","Overdue"),IF(M44&gt;0,"Partially Paid","Open")))</x:f>
        <x:v>Overdue</x:v>
      </x:c>
      <x:c r="Q44" s="187" t="str">
        <x:f>IF(N44=0,"Paid",IF(O44=0,"Current",IF(O44&lt;=30,"1-30 days",IF(O44&lt;=60,"31-60 days",IF(O44&lt;=90,"61-90 days","90+ days")))))</x:f>
        <x:v>90+ days</x:v>
      </x:c>
    </x:row>
    <x:row r="45">
      <x:c r="A45" s="179" t="str">
        <x:v>INV-0041</x:v>
      </x:c>
      <x:c r="B45" s="180" t="str">
        <x:v>C005</x:v>
      </x:c>
      <x:c r="C45" s="180" t="str">
        <x:v>Atlas Property Group</x:v>
      </x:c>
      <x:c r="D45" s="180" t="str">
        <x:v>KPI analysis</x:v>
      </x:c>
      <x:c r="E45" s="181" t="n">
        <x:v>45954</x:v>
      </x:c>
      <x:c r="F45" s="181" t="n">
        <x:v>45975</x:v>
      </x:c>
      <x:c r="G45" s="182" t="n">
        <x:v>2035.59</x:v>
      </x:c>
      <x:c r="H45" s="183" t="n">
        <x:v>0.1</x:v>
      </x:c>
      <x:c r="I45" s="182" t="n">
        <x:v>203.56</x:v>
      </x:c>
      <x:c r="J45" s="182" t="n">
        <x:v>2239.15</x:v>
      </x:c>
      <x:c r="K45" s="182" t="str">
        <x:v>Sara Lin</x:v>
      </x:c>
      <x:c r="L45" s="182" t="str">
        <x:v>sara@atlas.example</x:v>
      </x:c>
      <x:c r="M45" s="184" t="n">
        <x:f>ROUND(SUMIF('Payment Log'!$B$5:$B$173,A45,'Payment Log'!$D$5:$D$173),2)</x:f>
        <x:v>0</x:v>
      </x:c>
      <x:c r="N45" s="184" t="n">
        <x:f>ROUND(MAX(0,J45-M45),2)</x:f>
        <x:v>2239.15</x:v>
      </x:c>
      <x:c r="O45" s="185" t="n">
        <x:f>IF(N45=0,0,MAX(0,'Checks'!$B$3-F45))</x:f>
        <x:v>267</x:v>
      </x:c>
      <x:c r="P45" s="186" t="str">
        <x:f>IF(N45=0,"Paid",IF(O45&gt;0,IF(M45&gt;0,"Partially Paid - Overdue","Overdue"),IF(M45&gt;0,"Partially Paid","Open")))</x:f>
        <x:v>Overdue</x:v>
      </x:c>
      <x:c r="Q45" s="187" t="str">
        <x:f>IF(N45=0,"Paid",IF(O45=0,"Current",IF(O45&lt;=30,"1-30 days",IF(O45&lt;=60,"31-60 days",IF(O45&lt;=90,"61-90 days","90+ days")))))</x:f>
        <x:v>90+ days</x:v>
      </x:c>
    </x:row>
    <x:row r="46">
      <x:c r="A46" s="179" t="str">
        <x:v>INV-0042</x:v>
      </x:c>
      <x:c r="B46" s="180" t="str">
        <x:v>C006</x:v>
      </x:c>
      <x:c r="C46" s="180" t="str">
        <x:v>BrightPath Learning</x:v>
      </x:c>
      <x:c r="D46" s="180" t="str">
        <x:v>Advisory retainer</x:v>
      </x:c>
      <x:c r="E46" s="181" t="n">
        <x:v>45956</x:v>
      </x:c>
      <x:c r="F46" s="181" t="n">
        <x:v>45971</x:v>
      </x:c>
      <x:c r="G46" s="182" t="n">
        <x:v>2726.59</x:v>
      </x:c>
      <x:c r="H46" s="183" t="n">
        <x:v>0</x:v>
      </x:c>
      <x:c r="I46" s="182" t="n">
        <x:v>0</x:v>
      </x:c>
      <x:c r="J46" s="182" t="n">
        <x:v>2726.59</x:v>
      </x:c>
      <x:c r="K46" s="182" t="str">
        <x:v>Lina Costa</x:v>
      </x:c>
      <x:c r="L46" s="182" t="str">
        <x:v>lina@brightpath.example</x:v>
      </x:c>
      <x:c r="M46" s="184" t="n">
        <x:f>ROUND(SUMIF('Payment Log'!$B$5:$B$173,A46,'Payment Log'!$D$5:$D$173),2)</x:f>
        <x:v>1823.29</x:v>
      </x:c>
      <x:c r="N46" s="184" t="n">
        <x:f>ROUND(MAX(0,J46-M46),2)</x:f>
        <x:v>903.3</x:v>
      </x:c>
      <x:c r="O46" s="185" t="n">
        <x:f>IF(N46=0,0,MAX(0,'Checks'!$B$3-F46))</x:f>
        <x:v>271</x:v>
      </x:c>
      <x:c r="P46" s="186" t="str">
        <x:f>IF(N46=0,"Paid",IF(O46&gt;0,IF(M46&gt;0,"Partially Paid - Overdue","Overdue"),IF(M46&gt;0,"Partially Paid","Open")))</x:f>
        <x:v>Partially Paid - Overdue</x:v>
      </x:c>
      <x:c r="Q46" s="187" t="str">
        <x:f>IF(N46=0,"Paid",IF(O46=0,"Current",IF(O46&lt;=30,"1-30 days",IF(O46&lt;=60,"31-60 days",IF(O46&lt;=90,"61-90 days","90+ days")))))</x:f>
        <x:v>90+ days</x:v>
      </x:c>
    </x:row>
    <x:row r="47">
      <x:c r="A47" s="179" t="str">
        <x:v>INV-0043</x:v>
      </x:c>
      <x:c r="B47" s="180" t="str">
        <x:v>C007</x:v>
      </x:c>
      <x:c r="C47" s="180" t="str">
        <x:v>PeakFit Clubs</x:v>
      </x:c>
      <x:c r="D47" s="180" t="str">
        <x:v>Dashboard build</x:v>
      </x:c>
      <x:c r="E47" s="181" t="n">
        <x:v>45958</x:v>
      </x:c>
      <x:c r="F47" s="181" t="n">
        <x:v>45988</x:v>
      </x:c>
      <x:c r="G47" s="182" t="n">
        <x:v>907.67</x:v>
      </x:c>
      <x:c r="H47" s="183" t="n">
        <x:v>0</x:v>
      </x:c>
      <x:c r="I47" s="182" t="n">
        <x:v>0</x:v>
      </x:c>
      <x:c r="J47" s="182" t="n">
        <x:v>907.67</x:v>
      </x:c>
      <x:c r="K47" s="182" t="str">
        <x:v>Noah Reed</x:v>
      </x:c>
      <x:c r="L47" s="182" t="str">
        <x:v>noah@peakfit.example</x:v>
      </x:c>
      <x:c r="M47" s="184" t="n">
        <x:f>ROUND(SUMIF('Payment Log'!$B$5:$B$173,A47,'Payment Log'!$D$5:$D$173),2)</x:f>
        <x:v>629.18</x:v>
      </x:c>
      <x:c r="N47" s="184" t="n">
        <x:f>ROUND(MAX(0,J47-M47),2)</x:f>
        <x:v>278.49</x:v>
      </x:c>
      <x:c r="O47" s="185" t="n">
        <x:f>IF(N47=0,0,MAX(0,'Checks'!$B$3-F47))</x:f>
        <x:v>254</x:v>
      </x:c>
      <x:c r="P47" s="186" t="str">
        <x:f>IF(N47=0,"Paid",IF(O47&gt;0,IF(M47&gt;0,"Partially Paid - Overdue","Overdue"),IF(M47&gt;0,"Partially Paid","Open")))</x:f>
        <x:v>Partially Paid - Overdue</x:v>
      </x:c>
      <x:c r="Q47" s="187" t="str">
        <x:f>IF(N47=0,"Paid",IF(O47=0,"Current",IF(O47&lt;=30,"1-30 days",IF(O47&lt;=60,"31-60 days",IF(O47&lt;=90,"61-90 days","90+ days")))))</x:f>
        <x:v>90+ days</x:v>
      </x:c>
    </x:row>
    <x:row r="48">
      <x:c r="A48" s="179" t="str">
        <x:v>INV-0044</x:v>
      </x:c>
      <x:c r="B48" s="180" t="str">
        <x:v>C008</x:v>
      </x:c>
      <x:c r="C48" s="180" t="str">
        <x:v>GreenFork Catering</x:v>
      </x:c>
      <x:c r="D48" s="180" t="str">
        <x:v>Monthly reporting</x:v>
      </x:c>
      <x:c r="E48" s="181" t="n">
        <x:v>45960</x:v>
      </x:c>
      <x:c r="F48" s="181" t="n">
        <x:v>45974</x:v>
      </x:c>
      <x:c r="G48" s="182" t="n">
        <x:v>1537.82</x:v>
      </x:c>
      <x:c r="H48" s="183" t="n">
        <x:v>0</x:v>
      </x:c>
      <x:c r="I48" s="182" t="n">
        <x:v>0</x:v>
      </x:c>
      <x:c r="J48" s="182" t="n">
        <x:v>1537.82</x:v>
      </x:c>
      <x:c r="K48" s="182" t="str">
        <x:v>Ava Stone</x:v>
      </x:c>
      <x:c r="L48" s="182" t="str">
        <x:v>ava@greenfork.example</x:v>
      </x:c>
      <x:c r="M48" s="184" t="n">
        <x:f>ROUND(SUMIF('Payment Log'!$B$5:$B$173,A48,'Payment Log'!$D$5:$D$173),2)</x:f>
        <x:v>1537.82</x:v>
      </x:c>
      <x:c r="N48" s="184" t="n">
        <x:f>ROUND(MAX(0,J48-M48),2)</x:f>
        <x:v>0</x:v>
      </x:c>
      <x:c r="O48" s="185" t="n">
        <x:f>IF(N48=0,0,MAX(0,'Checks'!$B$3-F48))</x:f>
        <x:v>0</x:v>
      </x:c>
      <x:c r="P48" s="186" t="str">
        <x:f>IF(N48=0,"Paid",IF(O48&gt;0,IF(M48&gt;0,"Partially Paid - Overdue","Overdue"),IF(M48&gt;0,"Partially Paid","Open")))</x:f>
        <x:v>Paid</x:v>
      </x:c>
      <x:c r="Q48" s="187" t="str">
        <x:f>IF(N48=0,"Paid",IF(O48=0,"Current",IF(O48&lt;=30,"1-30 days",IF(O48&lt;=60,"31-60 days",IF(O48&lt;=90,"61-90 days","90+ days")))))</x:f>
        <x:v>Paid</x:v>
      </x:c>
    </x:row>
    <x:row r="49">
      <x:c r="A49" s="179" t="str">
        <x:v>INV-0045</x:v>
      </x:c>
      <x:c r="B49" s="180" t="str">
        <x:v>C009</x:v>
      </x:c>
      <x:c r="C49" s="180" t="str">
        <x:v>Orbit SaaS Labs</x:v>
      </x:c>
      <x:c r="D49" s="180" t="str">
        <x:v>Data cleanup</x:v>
      </x:c>
      <x:c r="E49" s="181" t="n">
        <x:v>45962</x:v>
      </x:c>
      <x:c r="F49" s="181" t="n">
        <x:v>45992</x:v>
      </x:c>
      <x:c r="G49" s="182" t="n">
        <x:v>654.21</x:v>
      </x:c>
      <x:c r="H49" s="183" t="n">
        <x:v>0</x:v>
      </x:c>
      <x:c r="I49" s="182" t="n">
        <x:v>0</x:v>
      </x:c>
      <x:c r="J49" s="182" t="n">
        <x:v>654.21</x:v>
      </x:c>
      <x:c r="K49" s="182" t="str">
        <x:v>Leo Martin</x:v>
      </x:c>
      <x:c r="L49" s="182" t="str">
        <x:v>leo@orbit.example</x:v>
      </x:c>
      <x:c r="M49" s="184" t="n">
        <x:f>ROUND(SUMIF('Payment Log'!$B$5:$B$173,A49,'Payment Log'!$D$5:$D$173),2)</x:f>
        <x:v>277.26</x:v>
      </x:c>
      <x:c r="N49" s="184" t="n">
        <x:f>ROUND(MAX(0,J49-M49),2)</x:f>
        <x:v>376.95</x:v>
      </x:c>
      <x:c r="O49" s="185" t="n">
        <x:f>IF(N49=0,0,MAX(0,'Checks'!$B$3-F49))</x:f>
        <x:v>250</x:v>
      </x:c>
      <x:c r="P49" s="186" t="str">
        <x:f>IF(N49=0,"Paid",IF(O49&gt;0,IF(M49&gt;0,"Partially Paid - Overdue","Overdue"),IF(M49&gt;0,"Partially Paid","Open")))</x:f>
        <x:v>Partially Paid - Overdue</x:v>
      </x:c>
      <x:c r="Q49" s="187" t="str">
        <x:f>IF(N49=0,"Paid",IF(O49=0,"Current",IF(O49&lt;=30,"1-30 days",IF(O49&lt;=60,"31-60 days",IF(O49&lt;=90,"61-90 days","90+ days")))))</x:f>
        <x:v>90+ days</x:v>
      </x:c>
    </x:row>
    <x:row r="50">
      <x:c r="A50" s="179" t="str">
        <x:v>INV-0046</x:v>
      </x:c>
      <x:c r="B50" s="180" t="str">
        <x:v>C010</x:v>
      </x:c>
      <x:c r="C50" s="180" t="str">
        <x:v>Willow Events</x:v>
      </x:c>
      <x:c r="D50" s="180" t="str">
        <x:v>Automation setup</x:v>
      </x:c>
      <x:c r="E50" s="181" t="n">
        <x:v>45964</x:v>
      </x:c>
      <x:c r="F50" s="181" t="n">
        <x:v>45979</x:v>
      </x:c>
      <x:c r="G50" s="182" t="n">
        <x:v>495.03</x:v>
      </x:c>
      <x:c r="H50" s="183" t="n">
        <x:v>0.1</x:v>
      </x:c>
      <x:c r="I50" s="182" t="n">
        <x:v>49.5</x:v>
      </x:c>
      <x:c r="J50" s="182" t="n">
        <x:v>544.53</x:v>
      </x:c>
      <x:c r="K50" s="182" t="str">
        <x:v>Emma Hayes</x:v>
      </x:c>
      <x:c r="L50" s="182" t="str">
        <x:v>emma@willow.example</x:v>
      </x:c>
      <x:c r="M50" s="184" t="n">
        <x:f>ROUND(SUMIF('Payment Log'!$B$5:$B$173,A50,'Payment Log'!$D$5:$D$173),2)</x:f>
        <x:v>544.53</x:v>
      </x:c>
      <x:c r="N50" s="184" t="n">
        <x:f>ROUND(MAX(0,J50-M50),2)</x:f>
        <x:v>0</x:v>
      </x:c>
      <x:c r="O50" s="185" t="n">
        <x:f>IF(N50=0,0,MAX(0,'Checks'!$B$3-F50))</x:f>
        <x:v>0</x:v>
      </x:c>
      <x:c r="P50" s="186" t="str">
        <x:f>IF(N50=0,"Paid",IF(O50&gt;0,IF(M50&gt;0,"Partially Paid - Overdue","Overdue"),IF(M50&gt;0,"Partially Paid","Open")))</x:f>
        <x:v>Paid</x:v>
      </x:c>
      <x:c r="Q50" s="187" t="str">
        <x:f>IF(N50=0,"Paid",IF(O50=0,"Current",IF(O50&lt;=30,"1-30 days",IF(O50&lt;=60,"31-60 days",IF(O50&lt;=90,"61-90 days","90+ days")))))</x:f>
        <x:v>Paid</x:v>
      </x:c>
    </x:row>
    <x:row r="51">
      <x:c r="A51" s="179" t="str">
        <x:v>INV-0047</x:v>
      </x:c>
      <x:c r="B51" s="180" t="str">
        <x:v>C011</x:v>
      </x:c>
      <x:c r="C51" s="180" t="str">
        <x:v>Copperline Consulting</x:v>
      </x:c>
      <x:c r="D51" s="180" t="str">
        <x:v>KPI analysis</x:v>
      </x:c>
      <x:c r="E51" s="181" t="n">
        <x:v>45966</x:v>
      </x:c>
      <x:c r="F51" s="181" t="n">
        <x:v>45996</x:v>
      </x:c>
      <x:c r="G51" s="182" t="n">
        <x:v>2302.96</x:v>
      </x:c>
      <x:c r="H51" s="183" t="n">
        <x:v>0</x:v>
      </x:c>
      <x:c r="I51" s="182" t="n">
        <x:v>0</x:v>
      </x:c>
      <x:c r="J51" s="182" t="n">
        <x:v>2302.96</x:v>
      </x:c>
      <x:c r="K51" s="182" t="str">
        <x:v>Iris Young</x:v>
      </x:c>
      <x:c r="L51" s="182" t="str">
        <x:v>iris@copperline.example</x:v>
      </x:c>
      <x:c r="M51" s="184" t="n">
        <x:f>ROUND(SUMIF('Payment Log'!$B$5:$B$173,A51,'Payment Log'!$D$5:$D$173),2)</x:f>
        <x:v>2302.96</x:v>
      </x:c>
      <x:c r="N51" s="184" t="n">
        <x:f>ROUND(MAX(0,J51-M51),2)</x:f>
        <x:v>0</x:v>
      </x:c>
      <x:c r="O51" s="185" t="n">
        <x:f>IF(N51=0,0,MAX(0,'Checks'!$B$3-F51))</x:f>
        <x:v>0</x:v>
      </x:c>
      <x:c r="P51" s="186" t="str">
        <x:f>IF(N51=0,"Paid",IF(O51&gt;0,IF(M51&gt;0,"Partially Paid - Overdue","Overdue"),IF(M51&gt;0,"Partially Paid","Open")))</x:f>
        <x:v>Paid</x:v>
      </x:c>
      <x:c r="Q51" s="187" t="str">
        <x:f>IF(N51=0,"Paid",IF(O51=0,"Current",IF(O51&lt;=30,"1-30 days",IF(O51&lt;=60,"31-60 days",IF(O51&lt;=90,"61-90 days","90+ days")))))</x:f>
        <x:v>Paid</x:v>
      </x:c>
    </x:row>
    <x:row r="52">
      <x:c r="A52" s="179" t="str">
        <x:v>INV-0048</x:v>
      </x:c>
      <x:c r="B52" s="180" t="str">
        <x:v>C012</x:v>
      </x:c>
      <x:c r="C52" s="180" t="str">
        <x:v>Bluebird Media</x:v>
      </x:c>
      <x:c r="D52" s="180" t="str">
        <x:v>Advisory retainer</x:v>
      </x:c>
      <x:c r="E52" s="181" t="n">
        <x:v>45968</x:v>
      </x:c>
      <x:c r="F52" s="181" t="n">
        <x:v>45989</x:v>
      </x:c>
      <x:c r="G52" s="182" t="n">
        <x:v>1789.51</x:v>
      </x:c>
      <x:c r="H52" s="183" t="n">
        <x:v>0</x:v>
      </x:c>
      <x:c r="I52" s="182" t="n">
        <x:v>0</x:v>
      </x:c>
      <x:c r="J52" s="182" t="n">
        <x:v>1789.51</x:v>
      </x:c>
      <x:c r="K52" s="182" t="str">
        <x:v>Theo King</x:v>
      </x:c>
      <x:c r="L52" s="182" t="str">
        <x:v>theo@bluebird.example</x:v>
      </x:c>
      <x:c r="M52" s="184" t="n">
        <x:f>ROUND(SUMIF('Payment Log'!$B$5:$B$173,A52,'Payment Log'!$D$5:$D$173),2)</x:f>
        <x:v>1789.51</x:v>
      </x:c>
      <x:c r="N52" s="184" t="n">
        <x:f>ROUND(MAX(0,J52-M52),2)</x:f>
        <x:v>0</x:v>
      </x:c>
      <x:c r="O52" s="185" t="n">
        <x:f>IF(N52=0,0,MAX(0,'Checks'!$B$3-F52))</x:f>
        <x:v>0</x:v>
      </x:c>
      <x:c r="P52" s="186" t="str">
        <x:f>IF(N52=0,"Paid",IF(O52&gt;0,IF(M52&gt;0,"Partially Paid - Overdue","Overdue"),IF(M52&gt;0,"Partially Paid","Open")))</x:f>
        <x:v>Paid</x:v>
      </x:c>
      <x:c r="Q52" s="187" t="str">
        <x:f>IF(N52=0,"Paid",IF(O52=0,"Current",IF(O52&lt;=30,"1-30 days",IF(O52&lt;=60,"31-60 days",IF(O52&lt;=90,"61-90 days","90+ days")))))</x:f>
        <x:v>Paid</x:v>
      </x:c>
    </x:row>
    <x:row r="53">
      <x:c r="A53" s="179" t="str">
        <x:v>INV-0049</x:v>
      </x:c>
      <x:c r="B53" s="180" t="str">
        <x:v>C001</x:v>
      </x:c>
      <x:c r="C53" s="180" t="str">
        <x:v>Northstar Creative</x:v>
      </x:c>
      <x:c r="D53" s="180" t="str">
        <x:v>Dashboard build</x:v>
      </x:c>
      <x:c r="E53" s="181" t="n">
        <x:v>45970</x:v>
      </x:c>
      <x:c r="F53" s="181" t="n">
        <x:v>46000</x:v>
      </x:c>
      <x:c r="G53" s="182" t="n">
        <x:v>1383.53</x:v>
      </x:c>
      <x:c r="H53" s="183" t="n">
        <x:v>0</x:v>
      </x:c>
      <x:c r="I53" s="182" t="n">
        <x:v>0</x:v>
      </x:c>
      <x:c r="J53" s="182" t="n">
        <x:v>1383.53</x:v>
      </x:c>
      <x:c r="K53" s="182" t="str">
        <x:v>Maya Chen</x:v>
      </x:c>
      <x:c r="L53" s="182" t="str">
        <x:v>maya@northstar.example</x:v>
      </x:c>
      <x:c r="M53" s="184" t="n">
        <x:f>ROUND(SUMIF('Payment Log'!$B$5:$B$173,A53,'Payment Log'!$D$5:$D$173),2)</x:f>
        <x:v>1383.53</x:v>
      </x:c>
      <x:c r="N53" s="184" t="n">
        <x:f>ROUND(MAX(0,J53-M53),2)</x:f>
        <x:v>0</x:v>
      </x:c>
      <x:c r="O53" s="185" t="n">
        <x:f>IF(N53=0,0,MAX(0,'Checks'!$B$3-F53))</x:f>
        <x:v>0</x:v>
      </x:c>
      <x:c r="P53" s="186" t="str">
        <x:f>IF(N53=0,"Paid",IF(O53&gt;0,IF(M53&gt;0,"Partially Paid - Overdue","Overdue"),IF(M53&gt;0,"Partially Paid","Open")))</x:f>
        <x:v>Paid</x:v>
      </x:c>
      <x:c r="Q53" s="187" t="str">
        <x:f>IF(N53=0,"Paid",IF(O53=0,"Current",IF(O53&lt;=30,"1-30 days",IF(O53&lt;=60,"31-60 days",IF(O53&lt;=90,"61-90 days","90+ days")))))</x:f>
        <x:v>Paid</x:v>
      </x:c>
    </x:row>
    <x:row r="54">
      <x:c r="A54" s="179" t="str">
        <x:v>INV-0050</x:v>
      </x:c>
      <x:c r="B54" s="180" t="str">
        <x:v>C002</x:v>
      </x:c>
      <x:c r="C54" s="180" t="str">
        <x:v>Lumen Health Studio</x:v>
      </x:c>
      <x:c r="D54" s="180" t="str">
        <x:v>Monthly reporting</x:v>
      </x:c>
      <x:c r="E54" s="181" t="n">
        <x:v>45972</x:v>
      </x:c>
      <x:c r="F54" s="181" t="n">
        <x:v>45987</x:v>
      </x:c>
      <x:c r="G54" s="182" t="n">
        <x:v>2849.58</x:v>
      </x:c>
      <x:c r="H54" s="183" t="n">
        <x:v>0</x:v>
      </x:c>
      <x:c r="I54" s="182" t="n">
        <x:v>0</x:v>
      </x:c>
      <x:c r="J54" s="182" t="n">
        <x:v>2849.58</x:v>
      </x:c>
      <x:c r="K54" s="182" t="str">
        <x:v>Elias Ward</x:v>
      </x:c>
      <x:c r="L54" s="182" t="str">
        <x:v>elias@lumen.example</x:v>
      </x:c>
      <x:c r="M54" s="184" t="n">
        <x:f>ROUND(SUMIF('Payment Log'!$B$5:$B$173,A54,'Payment Log'!$D$5:$D$173),2)</x:f>
        <x:v>2849.58</x:v>
      </x:c>
      <x:c r="N54" s="184" t="n">
        <x:f>ROUND(MAX(0,J54-M54),2)</x:f>
        <x:v>0</x:v>
      </x:c>
      <x:c r="O54" s="185" t="n">
        <x:f>IF(N54=0,0,MAX(0,'Checks'!$B$3-F54))</x:f>
        <x:v>0</x:v>
      </x:c>
      <x:c r="P54" s="186" t="str">
        <x:f>IF(N54=0,"Paid",IF(O54&gt;0,IF(M54&gt;0,"Partially Paid - Overdue","Overdue"),IF(M54&gt;0,"Partially Paid","Open")))</x:f>
        <x:v>Paid</x:v>
      </x:c>
      <x:c r="Q54" s="187" t="str">
        <x:f>IF(N54=0,"Paid",IF(O54=0,"Current",IF(O54&lt;=30,"1-30 days",IF(O54&lt;=60,"31-60 days",IF(O54&lt;=90,"61-90 days","90+ days")))))</x:f>
        <x:v>Paid</x:v>
      </x:c>
    </x:row>
    <x:row r="55">
      <x:c r="A55" s="179" t="str">
        <x:v>INV-0051</x:v>
      </x:c>
      <x:c r="B55" s="180" t="str">
        <x:v>C003</x:v>
      </x:c>
      <x:c r="C55" s="180" t="str">
        <x:v>Cedar &amp; Co. Retail</x:v>
      </x:c>
      <x:c r="D55" s="180" t="str">
        <x:v>Data cleanup</x:v>
      </x:c>
      <x:c r="E55" s="181" t="n">
        <x:v>45974</x:v>
      </x:c>
      <x:c r="F55" s="181" t="n">
        <x:v>46004</x:v>
      </x:c>
      <x:c r="G55" s="182" t="n">
        <x:v>875.31</x:v>
      </x:c>
      <x:c r="H55" s="183" t="n">
        <x:v>0.1</x:v>
      </x:c>
      <x:c r="I55" s="182" t="n">
        <x:v>87.53</x:v>
      </x:c>
      <x:c r="J55" s="182" t="n">
        <x:v>962.84</x:v>
      </x:c>
      <x:c r="K55" s="182" t="str">
        <x:v>Nora Patel</x:v>
      </x:c>
      <x:c r="L55" s="182" t="str">
        <x:v>nora@cedar.example</x:v>
      </x:c>
      <x:c r="M55" s="184" t="n">
        <x:f>ROUND(SUMIF('Payment Log'!$B$5:$B$173,A55,'Payment Log'!$D$5:$D$173),2)</x:f>
        <x:v>962.84</x:v>
      </x:c>
      <x:c r="N55" s="184" t="n">
        <x:f>ROUND(MAX(0,J55-M55),2)</x:f>
        <x:v>0</x:v>
      </x:c>
      <x:c r="O55" s="185" t="n">
        <x:f>IF(N55=0,0,MAX(0,'Checks'!$B$3-F55))</x:f>
        <x:v>0</x:v>
      </x:c>
      <x:c r="P55" s="186" t="str">
        <x:f>IF(N55=0,"Paid",IF(O55&gt;0,IF(M55&gt;0,"Partially Paid - Overdue","Overdue"),IF(M55&gt;0,"Partially Paid","Open")))</x:f>
        <x:v>Paid</x:v>
      </x:c>
      <x:c r="Q55" s="187" t="str">
        <x:f>IF(N55=0,"Paid",IF(O55=0,"Current",IF(O55&lt;=30,"1-30 days",IF(O55&lt;=60,"31-60 days",IF(O55&lt;=90,"61-90 days","90+ days")))))</x:f>
        <x:v>Paid</x:v>
      </x:c>
    </x:row>
    <x:row r="56">
      <x:c r="A56" s="179" t="str">
        <x:v>INV-0052</x:v>
      </x:c>
      <x:c r="B56" s="180" t="str">
        <x:v>C004</x:v>
      </x:c>
      <x:c r="C56" s="180" t="str">
        <x:v>Harbor Legal Partners</x:v>
      </x:c>
      <x:c r="D56" s="180" t="str">
        <x:v>Automation setup</x:v>
      </x:c>
      <x:c r="E56" s="181" t="n">
        <x:v>45976</x:v>
      </x:c>
      <x:c r="F56" s="181" t="n">
        <x:v>46006</x:v>
      </x:c>
      <x:c r="G56" s="182" t="n">
        <x:v>1600.77</x:v>
      </x:c>
      <x:c r="H56" s="183" t="n">
        <x:v>0</x:v>
      </x:c>
      <x:c r="I56" s="182" t="n">
        <x:v>0</x:v>
      </x:c>
      <x:c r="J56" s="182" t="n">
        <x:v>1600.77</x:v>
      </x:c>
      <x:c r="K56" s="182" t="str">
        <x:v>Owen Brooks</x:v>
      </x:c>
      <x:c r="L56" s="182" t="str">
        <x:v>owen@harbor.example</x:v>
      </x:c>
      <x:c r="M56" s="184" t="n">
        <x:f>ROUND(SUMIF('Payment Log'!$B$5:$B$173,A56,'Payment Log'!$D$5:$D$173),2)</x:f>
        <x:v>985.05</x:v>
      </x:c>
      <x:c r="N56" s="184" t="n">
        <x:f>ROUND(MAX(0,J56-M56),2)</x:f>
        <x:v>615.72</x:v>
      </x:c>
      <x:c r="O56" s="185" t="n">
        <x:f>IF(N56=0,0,MAX(0,'Checks'!$B$3-F56))</x:f>
        <x:v>236</x:v>
      </x:c>
      <x:c r="P56" s="186" t="str">
        <x:f>IF(N56=0,"Paid",IF(O56&gt;0,IF(M56&gt;0,"Partially Paid - Overdue","Overdue"),IF(M56&gt;0,"Partially Paid","Open")))</x:f>
        <x:v>Partially Paid - Overdue</x:v>
      </x:c>
      <x:c r="Q56" s="187" t="str">
        <x:f>IF(N56=0,"Paid",IF(O56=0,"Current",IF(O56&lt;=30,"1-30 days",IF(O56&lt;=60,"31-60 days",IF(O56&lt;=90,"61-90 days","90+ days")))))</x:f>
        <x:v>90+ days</x:v>
      </x:c>
    </x:row>
    <x:row r="57">
      <x:c r="A57" s="179" t="str">
        <x:v>INV-0053</x:v>
      </x:c>
      <x:c r="B57" s="180" t="str">
        <x:v>C005</x:v>
      </x:c>
      <x:c r="C57" s="180" t="str">
        <x:v>Atlas Property Group</x:v>
      </x:c>
      <x:c r="D57" s="180" t="str">
        <x:v>KPI analysis</x:v>
      </x:c>
      <x:c r="E57" s="181" t="n">
        <x:v>45978</x:v>
      </x:c>
      <x:c r="F57" s="181" t="n">
        <x:v>45999</x:v>
      </x:c>
      <x:c r="G57" s="182" t="n">
        <x:v>978.02</x:v>
      </x:c>
      <x:c r="H57" s="183" t="n">
        <x:v>0</x:v>
      </x:c>
      <x:c r="I57" s="182" t="n">
        <x:v>0</x:v>
      </x:c>
      <x:c r="J57" s="182" t="n">
        <x:v>978.02</x:v>
      </x:c>
      <x:c r="K57" s="182" t="str">
        <x:v>Sara Lin</x:v>
      </x:c>
      <x:c r="L57" s="182" t="str">
        <x:v>sara@atlas.example</x:v>
      </x:c>
      <x:c r="M57" s="184" t="n">
        <x:f>ROUND(SUMIF('Payment Log'!$B$5:$B$173,A57,'Payment Log'!$D$5:$D$173),2)</x:f>
        <x:v>0</x:v>
      </x:c>
      <x:c r="N57" s="184" t="n">
        <x:f>ROUND(MAX(0,J57-M57),2)</x:f>
        <x:v>978.02</x:v>
      </x:c>
      <x:c r="O57" s="185" t="n">
        <x:f>IF(N57=0,0,MAX(0,'Checks'!$B$3-F57))</x:f>
        <x:v>243</x:v>
      </x:c>
      <x:c r="P57" s="186" t="str">
        <x:f>IF(N57=0,"Paid",IF(O57&gt;0,IF(M57&gt;0,"Partially Paid - Overdue","Overdue"),IF(M57&gt;0,"Partially Paid","Open")))</x:f>
        <x:v>Overdue</x:v>
      </x:c>
      <x:c r="Q57" s="187" t="str">
        <x:f>IF(N57=0,"Paid",IF(O57=0,"Current",IF(O57&lt;=30,"1-30 days",IF(O57&lt;=60,"31-60 days",IF(O57&lt;=90,"61-90 days","90+ days")))))</x:f>
        <x:v>90+ days</x:v>
      </x:c>
    </x:row>
    <x:row r="58">
      <x:c r="A58" s="179" t="str">
        <x:v>INV-0054</x:v>
      </x:c>
      <x:c r="B58" s="180" t="str">
        <x:v>C006</x:v>
      </x:c>
      <x:c r="C58" s="180" t="str">
        <x:v>BrightPath Learning</x:v>
      </x:c>
      <x:c r="D58" s="180" t="str">
        <x:v>Advisory retainer</x:v>
      </x:c>
      <x:c r="E58" s="181" t="n">
        <x:v>45980</x:v>
      </x:c>
      <x:c r="F58" s="181" t="n">
        <x:v>45995</x:v>
      </x:c>
      <x:c r="G58" s="182" t="n">
        <x:v>2779.49</x:v>
      </x:c>
      <x:c r="H58" s="183" t="n">
        <x:v>0</x:v>
      </x:c>
      <x:c r="I58" s="182" t="n">
        <x:v>0</x:v>
      </x:c>
      <x:c r="J58" s="182" t="n">
        <x:v>2779.49</x:v>
      </x:c>
      <x:c r="K58" s="182" t="str">
        <x:v>Lina Costa</x:v>
      </x:c>
      <x:c r="L58" s="182" t="str">
        <x:v>lina@brightpath.example</x:v>
      </x:c>
      <x:c r="M58" s="184" t="n">
        <x:f>ROUND(SUMIF('Payment Log'!$B$5:$B$173,A58,'Payment Log'!$D$5:$D$173),2)</x:f>
        <x:v>0</x:v>
      </x:c>
      <x:c r="N58" s="184" t="n">
        <x:f>ROUND(MAX(0,J58-M58),2)</x:f>
        <x:v>2779.49</x:v>
      </x:c>
      <x:c r="O58" s="185" t="n">
        <x:f>IF(N58=0,0,MAX(0,'Checks'!$B$3-F58))</x:f>
        <x:v>247</x:v>
      </x:c>
      <x:c r="P58" s="186" t="str">
        <x:f>IF(N58=0,"Paid",IF(O58&gt;0,IF(M58&gt;0,"Partially Paid - Overdue","Overdue"),IF(M58&gt;0,"Partially Paid","Open")))</x:f>
        <x:v>Overdue</x:v>
      </x:c>
      <x:c r="Q58" s="187" t="str">
        <x:f>IF(N58=0,"Paid",IF(O58=0,"Current",IF(O58&lt;=30,"1-30 days",IF(O58&lt;=60,"31-60 days",IF(O58&lt;=90,"61-90 days","90+ days")))))</x:f>
        <x:v>90+ days</x:v>
      </x:c>
    </x:row>
    <x:row r="59">
      <x:c r="A59" s="179" t="str">
        <x:v>INV-0055</x:v>
      </x:c>
      <x:c r="B59" s="180" t="str">
        <x:v>C007</x:v>
      </x:c>
      <x:c r="C59" s="180" t="str">
        <x:v>PeakFit Clubs</x:v>
      </x:c>
      <x:c r="D59" s="180" t="str">
        <x:v>Dashboard build</x:v>
      </x:c>
      <x:c r="E59" s="181" t="n">
        <x:v>45982</x:v>
      </x:c>
      <x:c r="F59" s="181" t="n">
        <x:v>46012</x:v>
      </x:c>
      <x:c r="G59" s="182" t="n">
        <x:v>1405.95</x:v>
      </x:c>
      <x:c r="H59" s="183" t="n">
        <x:v>0</x:v>
      </x:c>
      <x:c r="I59" s="182" t="n">
        <x:v>0</x:v>
      </x:c>
      <x:c r="J59" s="182" t="n">
        <x:v>1405.95</x:v>
      </x:c>
      <x:c r="K59" s="182" t="str">
        <x:v>Noah Reed</x:v>
      </x:c>
      <x:c r="L59" s="182" t="str">
        <x:v>noah@peakfit.example</x:v>
      </x:c>
      <x:c r="M59" s="184" t="n">
        <x:f>ROUND(SUMIF('Payment Log'!$B$5:$B$173,A59,'Payment Log'!$D$5:$D$173),2)</x:f>
        <x:v>1405.95</x:v>
      </x:c>
      <x:c r="N59" s="184" t="n">
        <x:f>ROUND(MAX(0,J59-M59),2)</x:f>
        <x:v>0</x:v>
      </x:c>
      <x:c r="O59" s="185" t="n">
        <x:f>IF(N59=0,0,MAX(0,'Checks'!$B$3-F59))</x:f>
        <x:v>0</x:v>
      </x:c>
      <x:c r="P59" s="186" t="str">
        <x:f>IF(N59=0,"Paid",IF(O59&gt;0,IF(M59&gt;0,"Partially Paid - Overdue","Overdue"),IF(M59&gt;0,"Partially Paid","Open")))</x:f>
        <x:v>Paid</x:v>
      </x:c>
      <x:c r="Q59" s="187" t="str">
        <x:f>IF(N59=0,"Paid",IF(O59=0,"Current",IF(O59&lt;=30,"1-30 days",IF(O59&lt;=60,"31-60 days",IF(O59&lt;=90,"61-90 days","90+ days")))))</x:f>
        <x:v>Paid</x:v>
      </x:c>
    </x:row>
    <x:row r="60">
      <x:c r="A60" s="179" t="str">
        <x:v>INV-0056</x:v>
      </x:c>
      <x:c r="B60" s="180" t="str">
        <x:v>C008</x:v>
      </x:c>
      <x:c r="C60" s="180" t="str">
        <x:v>GreenFork Catering</x:v>
      </x:c>
      <x:c r="D60" s="180" t="str">
        <x:v>Monthly reporting</x:v>
      </x:c>
      <x:c r="E60" s="181" t="n">
        <x:v>45984</x:v>
      </x:c>
      <x:c r="F60" s="181" t="n">
        <x:v>45998</x:v>
      </x:c>
      <x:c r="G60" s="182" t="n">
        <x:v>2345.59</x:v>
      </x:c>
      <x:c r="H60" s="183" t="n">
        <x:v>0.1</x:v>
      </x:c>
      <x:c r="I60" s="182" t="n">
        <x:v>234.56</x:v>
      </x:c>
      <x:c r="J60" s="182" t="n">
        <x:v>2580.15</x:v>
      </x:c>
      <x:c r="K60" s="182" t="str">
        <x:v>Ava Stone</x:v>
      </x:c>
      <x:c r="L60" s="182" t="str">
        <x:v>ava@greenfork.example</x:v>
      </x:c>
      <x:c r="M60" s="184" t="n">
        <x:f>ROUND(SUMIF('Payment Log'!$B$5:$B$173,A60,'Payment Log'!$D$5:$D$173),2)</x:f>
        <x:v>2580.15</x:v>
      </x:c>
      <x:c r="N60" s="184" t="n">
        <x:f>ROUND(MAX(0,J60-M60),2)</x:f>
        <x:v>0</x:v>
      </x:c>
      <x:c r="O60" s="185" t="n">
        <x:f>IF(N60=0,0,MAX(0,'Checks'!$B$3-F60))</x:f>
        <x:v>0</x:v>
      </x:c>
      <x:c r="P60" s="186" t="str">
        <x:f>IF(N60=0,"Paid",IF(O60&gt;0,IF(M60&gt;0,"Partially Paid - Overdue","Overdue"),IF(M60&gt;0,"Partially Paid","Open")))</x:f>
        <x:v>Paid</x:v>
      </x:c>
      <x:c r="Q60" s="187" t="str">
        <x:f>IF(N60=0,"Paid",IF(O60=0,"Current",IF(O60&lt;=30,"1-30 days",IF(O60&lt;=60,"31-60 days",IF(O60&lt;=90,"61-90 days","90+ days")))))</x:f>
        <x:v>Paid</x:v>
      </x:c>
    </x:row>
    <x:row r="61">
      <x:c r="A61" s="179" t="str">
        <x:v>INV-0057</x:v>
      </x:c>
      <x:c r="B61" s="180" t="str">
        <x:v>C009</x:v>
      </x:c>
      <x:c r="C61" s="180" t="str">
        <x:v>Orbit SaaS Labs</x:v>
      </x:c>
      <x:c r="D61" s="180" t="str">
        <x:v>Data cleanup</x:v>
      </x:c>
      <x:c r="E61" s="181" t="n">
        <x:v>45986</x:v>
      </x:c>
      <x:c r="F61" s="181" t="n">
        <x:v>46016</x:v>
      </x:c>
      <x:c r="G61" s="182" t="n">
        <x:v>1726.76</x:v>
      </x:c>
      <x:c r="H61" s="183" t="n">
        <x:v>0</x:v>
      </x:c>
      <x:c r="I61" s="182" t="n">
        <x:v>0</x:v>
      </x:c>
      <x:c r="J61" s="182" t="n">
        <x:v>1726.76</x:v>
      </x:c>
      <x:c r="K61" s="182" t="str">
        <x:v>Leo Martin</x:v>
      </x:c>
      <x:c r="L61" s="182" t="str">
        <x:v>leo@orbit.example</x:v>
      </x:c>
      <x:c r="M61" s="184" t="n">
        <x:f>ROUND(SUMIF('Payment Log'!$B$5:$B$173,A61,'Payment Log'!$D$5:$D$173),2)</x:f>
        <x:v>1726.76</x:v>
      </x:c>
      <x:c r="N61" s="184" t="n">
        <x:f>ROUND(MAX(0,J61-M61),2)</x:f>
        <x:v>0</x:v>
      </x:c>
      <x:c r="O61" s="185" t="n">
        <x:f>IF(N61=0,0,MAX(0,'Checks'!$B$3-F61))</x:f>
        <x:v>0</x:v>
      </x:c>
      <x:c r="P61" s="186" t="str">
        <x:f>IF(N61=0,"Paid",IF(O61&gt;0,IF(M61&gt;0,"Partially Paid - Overdue","Overdue"),IF(M61&gt;0,"Partially Paid","Open")))</x:f>
        <x:v>Paid</x:v>
      </x:c>
      <x:c r="Q61" s="187" t="str">
        <x:f>IF(N61=0,"Paid",IF(O61=0,"Current",IF(O61&lt;=30,"1-30 days",IF(O61&lt;=60,"31-60 days",IF(O61&lt;=90,"61-90 days","90+ days")))))</x:f>
        <x:v>Paid</x:v>
      </x:c>
    </x:row>
    <x:row r="62">
      <x:c r="A62" s="179" t="str">
        <x:v>INV-0058</x:v>
      </x:c>
      <x:c r="B62" s="180" t="str">
        <x:v>C010</x:v>
      </x:c>
      <x:c r="C62" s="180" t="str">
        <x:v>Willow Events</x:v>
      </x:c>
      <x:c r="D62" s="180" t="str">
        <x:v>Automation setup</x:v>
      </x:c>
      <x:c r="E62" s="181" t="n">
        <x:v>45988</x:v>
      </x:c>
      <x:c r="F62" s="181" t="n">
        <x:v>46003</x:v>
      </x:c>
      <x:c r="G62" s="182" t="n">
        <x:v>2014.52</x:v>
      </x:c>
      <x:c r="H62" s="183" t="n">
        <x:v>0</x:v>
      </x:c>
      <x:c r="I62" s="182" t="n">
        <x:v>0</x:v>
      </x:c>
      <x:c r="J62" s="182" t="n">
        <x:v>2014.52</x:v>
      </x:c>
      <x:c r="K62" s="182" t="str">
        <x:v>Emma Hayes</x:v>
      </x:c>
      <x:c r="L62" s="182" t="str">
        <x:v>emma@willow.example</x:v>
      </x:c>
      <x:c r="M62" s="184" t="n">
        <x:f>ROUND(SUMIF('Payment Log'!$B$5:$B$173,A62,'Payment Log'!$D$5:$D$173),2)</x:f>
        <x:v>2014.52</x:v>
      </x:c>
      <x:c r="N62" s="184" t="n">
        <x:f>ROUND(MAX(0,J62-M62),2)</x:f>
        <x:v>0</x:v>
      </x:c>
      <x:c r="O62" s="185" t="n">
        <x:f>IF(N62=0,0,MAX(0,'Checks'!$B$3-F62))</x:f>
        <x:v>0</x:v>
      </x:c>
      <x:c r="P62" s="186" t="str">
        <x:f>IF(N62=0,"Paid",IF(O62&gt;0,IF(M62&gt;0,"Partially Paid - Overdue","Overdue"),IF(M62&gt;0,"Partially Paid","Open")))</x:f>
        <x:v>Paid</x:v>
      </x:c>
      <x:c r="Q62" s="187" t="str">
        <x:f>IF(N62=0,"Paid",IF(O62=0,"Current",IF(O62&lt;=30,"1-30 days",IF(O62&lt;=60,"31-60 days",IF(O62&lt;=90,"61-90 days","90+ days")))))</x:f>
        <x:v>Paid</x:v>
      </x:c>
    </x:row>
    <x:row r="63">
      <x:c r="A63" s="179" t="str">
        <x:v>INV-0059</x:v>
      </x:c>
      <x:c r="B63" s="180" t="str">
        <x:v>C011</x:v>
      </x:c>
      <x:c r="C63" s="180" t="str">
        <x:v>Copperline Consulting</x:v>
      </x:c>
      <x:c r="D63" s="180" t="str">
        <x:v>KPI analysis</x:v>
      </x:c>
      <x:c r="E63" s="181" t="n">
        <x:v>45990</x:v>
      </x:c>
      <x:c r="F63" s="181" t="n">
        <x:v>46020</x:v>
      </x:c>
      <x:c r="G63" s="182" t="n">
        <x:v>2305.54</x:v>
      </x:c>
      <x:c r="H63" s="183" t="n">
        <x:v>0</x:v>
      </x:c>
      <x:c r="I63" s="182" t="n">
        <x:v>0</x:v>
      </x:c>
      <x:c r="J63" s="182" t="n">
        <x:v>2305.54</x:v>
      </x:c>
      <x:c r="K63" s="182" t="str">
        <x:v>Iris Young</x:v>
      </x:c>
      <x:c r="L63" s="182" t="str">
        <x:v>iris@copperline.example</x:v>
      </x:c>
      <x:c r="M63" s="184" t="n">
        <x:f>ROUND(SUMIF('Payment Log'!$B$5:$B$173,A63,'Payment Log'!$D$5:$D$173),2)</x:f>
        <x:v>0</x:v>
      </x:c>
      <x:c r="N63" s="184" t="n">
        <x:f>ROUND(MAX(0,J63-M63),2)</x:f>
        <x:v>2305.54</x:v>
      </x:c>
      <x:c r="O63" s="185" t="n">
        <x:f>IF(N63=0,0,MAX(0,'Checks'!$B$3-F63))</x:f>
        <x:v>222</x:v>
      </x:c>
      <x:c r="P63" s="186" t="str">
        <x:f>IF(N63=0,"Paid",IF(O63&gt;0,IF(M63&gt;0,"Partially Paid - Overdue","Overdue"),IF(M63&gt;0,"Partially Paid","Open")))</x:f>
        <x:v>Overdue</x:v>
      </x:c>
      <x:c r="Q63" s="187" t="str">
        <x:f>IF(N63=0,"Paid",IF(O63=0,"Current",IF(O63&lt;=30,"1-30 days",IF(O63&lt;=60,"31-60 days",IF(O63&lt;=90,"61-90 days","90+ days")))))</x:f>
        <x:v>90+ days</x:v>
      </x:c>
    </x:row>
    <x:row r="64">
      <x:c r="A64" s="179" t="str">
        <x:v>INV-0060</x:v>
      </x:c>
      <x:c r="B64" s="180" t="str">
        <x:v>C012</x:v>
      </x:c>
      <x:c r="C64" s="180" t="str">
        <x:v>Bluebird Media</x:v>
      </x:c>
      <x:c r="D64" s="180" t="str">
        <x:v>Advisory retainer</x:v>
      </x:c>
      <x:c r="E64" s="181" t="n">
        <x:v>45992</x:v>
      </x:c>
      <x:c r="F64" s="181" t="n">
        <x:v>46013</x:v>
      </x:c>
      <x:c r="G64" s="182" t="n">
        <x:v>1361</x:v>
      </x:c>
      <x:c r="H64" s="183" t="n">
        <x:v>0</x:v>
      </x:c>
      <x:c r="I64" s="182" t="n">
        <x:v>0</x:v>
      </x:c>
      <x:c r="J64" s="182" t="n">
        <x:v>1361</x:v>
      </x:c>
      <x:c r="K64" s="182" t="str">
        <x:v>Theo King</x:v>
      </x:c>
      <x:c r="L64" s="182" t="str">
        <x:v>theo@bluebird.example</x:v>
      </x:c>
      <x:c r="M64" s="184" t="n">
        <x:f>ROUND(SUMIF('Payment Log'!$B$5:$B$173,A64,'Payment Log'!$D$5:$D$173),2)</x:f>
        <x:v>0</x:v>
      </x:c>
      <x:c r="N64" s="184" t="n">
        <x:f>ROUND(MAX(0,J64-M64),2)</x:f>
        <x:v>1361</x:v>
      </x:c>
      <x:c r="O64" s="185" t="n">
        <x:f>IF(N64=0,0,MAX(0,'Checks'!$B$3-F64))</x:f>
        <x:v>229</x:v>
      </x:c>
      <x:c r="P64" s="186" t="str">
        <x:f>IF(N64=0,"Paid",IF(O64&gt;0,IF(M64&gt;0,"Partially Paid - Overdue","Overdue"),IF(M64&gt;0,"Partially Paid","Open")))</x:f>
        <x:v>Overdue</x:v>
      </x:c>
      <x:c r="Q64" s="187" t="str">
        <x:f>IF(N64=0,"Paid",IF(O64=0,"Current",IF(O64&lt;=30,"1-30 days",IF(O64&lt;=60,"31-60 days",IF(O64&lt;=90,"61-90 days","90+ days")))))</x:f>
        <x:v>90+ days</x:v>
      </x:c>
    </x:row>
    <x:row r="65">
      <x:c r="A65" s="179" t="str">
        <x:v>INV-0061</x:v>
      </x:c>
      <x:c r="B65" s="180" t="str">
        <x:v>C001</x:v>
      </x:c>
      <x:c r="C65" s="180" t="str">
        <x:v>Northstar Creative</x:v>
      </x:c>
      <x:c r="D65" s="180" t="str">
        <x:v>Dashboard build</x:v>
      </x:c>
      <x:c r="E65" s="181" t="n">
        <x:v>45994</x:v>
      </x:c>
      <x:c r="F65" s="181" t="n">
        <x:v>46024</x:v>
      </x:c>
      <x:c r="G65" s="182" t="n">
        <x:v>2523.55</x:v>
      </x:c>
      <x:c r="H65" s="183" t="n">
        <x:v>0.1</x:v>
      </x:c>
      <x:c r="I65" s="182" t="n">
        <x:v>252.36</x:v>
      </x:c>
      <x:c r="J65" s="182" t="n">
        <x:v>2775.91</x:v>
      </x:c>
      <x:c r="K65" s="182" t="str">
        <x:v>Maya Chen</x:v>
      </x:c>
      <x:c r="L65" s="182" t="str">
        <x:v>maya@northstar.example</x:v>
      </x:c>
      <x:c r="M65" s="184" t="n">
        <x:f>ROUND(SUMIF('Payment Log'!$B$5:$B$173,A65,'Payment Log'!$D$5:$D$173),2)</x:f>
        <x:v>2775.91</x:v>
      </x:c>
      <x:c r="N65" s="184" t="n">
        <x:f>ROUND(MAX(0,J65-M65),2)</x:f>
        <x:v>0</x:v>
      </x:c>
      <x:c r="O65" s="185" t="n">
        <x:f>IF(N65=0,0,MAX(0,'Checks'!$B$3-F65))</x:f>
        <x:v>0</x:v>
      </x:c>
      <x:c r="P65" s="186" t="str">
        <x:f>IF(N65=0,"Paid",IF(O65&gt;0,IF(M65&gt;0,"Partially Paid - Overdue","Overdue"),IF(M65&gt;0,"Partially Paid","Open")))</x:f>
        <x:v>Paid</x:v>
      </x:c>
      <x:c r="Q65" s="187" t="str">
        <x:f>IF(N65=0,"Paid",IF(O65=0,"Current",IF(O65&lt;=30,"1-30 days",IF(O65&lt;=60,"31-60 days",IF(O65&lt;=90,"61-90 days","90+ days")))))</x:f>
        <x:v>Paid</x:v>
      </x:c>
    </x:row>
    <x:row r="66">
      <x:c r="A66" s="179" t="str">
        <x:v>INV-0062</x:v>
      </x:c>
      <x:c r="B66" s="180" t="str">
        <x:v>C002</x:v>
      </x:c>
      <x:c r="C66" s="180" t="str">
        <x:v>Lumen Health Studio</x:v>
      </x:c>
      <x:c r="D66" s="180" t="str">
        <x:v>Monthly reporting</x:v>
      </x:c>
      <x:c r="E66" s="181" t="n">
        <x:v>45996</x:v>
      </x:c>
      <x:c r="F66" s="181" t="n">
        <x:v>46011</x:v>
      </x:c>
      <x:c r="G66" s="182" t="n">
        <x:v>2296.23</x:v>
      </x:c>
      <x:c r="H66" s="183" t="n">
        <x:v>0</x:v>
      </x:c>
      <x:c r="I66" s="182" t="n">
        <x:v>0</x:v>
      </x:c>
      <x:c r="J66" s="182" t="n">
        <x:v>2296.23</x:v>
      </x:c>
      <x:c r="K66" s="182" t="str">
        <x:v>Elias Ward</x:v>
      </x:c>
      <x:c r="L66" s="182" t="str">
        <x:v>elias@lumen.example</x:v>
      </x:c>
      <x:c r="M66" s="184" t="n">
        <x:f>ROUND(SUMIF('Payment Log'!$B$5:$B$173,A66,'Payment Log'!$D$5:$D$173),2)</x:f>
        <x:v>2296.23</x:v>
      </x:c>
      <x:c r="N66" s="184" t="n">
        <x:f>ROUND(MAX(0,J66-M66),2)</x:f>
        <x:v>0</x:v>
      </x:c>
      <x:c r="O66" s="185" t="n">
        <x:f>IF(N66=0,0,MAX(0,'Checks'!$B$3-F66))</x:f>
        <x:v>0</x:v>
      </x:c>
      <x:c r="P66" s="186" t="str">
        <x:f>IF(N66=0,"Paid",IF(O66&gt;0,IF(M66&gt;0,"Partially Paid - Overdue","Overdue"),IF(M66&gt;0,"Partially Paid","Open")))</x:f>
        <x:v>Paid</x:v>
      </x:c>
      <x:c r="Q66" s="187" t="str">
        <x:f>IF(N66=0,"Paid",IF(O66=0,"Current",IF(O66&lt;=30,"1-30 days",IF(O66&lt;=60,"31-60 days",IF(O66&lt;=90,"61-90 days","90+ days")))))</x:f>
        <x:v>Paid</x:v>
      </x:c>
    </x:row>
    <x:row r="67">
      <x:c r="A67" s="179" t="str">
        <x:v>INV-0063</x:v>
      </x:c>
      <x:c r="B67" s="180" t="str">
        <x:v>C003</x:v>
      </x:c>
      <x:c r="C67" s="180" t="str">
        <x:v>Cedar &amp; Co. Retail</x:v>
      </x:c>
      <x:c r="D67" s="180" t="str">
        <x:v>Data cleanup</x:v>
      </x:c>
      <x:c r="E67" s="181" t="n">
        <x:v>45998</x:v>
      </x:c>
      <x:c r="F67" s="181" t="n">
        <x:v>46028</x:v>
      </x:c>
      <x:c r="G67" s="182" t="n">
        <x:v>2207.84</x:v>
      </x:c>
      <x:c r="H67" s="183" t="n">
        <x:v>0</x:v>
      </x:c>
      <x:c r="I67" s="182" t="n">
        <x:v>0</x:v>
      </x:c>
      <x:c r="J67" s="182" t="n">
        <x:v>2207.84</x:v>
      </x:c>
      <x:c r="K67" s="182" t="str">
        <x:v>Nora Patel</x:v>
      </x:c>
      <x:c r="L67" s="182" t="str">
        <x:v>nora@cedar.example</x:v>
      </x:c>
      <x:c r="M67" s="184" t="n">
        <x:f>ROUND(SUMIF('Payment Log'!$B$5:$B$173,A67,'Payment Log'!$D$5:$D$173),2)</x:f>
        <x:v>0</x:v>
      </x:c>
      <x:c r="N67" s="184" t="n">
        <x:f>ROUND(MAX(0,J67-M67),2)</x:f>
        <x:v>2207.84</x:v>
      </x:c>
      <x:c r="O67" s="185" t="n">
        <x:f>IF(N67=0,0,MAX(0,'Checks'!$B$3-F67))</x:f>
        <x:v>214</x:v>
      </x:c>
      <x:c r="P67" s="186" t="str">
        <x:f>IF(N67=0,"Paid",IF(O67&gt;0,IF(M67&gt;0,"Partially Paid - Overdue","Overdue"),IF(M67&gt;0,"Partially Paid","Open")))</x:f>
        <x:v>Overdue</x:v>
      </x:c>
      <x:c r="Q67" s="187" t="str">
        <x:f>IF(N67=0,"Paid",IF(O67=0,"Current",IF(O67&lt;=30,"1-30 days",IF(O67&lt;=60,"31-60 days",IF(O67&lt;=90,"61-90 days","90+ days")))))</x:f>
        <x:v>90+ days</x:v>
      </x:c>
    </x:row>
    <x:row r="68">
      <x:c r="A68" s="179" t="str">
        <x:v>INV-0064</x:v>
      </x:c>
      <x:c r="B68" s="180" t="str">
        <x:v>C004</x:v>
      </x:c>
      <x:c r="C68" s="180" t="str">
        <x:v>Harbor Legal Partners</x:v>
      </x:c>
      <x:c r="D68" s="180" t="str">
        <x:v>Automation setup</x:v>
      </x:c>
      <x:c r="E68" s="181" t="n">
        <x:v>46000</x:v>
      </x:c>
      <x:c r="F68" s="181" t="n">
        <x:v>46030</x:v>
      </x:c>
      <x:c r="G68" s="182" t="n">
        <x:v>2023.11</x:v>
      </x:c>
      <x:c r="H68" s="183" t="n">
        <x:v>0</x:v>
      </x:c>
      <x:c r="I68" s="182" t="n">
        <x:v>0</x:v>
      </x:c>
      <x:c r="J68" s="182" t="n">
        <x:v>2023.11</x:v>
      </x:c>
      <x:c r="K68" s="182" t="str">
        <x:v>Owen Brooks</x:v>
      </x:c>
      <x:c r="L68" s="182" t="str">
        <x:v>owen@harbor.example</x:v>
      </x:c>
      <x:c r="M68" s="184" t="n">
        <x:f>ROUND(SUMIF('Payment Log'!$B$5:$B$173,A68,'Payment Log'!$D$5:$D$173),2)</x:f>
        <x:v>0</x:v>
      </x:c>
      <x:c r="N68" s="184" t="n">
        <x:f>ROUND(MAX(0,J68-M68),2)</x:f>
        <x:v>2023.11</x:v>
      </x:c>
      <x:c r="O68" s="185" t="n">
        <x:f>IF(N68=0,0,MAX(0,'Checks'!$B$3-F68))</x:f>
        <x:v>212</x:v>
      </x:c>
      <x:c r="P68" s="186" t="str">
        <x:f>IF(N68=0,"Paid",IF(O68&gt;0,IF(M68&gt;0,"Partially Paid - Overdue","Overdue"),IF(M68&gt;0,"Partially Paid","Open")))</x:f>
        <x:v>Overdue</x:v>
      </x:c>
      <x:c r="Q68" s="187" t="str">
        <x:f>IF(N68=0,"Paid",IF(O68=0,"Current",IF(O68&lt;=30,"1-30 days",IF(O68&lt;=60,"31-60 days",IF(O68&lt;=90,"61-90 days","90+ days")))))</x:f>
        <x:v>90+ days</x:v>
      </x:c>
    </x:row>
    <x:row r="69">
      <x:c r="A69" s="179" t="str">
        <x:v>INV-0065</x:v>
      </x:c>
      <x:c r="B69" s="180" t="str">
        <x:v>C005</x:v>
      </x:c>
      <x:c r="C69" s="180" t="str">
        <x:v>Atlas Property Group</x:v>
      </x:c>
      <x:c r="D69" s="180" t="str">
        <x:v>KPI analysis</x:v>
      </x:c>
      <x:c r="E69" s="181" t="n">
        <x:v>46002</x:v>
      </x:c>
      <x:c r="F69" s="181" t="n">
        <x:v>46023</x:v>
      </x:c>
      <x:c r="G69" s="182" t="n">
        <x:v>1034.75</x:v>
      </x:c>
      <x:c r="H69" s="183" t="n">
        <x:v>0</x:v>
      </x:c>
      <x:c r="I69" s="182" t="n">
        <x:v>0</x:v>
      </x:c>
      <x:c r="J69" s="182" t="n">
        <x:v>1034.75</x:v>
      </x:c>
      <x:c r="K69" s="182" t="str">
        <x:v>Sara Lin</x:v>
      </x:c>
      <x:c r="L69" s="182" t="str">
        <x:v>sara@atlas.example</x:v>
      </x:c>
      <x:c r="M69" s="184" t="n">
        <x:f>ROUND(SUMIF('Payment Log'!$B$5:$B$173,A69,'Payment Log'!$D$5:$D$173),2)</x:f>
        <x:v>675.33</x:v>
      </x:c>
      <x:c r="N69" s="184" t="n">
        <x:f>ROUND(MAX(0,J69-M69),2)</x:f>
        <x:v>359.42</x:v>
      </x:c>
      <x:c r="O69" s="185" t="n">
        <x:f>IF(N69=0,0,MAX(0,'Checks'!$B$3-F69))</x:f>
        <x:v>219</x:v>
      </x:c>
      <x:c r="P69" s="186" t="str">
        <x:f>IF(N69=0,"Paid",IF(O69&gt;0,IF(M69&gt;0,"Partially Paid - Overdue","Overdue"),IF(M69&gt;0,"Partially Paid","Open")))</x:f>
        <x:v>Partially Paid - Overdue</x:v>
      </x:c>
      <x:c r="Q69" s="187" t="str">
        <x:f>IF(N69=0,"Paid",IF(O69=0,"Current",IF(O69&lt;=30,"1-30 days",IF(O69&lt;=60,"31-60 days",IF(O69&lt;=90,"61-90 days","90+ days")))))</x:f>
        <x:v>90+ days</x:v>
      </x:c>
    </x:row>
    <x:row r="70">
      <x:c r="A70" s="179" t="str">
        <x:v>INV-0066</x:v>
      </x:c>
      <x:c r="B70" s="180" t="str">
        <x:v>C006</x:v>
      </x:c>
      <x:c r="C70" s="180" t="str">
        <x:v>BrightPath Learning</x:v>
      </x:c>
      <x:c r="D70" s="180" t="str">
        <x:v>Advisory retainer</x:v>
      </x:c>
      <x:c r="E70" s="181" t="n">
        <x:v>46004</x:v>
      </x:c>
      <x:c r="F70" s="181" t="n">
        <x:v>46019</x:v>
      </x:c>
      <x:c r="G70" s="182" t="n">
        <x:v>2783.38</x:v>
      </x:c>
      <x:c r="H70" s="183" t="n">
        <x:v>0.1</x:v>
      </x:c>
      <x:c r="I70" s="182" t="n">
        <x:v>278.34</x:v>
      </x:c>
      <x:c r="J70" s="182" t="n">
        <x:v>3061.72</x:v>
      </x:c>
      <x:c r="K70" s="182" t="str">
        <x:v>Lina Costa</x:v>
      </x:c>
      <x:c r="L70" s="182" t="str">
        <x:v>lina@brightpath.example</x:v>
      </x:c>
      <x:c r="M70" s="184" t="n">
        <x:f>ROUND(SUMIF('Payment Log'!$B$5:$B$173,A70,'Payment Log'!$D$5:$D$173),2)</x:f>
        <x:v>3061.72</x:v>
      </x:c>
      <x:c r="N70" s="184" t="n">
        <x:f>ROUND(MAX(0,J70-M70),2)</x:f>
        <x:v>0</x:v>
      </x:c>
      <x:c r="O70" s="185" t="n">
        <x:f>IF(N70=0,0,MAX(0,'Checks'!$B$3-F70))</x:f>
        <x:v>0</x:v>
      </x:c>
      <x:c r="P70" s="186" t="str">
        <x:f>IF(N70=0,"Paid",IF(O70&gt;0,IF(M70&gt;0,"Partially Paid - Overdue","Overdue"),IF(M70&gt;0,"Partially Paid","Open")))</x:f>
        <x:v>Paid</x:v>
      </x:c>
      <x:c r="Q70" s="187" t="str">
        <x:f>IF(N70=0,"Paid",IF(O70=0,"Current",IF(O70&lt;=30,"1-30 days",IF(O70&lt;=60,"31-60 days",IF(O70&lt;=90,"61-90 days","90+ days")))))</x:f>
        <x:v>Paid</x:v>
      </x:c>
    </x:row>
    <x:row r="71">
      <x:c r="A71" s="179" t="str">
        <x:v>INV-0067</x:v>
      </x:c>
      <x:c r="B71" s="180" t="str">
        <x:v>C007</x:v>
      </x:c>
      <x:c r="C71" s="180" t="str">
        <x:v>PeakFit Clubs</x:v>
      </x:c>
      <x:c r="D71" s="180" t="str">
        <x:v>Dashboard build</x:v>
      </x:c>
      <x:c r="E71" s="181" t="n">
        <x:v>46006</x:v>
      </x:c>
      <x:c r="F71" s="181" t="n">
        <x:v>46036</x:v>
      </x:c>
      <x:c r="G71" s="182" t="n">
        <x:v>1412.52</x:v>
      </x:c>
      <x:c r="H71" s="183" t="n">
        <x:v>0</x:v>
      </x:c>
      <x:c r="I71" s="182" t="n">
        <x:v>0</x:v>
      </x:c>
      <x:c r="J71" s="182" t="n">
        <x:v>1412.52</x:v>
      </x:c>
      <x:c r="K71" s="182" t="str">
        <x:v>Noah Reed</x:v>
      </x:c>
      <x:c r="L71" s="182" t="str">
        <x:v>noah@peakfit.example</x:v>
      </x:c>
      <x:c r="M71" s="184" t="n">
        <x:f>ROUND(SUMIF('Payment Log'!$B$5:$B$173,A71,'Payment Log'!$D$5:$D$173),2)</x:f>
        <x:v>1412.52</x:v>
      </x:c>
      <x:c r="N71" s="184" t="n">
        <x:f>ROUND(MAX(0,J71-M71),2)</x:f>
        <x:v>0</x:v>
      </x:c>
      <x:c r="O71" s="185" t="n">
        <x:f>IF(N71=0,0,MAX(0,'Checks'!$B$3-F71))</x:f>
        <x:v>0</x:v>
      </x:c>
      <x:c r="P71" s="186" t="str">
        <x:f>IF(N71=0,"Paid",IF(O71&gt;0,IF(M71&gt;0,"Partially Paid - Overdue","Overdue"),IF(M71&gt;0,"Partially Paid","Open")))</x:f>
        <x:v>Paid</x:v>
      </x:c>
      <x:c r="Q71" s="187" t="str">
        <x:f>IF(N71=0,"Paid",IF(O71=0,"Current",IF(O71&lt;=30,"1-30 days",IF(O71&lt;=60,"31-60 days",IF(O71&lt;=90,"61-90 days","90+ days")))))</x:f>
        <x:v>Paid</x:v>
      </x:c>
    </x:row>
    <x:row r="72">
      <x:c r="A72" s="179" t="str">
        <x:v>INV-0068</x:v>
      </x:c>
      <x:c r="B72" s="180" t="str">
        <x:v>C008</x:v>
      </x:c>
      <x:c r="C72" s="180" t="str">
        <x:v>GreenFork Catering</x:v>
      </x:c>
      <x:c r="D72" s="180" t="str">
        <x:v>Monthly reporting</x:v>
      </x:c>
      <x:c r="E72" s="181" t="n">
        <x:v>46008</x:v>
      </x:c>
      <x:c r="F72" s="181" t="n">
        <x:v>46022</x:v>
      </x:c>
      <x:c r="G72" s="182" t="n">
        <x:v>2384.64</x:v>
      </x:c>
      <x:c r="H72" s="183" t="n">
        <x:v>0</x:v>
      </x:c>
      <x:c r="I72" s="182" t="n">
        <x:v>0</x:v>
      </x:c>
      <x:c r="J72" s="182" t="n">
        <x:v>2384.64</x:v>
      </x:c>
      <x:c r="K72" s="182" t="str">
        <x:v>Ava Stone</x:v>
      </x:c>
      <x:c r="L72" s="182" t="str">
        <x:v>ava@greenfork.example</x:v>
      </x:c>
      <x:c r="M72" s="184" t="n">
        <x:f>ROUND(SUMIF('Payment Log'!$B$5:$B$173,A72,'Payment Log'!$D$5:$D$173),2)</x:f>
        <x:v>2384.64</x:v>
      </x:c>
      <x:c r="N72" s="184" t="n">
        <x:f>ROUND(MAX(0,J72-M72),2)</x:f>
        <x:v>0</x:v>
      </x:c>
      <x:c r="O72" s="185" t="n">
        <x:f>IF(N72=0,0,MAX(0,'Checks'!$B$3-F72))</x:f>
        <x:v>0</x:v>
      </x:c>
      <x:c r="P72" s="186" t="str">
        <x:f>IF(N72=0,"Paid",IF(O72&gt;0,IF(M72&gt;0,"Partially Paid - Overdue","Overdue"),IF(M72&gt;0,"Partially Paid","Open")))</x:f>
        <x:v>Paid</x:v>
      </x:c>
      <x:c r="Q72" s="187" t="str">
        <x:f>IF(N72=0,"Paid",IF(O72=0,"Current",IF(O72&lt;=30,"1-30 days",IF(O72&lt;=60,"31-60 days",IF(O72&lt;=90,"61-90 days","90+ days")))))</x:f>
        <x:v>Paid</x:v>
      </x:c>
    </x:row>
    <x:row r="73">
      <x:c r="A73" s="179" t="str">
        <x:v>INV-0069</x:v>
      </x:c>
      <x:c r="B73" s="180" t="str">
        <x:v>C009</x:v>
      </x:c>
      <x:c r="C73" s="180" t="str">
        <x:v>Orbit SaaS Labs</x:v>
      </x:c>
      <x:c r="D73" s="180" t="str">
        <x:v>Data cleanup</x:v>
      </x:c>
      <x:c r="E73" s="181" t="n">
        <x:v>46010</x:v>
      </x:c>
      <x:c r="F73" s="181" t="n">
        <x:v>46040</x:v>
      </x:c>
      <x:c r="G73" s="182" t="n">
        <x:v>621.5</x:v>
      </x:c>
      <x:c r="H73" s="183" t="n">
        <x:v>0</x:v>
      </x:c>
      <x:c r="I73" s="182" t="n">
        <x:v>0</x:v>
      </x:c>
      <x:c r="J73" s="182" t="n">
        <x:v>621.5</x:v>
      </x:c>
      <x:c r="K73" s="182" t="str">
        <x:v>Leo Martin</x:v>
      </x:c>
      <x:c r="L73" s="182" t="str">
        <x:v>leo@orbit.example</x:v>
      </x:c>
      <x:c r="M73" s="184" t="n">
        <x:f>ROUND(SUMIF('Payment Log'!$B$5:$B$173,A73,'Payment Log'!$D$5:$D$173),2)</x:f>
        <x:v>621.5</x:v>
      </x:c>
      <x:c r="N73" s="184" t="n">
        <x:f>ROUND(MAX(0,J73-M73),2)</x:f>
        <x:v>0</x:v>
      </x:c>
      <x:c r="O73" s="185" t="n">
        <x:f>IF(N73=0,0,MAX(0,'Checks'!$B$3-F73))</x:f>
        <x:v>0</x:v>
      </x:c>
      <x:c r="P73" s="186" t="str">
        <x:f>IF(N73=0,"Paid",IF(O73&gt;0,IF(M73&gt;0,"Partially Paid - Overdue","Overdue"),IF(M73&gt;0,"Partially Paid","Open")))</x:f>
        <x:v>Paid</x:v>
      </x:c>
      <x:c r="Q73" s="187" t="str">
        <x:f>IF(N73=0,"Paid",IF(O73=0,"Current",IF(O73&lt;=30,"1-30 days",IF(O73&lt;=60,"31-60 days",IF(O73&lt;=90,"61-90 days","90+ days")))))</x:f>
        <x:v>Paid</x:v>
      </x:c>
    </x:row>
    <x:row r="74">
      <x:c r="A74" s="179" t="str">
        <x:v>INV-0070</x:v>
      </x:c>
      <x:c r="B74" s="180" t="str">
        <x:v>C010</x:v>
      </x:c>
      <x:c r="C74" s="180" t="str">
        <x:v>Willow Events</x:v>
      </x:c>
      <x:c r="D74" s="180" t="str">
        <x:v>Automation setup</x:v>
      </x:c>
      <x:c r="E74" s="181" t="n">
        <x:v>46012</x:v>
      </x:c>
      <x:c r="F74" s="181" t="n">
        <x:v>46027</x:v>
      </x:c>
      <x:c r="G74" s="182" t="n">
        <x:v>2025.55</x:v>
      </x:c>
      <x:c r="H74" s="183" t="n">
        <x:v>0</x:v>
      </x:c>
      <x:c r="I74" s="182" t="n">
        <x:v>0</x:v>
      </x:c>
      <x:c r="J74" s="182" t="n">
        <x:v>2025.55</x:v>
      </x:c>
      <x:c r="K74" s="182" t="str">
        <x:v>Emma Hayes</x:v>
      </x:c>
      <x:c r="L74" s="182" t="str">
        <x:v>emma@willow.example</x:v>
      </x:c>
      <x:c r="M74" s="184" t="n">
        <x:f>ROUND(SUMIF('Payment Log'!$B$5:$B$173,A74,'Payment Log'!$D$5:$D$173),2)</x:f>
        <x:v>2025.55</x:v>
      </x:c>
      <x:c r="N74" s="184" t="n">
        <x:f>ROUND(MAX(0,J74-M74),2)</x:f>
        <x:v>0</x:v>
      </x:c>
      <x:c r="O74" s="185" t="n">
        <x:f>IF(N74=0,0,MAX(0,'Checks'!$B$3-F74))</x:f>
        <x:v>0</x:v>
      </x:c>
      <x:c r="P74" s="186" t="str">
        <x:f>IF(N74=0,"Paid",IF(O74&gt;0,IF(M74&gt;0,"Partially Paid - Overdue","Overdue"),IF(M74&gt;0,"Partially Paid","Open")))</x:f>
        <x:v>Paid</x:v>
      </x:c>
      <x:c r="Q74" s="187" t="str">
        <x:f>IF(N74=0,"Paid",IF(O74=0,"Current",IF(O74&lt;=30,"1-30 days",IF(O74&lt;=60,"31-60 days",IF(O74&lt;=90,"61-90 days","90+ days")))))</x:f>
        <x:v>Paid</x:v>
      </x:c>
    </x:row>
    <x:row r="75">
      <x:c r="A75" s="179" t="str">
        <x:v>INV-0071</x:v>
      </x:c>
      <x:c r="B75" s="180" t="str">
        <x:v>C011</x:v>
      </x:c>
      <x:c r="C75" s="180" t="str">
        <x:v>Copperline Consulting</x:v>
      </x:c>
      <x:c r="D75" s="180" t="str">
        <x:v>KPI analysis</x:v>
      </x:c>
      <x:c r="E75" s="181" t="n">
        <x:v>46014</x:v>
      </x:c>
      <x:c r="F75" s="181" t="n">
        <x:v>46044</x:v>
      </x:c>
      <x:c r="G75" s="182" t="n">
        <x:v>1893.02</x:v>
      </x:c>
      <x:c r="H75" s="183" t="n">
        <x:v>0.1</x:v>
      </x:c>
      <x:c r="I75" s="182" t="n">
        <x:v>189.3</x:v>
      </x:c>
      <x:c r="J75" s="182" t="n">
        <x:v>2082.32</x:v>
      </x:c>
      <x:c r="K75" s="182" t="str">
        <x:v>Iris Young</x:v>
      </x:c>
      <x:c r="L75" s="182" t="str">
        <x:v>iris@copperline.example</x:v>
      </x:c>
      <x:c r="M75" s="184" t="n">
        <x:f>ROUND(SUMIF('Payment Log'!$B$5:$B$173,A75,'Payment Log'!$D$5:$D$173),2)</x:f>
        <x:v>2082.32</x:v>
      </x:c>
      <x:c r="N75" s="184" t="n">
        <x:f>ROUND(MAX(0,J75-M75),2)</x:f>
        <x:v>0</x:v>
      </x:c>
      <x:c r="O75" s="185" t="n">
        <x:f>IF(N75=0,0,MAX(0,'Checks'!$B$3-F75))</x:f>
        <x:v>0</x:v>
      </x:c>
      <x:c r="P75" s="186" t="str">
        <x:f>IF(N75=0,"Paid",IF(O75&gt;0,IF(M75&gt;0,"Partially Paid - Overdue","Overdue"),IF(M75&gt;0,"Partially Paid","Open")))</x:f>
        <x:v>Paid</x:v>
      </x:c>
      <x:c r="Q75" s="187" t="str">
        <x:f>IF(N75=0,"Paid",IF(O75=0,"Current",IF(O75&lt;=30,"1-30 days",IF(O75&lt;=60,"31-60 days",IF(O75&lt;=90,"61-90 days","90+ days")))))</x:f>
        <x:v>Paid</x:v>
      </x:c>
    </x:row>
    <x:row r="76">
      <x:c r="A76" s="179" t="str">
        <x:v>INV-0072</x:v>
      </x:c>
      <x:c r="B76" s="180" t="str">
        <x:v>C012</x:v>
      </x:c>
      <x:c r="C76" s="180" t="str">
        <x:v>Bluebird Media</x:v>
      </x:c>
      <x:c r="D76" s="180" t="str">
        <x:v>Advisory retainer</x:v>
      </x:c>
      <x:c r="E76" s="181" t="n">
        <x:v>46016</x:v>
      </x:c>
      <x:c r="F76" s="181" t="n">
        <x:v>46037</x:v>
      </x:c>
      <x:c r="G76" s="182" t="n">
        <x:v>2721.99</x:v>
      </x:c>
      <x:c r="H76" s="183" t="n">
        <x:v>0</x:v>
      </x:c>
      <x:c r="I76" s="182" t="n">
        <x:v>0</x:v>
      </x:c>
      <x:c r="J76" s="182" t="n">
        <x:v>2721.99</x:v>
      </x:c>
      <x:c r="K76" s="182" t="str">
        <x:v>Theo King</x:v>
      </x:c>
      <x:c r="L76" s="182" t="str">
        <x:v>theo@bluebird.example</x:v>
      </x:c>
      <x:c r="M76" s="184" t="n">
        <x:f>ROUND(SUMIF('Payment Log'!$B$5:$B$173,A76,'Payment Log'!$D$5:$D$173),2)</x:f>
        <x:v>0</x:v>
      </x:c>
      <x:c r="N76" s="184" t="n">
        <x:f>ROUND(MAX(0,J76-M76),2)</x:f>
        <x:v>2721.99</x:v>
      </x:c>
      <x:c r="O76" s="185" t="n">
        <x:f>IF(N76=0,0,MAX(0,'Checks'!$B$3-F76))</x:f>
        <x:v>205</x:v>
      </x:c>
      <x:c r="P76" s="186" t="str">
        <x:f>IF(N76=0,"Paid",IF(O76&gt;0,IF(M76&gt;0,"Partially Paid - Overdue","Overdue"),IF(M76&gt;0,"Partially Paid","Open")))</x:f>
        <x:v>Overdue</x:v>
      </x:c>
      <x:c r="Q76" s="187" t="str">
        <x:f>IF(N76=0,"Paid",IF(O76=0,"Current",IF(O76&lt;=30,"1-30 days",IF(O76&lt;=60,"31-60 days",IF(O76&lt;=90,"61-90 days","90+ days")))))</x:f>
        <x:v>90+ days</x:v>
      </x:c>
    </x:row>
    <x:row r="77">
      <x:c r="A77" s="179" t="str">
        <x:v>INV-0073</x:v>
      </x:c>
      <x:c r="B77" s="180" t="str">
        <x:v>C001</x:v>
      </x:c>
      <x:c r="C77" s="180" t="str">
        <x:v>Northstar Creative</x:v>
      </x:c>
      <x:c r="D77" s="180" t="str">
        <x:v>Dashboard build</x:v>
      </x:c>
      <x:c r="E77" s="181" t="n">
        <x:v>46019</x:v>
      </x:c>
      <x:c r="F77" s="181" t="n">
        <x:v>46049</x:v>
      </x:c>
      <x:c r="G77" s="182" t="n">
        <x:v>1361.29</x:v>
      </x:c>
      <x:c r="H77" s="183" t="n">
        <x:v>0</x:v>
      </x:c>
      <x:c r="I77" s="182" t="n">
        <x:v>0</x:v>
      </x:c>
      <x:c r="J77" s="182" t="n">
        <x:v>1361.29</x:v>
      </x:c>
      <x:c r="K77" s="182" t="str">
        <x:v>Maya Chen</x:v>
      </x:c>
      <x:c r="L77" s="182" t="str">
        <x:v>maya@northstar.example</x:v>
      </x:c>
      <x:c r="M77" s="184" t="n">
        <x:f>ROUND(SUMIF('Payment Log'!$B$5:$B$173,A77,'Payment Log'!$D$5:$D$173),2)</x:f>
        <x:v>1361.29</x:v>
      </x:c>
      <x:c r="N77" s="184" t="n">
        <x:f>ROUND(MAX(0,J77-M77),2)</x:f>
        <x:v>0</x:v>
      </x:c>
      <x:c r="O77" s="185" t="n">
        <x:f>IF(N77=0,0,MAX(0,'Checks'!$B$3-F77))</x:f>
        <x:v>0</x:v>
      </x:c>
      <x:c r="P77" s="186" t="str">
        <x:f>IF(N77=0,"Paid",IF(O77&gt;0,IF(M77&gt;0,"Partially Paid - Overdue","Overdue"),IF(M77&gt;0,"Partially Paid","Open")))</x:f>
        <x:v>Paid</x:v>
      </x:c>
      <x:c r="Q77" s="187" t="str">
        <x:f>IF(N77=0,"Paid",IF(O77=0,"Current",IF(O77&lt;=30,"1-30 days",IF(O77&lt;=60,"31-60 days",IF(O77&lt;=90,"61-90 days","90+ days")))))</x:f>
        <x:v>Paid</x:v>
      </x:c>
    </x:row>
    <x:row r="78">
      <x:c r="A78" s="179" t="str">
        <x:v>INV-0074</x:v>
      </x:c>
      <x:c r="B78" s="180" t="str">
        <x:v>C002</x:v>
      </x:c>
      <x:c r="C78" s="180" t="str">
        <x:v>Lumen Health Studio</x:v>
      </x:c>
      <x:c r="D78" s="180" t="str">
        <x:v>Monthly reporting</x:v>
      </x:c>
      <x:c r="E78" s="181" t="n">
        <x:v>46021</x:v>
      </x:c>
      <x:c r="F78" s="181" t="n">
        <x:v>46036</x:v>
      </x:c>
      <x:c r="G78" s="182" t="n">
        <x:v>1207.83</x:v>
      </x:c>
      <x:c r="H78" s="183" t="n">
        <x:v>0</x:v>
      </x:c>
      <x:c r="I78" s="182" t="n">
        <x:v>0</x:v>
      </x:c>
      <x:c r="J78" s="182" t="n">
        <x:v>1207.83</x:v>
      </x:c>
      <x:c r="K78" s="182" t="str">
        <x:v>Elias Ward</x:v>
      </x:c>
      <x:c r="L78" s="182" t="str">
        <x:v>elias@lumen.example</x:v>
      </x:c>
      <x:c r="M78" s="184" t="n">
        <x:f>ROUND(SUMIF('Payment Log'!$B$5:$B$173,A78,'Payment Log'!$D$5:$D$173),2)</x:f>
        <x:v>1207.83</x:v>
      </x:c>
      <x:c r="N78" s="184" t="n">
        <x:f>ROUND(MAX(0,J78-M78),2)</x:f>
        <x:v>0</x:v>
      </x:c>
      <x:c r="O78" s="185" t="n">
        <x:f>IF(N78=0,0,MAX(0,'Checks'!$B$3-F78))</x:f>
        <x:v>0</x:v>
      </x:c>
      <x:c r="P78" s="186" t="str">
        <x:f>IF(N78=0,"Paid",IF(O78&gt;0,IF(M78&gt;0,"Partially Paid - Overdue","Overdue"),IF(M78&gt;0,"Partially Paid","Open")))</x:f>
        <x:v>Paid</x:v>
      </x:c>
      <x:c r="Q78" s="187" t="str">
        <x:f>IF(N78=0,"Paid",IF(O78=0,"Current",IF(O78&lt;=30,"1-30 days",IF(O78&lt;=60,"31-60 days",IF(O78&lt;=90,"61-90 days","90+ days")))))</x:f>
        <x:v>Paid</x:v>
      </x:c>
    </x:row>
    <x:row r="79">
      <x:c r="A79" s="179" t="str">
        <x:v>INV-0075</x:v>
      </x:c>
      <x:c r="B79" s="180" t="str">
        <x:v>C003</x:v>
      </x:c>
      <x:c r="C79" s="180" t="str">
        <x:v>Cedar &amp; Co. Retail</x:v>
      </x:c>
      <x:c r="D79" s="180" t="str">
        <x:v>Data cleanup</x:v>
      </x:c>
      <x:c r="E79" s="181" t="n">
        <x:v>46023</x:v>
      </x:c>
      <x:c r="F79" s="181" t="n">
        <x:v>46053</x:v>
      </x:c>
      <x:c r="G79" s="182" t="n">
        <x:v>1568.58</x:v>
      </x:c>
      <x:c r="H79" s="183" t="n">
        <x:v>0</x:v>
      </x:c>
      <x:c r="I79" s="182" t="n">
        <x:v>0</x:v>
      </x:c>
      <x:c r="J79" s="182" t="n">
        <x:v>1568.58</x:v>
      </x:c>
      <x:c r="K79" s="182" t="str">
        <x:v>Nora Patel</x:v>
      </x:c>
      <x:c r="L79" s="182" t="str">
        <x:v>nora@cedar.example</x:v>
      </x:c>
      <x:c r="M79" s="184" t="n">
        <x:f>ROUND(SUMIF('Payment Log'!$B$5:$B$173,A79,'Payment Log'!$D$5:$D$173),2)</x:f>
        <x:v>1568.58</x:v>
      </x:c>
      <x:c r="N79" s="184" t="n">
        <x:f>ROUND(MAX(0,J79-M79),2)</x:f>
        <x:v>0</x:v>
      </x:c>
      <x:c r="O79" s="185" t="n">
        <x:f>IF(N79=0,0,MAX(0,'Checks'!$B$3-F79))</x:f>
        <x:v>0</x:v>
      </x:c>
      <x:c r="P79" s="186" t="str">
        <x:f>IF(N79=0,"Paid",IF(O79&gt;0,IF(M79&gt;0,"Partially Paid - Overdue","Overdue"),IF(M79&gt;0,"Partially Paid","Open")))</x:f>
        <x:v>Paid</x:v>
      </x:c>
      <x:c r="Q79" s="187" t="str">
        <x:f>IF(N79=0,"Paid",IF(O79=0,"Current",IF(O79&lt;=30,"1-30 days",IF(O79&lt;=60,"31-60 days",IF(O79&lt;=90,"61-90 days","90+ days")))))</x:f>
        <x:v>Paid</x:v>
      </x:c>
    </x:row>
    <x:row r="80">
      <x:c r="A80" s="179" t="str">
        <x:v>INV-0076</x:v>
      </x:c>
      <x:c r="B80" s="180" t="str">
        <x:v>C004</x:v>
      </x:c>
      <x:c r="C80" s="180" t="str">
        <x:v>Harbor Legal Partners</x:v>
      </x:c>
      <x:c r="D80" s="180" t="str">
        <x:v>Automation setup</x:v>
      </x:c>
      <x:c r="E80" s="181" t="n">
        <x:v>46025</x:v>
      </x:c>
      <x:c r="F80" s="181" t="n">
        <x:v>46055</x:v>
      </x:c>
      <x:c r="G80" s="182" t="n">
        <x:v>2600.33</x:v>
      </x:c>
      <x:c r="H80" s="183" t="n">
        <x:v>0.1</x:v>
      </x:c>
      <x:c r="I80" s="182" t="n">
        <x:v>260.03</x:v>
      </x:c>
      <x:c r="J80" s="182" t="n">
        <x:v>2860.36</x:v>
      </x:c>
      <x:c r="K80" s="182" t="str">
        <x:v>Owen Brooks</x:v>
      </x:c>
      <x:c r="L80" s="182" t="str">
        <x:v>owen@harbor.example</x:v>
      </x:c>
      <x:c r="M80" s="184" t="n">
        <x:f>ROUND(SUMIF('Payment Log'!$B$5:$B$173,A80,'Payment Log'!$D$5:$D$173),2)</x:f>
        <x:v>0</x:v>
      </x:c>
      <x:c r="N80" s="184" t="n">
        <x:f>ROUND(MAX(0,J80-M80),2)</x:f>
        <x:v>2860.36</x:v>
      </x:c>
      <x:c r="O80" s="185" t="n">
        <x:f>IF(N80=0,0,MAX(0,'Checks'!$B$3-F80))</x:f>
        <x:v>187</x:v>
      </x:c>
      <x:c r="P80" s="186" t="str">
        <x:f>IF(N80=0,"Paid",IF(O80&gt;0,IF(M80&gt;0,"Partially Paid - Overdue","Overdue"),IF(M80&gt;0,"Partially Paid","Open")))</x:f>
        <x:v>Overdue</x:v>
      </x:c>
      <x:c r="Q80" s="187" t="str">
        <x:f>IF(N80=0,"Paid",IF(O80=0,"Current",IF(O80&lt;=30,"1-30 days",IF(O80&lt;=60,"31-60 days",IF(O80&lt;=90,"61-90 days","90+ days")))))</x:f>
        <x:v>90+ days</x:v>
      </x:c>
    </x:row>
    <x:row r="81">
      <x:c r="A81" s="179" t="str">
        <x:v>INV-0077</x:v>
      </x:c>
      <x:c r="B81" s="180" t="str">
        <x:v>C005</x:v>
      </x:c>
      <x:c r="C81" s="180" t="str">
        <x:v>Atlas Property Group</x:v>
      </x:c>
      <x:c r="D81" s="180" t="str">
        <x:v>KPI analysis</x:v>
      </x:c>
      <x:c r="E81" s="181" t="n">
        <x:v>46027</x:v>
      </x:c>
      <x:c r="F81" s="181" t="n">
        <x:v>46048</x:v>
      </x:c>
      <x:c r="G81" s="182" t="n">
        <x:v>702.08</x:v>
      </x:c>
      <x:c r="H81" s="183" t="n">
        <x:v>0</x:v>
      </x:c>
      <x:c r="I81" s="182" t="n">
        <x:v>0</x:v>
      </x:c>
      <x:c r="J81" s="182" t="n">
        <x:v>702.08</x:v>
      </x:c>
      <x:c r="K81" s="182" t="str">
        <x:v>Sara Lin</x:v>
      </x:c>
      <x:c r="L81" s="182" t="str">
        <x:v>sara@atlas.example</x:v>
      </x:c>
      <x:c r="M81" s="184" t="n">
        <x:f>ROUND(SUMIF('Payment Log'!$B$5:$B$173,A81,'Payment Log'!$D$5:$D$173),2)</x:f>
        <x:v>702.08</x:v>
      </x:c>
      <x:c r="N81" s="184" t="n">
        <x:f>ROUND(MAX(0,J81-M81),2)</x:f>
        <x:v>0</x:v>
      </x:c>
      <x:c r="O81" s="185" t="n">
        <x:f>IF(N81=0,0,MAX(0,'Checks'!$B$3-F81))</x:f>
        <x:v>0</x:v>
      </x:c>
      <x:c r="P81" s="186" t="str">
        <x:f>IF(N81=0,"Paid",IF(O81&gt;0,IF(M81&gt;0,"Partially Paid - Overdue","Overdue"),IF(M81&gt;0,"Partially Paid","Open")))</x:f>
        <x:v>Paid</x:v>
      </x:c>
      <x:c r="Q81" s="187" t="str">
        <x:f>IF(N81=0,"Paid",IF(O81=0,"Current",IF(O81&lt;=30,"1-30 days",IF(O81&lt;=60,"31-60 days",IF(O81&lt;=90,"61-90 days","90+ days")))))</x:f>
        <x:v>Paid</x:v>
      </x:c>
    </x:row>
    <x:row r="82">
      <x:c r="A82" s="179" t="str">
        <x:v>INV-0078</x:v>
      </x:c>
      <x:c r="B82" s="180" t="str">
        <x:v>C006</x:v>
      </x:c>
      <x:c r="C82" s="180" t="str">
        <x:v>BrightPath Learning</x:v>
      </x:c>
      <x:c r="D82" s="180" t="str">
        <x:v>Advisory retainer</x:v>
      </x:c>
      <x:c r="E82" s="181" t="n">
        <x:v>46029</x:v>
      </x:c>
      <x:c r="F82" s="181" t="n">
        <x:v>46044</x:v>
      </x:c>
      <x:c r="G82" s="182" t="n">
        <x:v>2611.68</x:v>
      </x:c>
      <x:c r="H82" s="183" t="n">
        <x:v>0</x:v>
      </x:c>
      <x:c r="I82" s="182" t="n">
        <x:v>0</x:v>
      </x:c>
      <x:c r="J82" s="182" t="n">
        <x:v>2611.68</x:v>
      </x:c>
      <x:c r="K82" s="182" t="str">
        <x:v>Lina Costa</x:v>
      </x:c>
      <x:c r="L82" s="182" t="str">
        <x:v>lina@brightpath.example</x:v>
      </x:c>
      <x:c r="M82" s="184" t="n">
        <x:f>ROUND(SUMIF('Payment Log'!$B$5:$B$173,A82,'Payment Log'!$D$5:$D$173),2)</x:f>
        <x:v>2611.68</x:v>
      </x:c>
      <x:c r="N82" s="184" t="n">
        <x:f>ROUND(MAX(0,J82-M82),2)</x:f>
        <x:v>0</x:v>
      </x:c>
      <x:c r="O82" s="185" t="n">
        <x:f>IF(N82=0,0,MAX(0,'Checks'!$B$3-F82))</x:f>
        <x:v>0</x:v>
      </x:c>
      <x:c r="P82" s="186" t="str">
        <x:f>IF(N82=0,"Paid",IF(O82&gt;0,IF(M82&gt;0,"Partially Paid - Overdue","Overdue"),IF(M82&gt;0,"Partially Paid","Open")))</x:f>
        <x:v>Paid</x:v>
      </x:c>
      <x:c r="Q82" s="187" t="str">
        <x:f>IF(N82=0,"Paid",IF(O82=0,"Current",IF(O82&lt;=30,"1-30 days",IF(O82&lt;=60,"31-60 days",IF(O82&lt;=90,"61-90 days","90+ days")))))</x:f>
        <x:v>Paid</x:v>
      </x:c>
    </x:row>
    <x:row r="83">
      <x:c r="A83" s="179" t="str">
        <x:v>INV-0079</x:v>
      </x:c>
      <x:c r="B83" s="180" t="str">
        <x:v>C007</x:v>
      </x:c>
      <x:c r="C83" s="180" t="str">
        <x:v>PeakFit Clubs</x:v>
      </x:c>
      <x:c r="D83" s="180" t="str">
        <x:v>Dashboard build</x:v>
      </x:c>
      <x:c r="E83" s="181" t="n">
        <x:v>46031</x:v>
      </x:c>
      <x:c r="F83" s="181" t="n">
        <x:v>46061</x:v>
      </x:c>
      <x:c r="G83" s="182" t="n">
        <x:v>568.79</x:v>
      </x:c>
      <x:c r="H83" s="183" t="n">
        <x:v>0</x:v>
      </x:c>
      <x:c r="I83" s="182" t="n">
        <x:v>0</x:v>
      </x:c>
      <x:c r="J83" s="182" t="n">
        <x:v>568.79</x:v>
      </x:c>
      <x:c r="K83" s="182" t="str">
        <x:v>Noah Reed</x:v>
      </x:c>
      <x:c r="L83" s="182" t="str">
        <x:v>noah@peakfit.example</x:v>
      </x:c>
      <x:c r="M83" s="184" t="n">
        <x:f>ROUND(SUMIF('Payment Log'!$B$5:$B$173,A83,'Payment Log'!$D$5:$D$173),2)</x:f>
        <x:v>568.79</x:v>
      </x:c>
      <x:c r="N83" s="184" t="n">
        <x:f>ROUND(MAX(0,J83-M83),2)</x:f>
        <x:v>0</x:v>
      </x:c>
      <x:c r="O83" s="185" t="n">
        <x:f>IF(N83=0,0,MAX(0,'Checks'!$B$3-F83))</x:f>
        <x:v>0</x:v>
      </x:c>
      <x:c r="P83" s="186" t="str">
        <x:f>IF(N83=0,"Paid",IF(O83&gt;0,IF(M83&gt;0,"Partially Paid - Overdue","Overdue"),IF(M83&gt;0,"Partially Paid","Open")))</x:f>
        <x:v>Paid</x:v>
      </x:c>
      <x:c r="Q83" s="187" t="str">
        <x:f>IF(N83=0,"Paid",IF(O83=0,"Current",IF(O83&lt;=30,"1-30 days",IF(O83&lt;=60,"31-60 days",IF(O83&lt;=90,"61-90 days","90+ days")))))</x:f>
        <x:v>Paid</x:v>
      </x:c>
    </x:row>
    <x:row r="84">
      <x:c r="A84" s="179" t="str">
        <x:v>INV-0080</x:v>
      </x:c>
      <x:c r="B84" s="180" t="str">
        <x:v>C008</x:v>
      </x:c>
      <x:c r="C84" s="180" t="str">
        <x:v>GreenFork Catering</x:v>
      </x:c>
      <x:c r="D84" s="180" t="str">
        <x:v>Monthly reporting</x:v>
      </x:c>
      <x:c r="E84" s="181" t="n">
        <x:v>46033</x:v>
      </x:c>
      <x:c r="F84" s="181" t="n">
        <x:v>46047</x:v>
      </x:c>
      <x:c r="G84" s="182" t="n">
        <x:v>2587.27</x:v>
      </x:c>
      <x:c r="H84" s="183" t="n">
        <x:v>0</x:v>
      </x:c>
      <x:c r="I84" s="182" t="n">
        <x:v>0</x:v>
      </x:c>
      <x:c r="J84" s="182" t="n">
        <x:v>2587.27</x:v>
      </x:c>
      <x:c r="K84" s="182" t="str">
        <x:v>Ava Stone</x:v>
      </x:c>
      <x:c r="L84" s="182" t="str">
        <x:v>ava@greenfork.example</x:v>
      </x:c>
      <x:c r="M84" s="184" t="n">
        <x:f>ROUND(SUMIF('Payment Log'!$B$5:$B$173,A84,'Payment Log'!$D$5:$D$173),2)</x:f>
        <x:v>2587.27</x:v>
      </x:c>
      <x:c r="N84" s="184" t="n">
        <x:f>ROUND(MAX(0,J84-M84),2)</x:f>
        <x:v>0</x:v>
      </x:c>
      <x:c r="O84" s="185" t="n">
        <x:f>IF(N84=0,0,MAX(0,'Checks'!$B$3-F84))</x:f>
        <x:v>0</x:v>
      </x:c>
      <x:c r="P84" s="186" t="str">
        <x:f>IF(N84=0,"Paid",IF(O84&gt;0,IF(M84&gt;0,"Partially Paid - Overdue","Overdue"),IF(M84&gt;0,"Partially Paid","Open")))</x:f>
        <x:v>Paid</x:v>
      </x:c>
      <x:c r="Q84" s="187" t="str">
        <x:f>IF(N84=0,"Paid",IF(O84=0,"Current",IF(O84&lt;=30,"1-30 days",IF(O84&lt;=60,"31-60 days",IF(O84&lt;=90,"61-90 days","90+ days")))))</x:f>
        <x:v>Paid</x:v>
      </x:c>
    </x:row>
    <x:row r="85">
      <x:c r="A85" s="179" t="str">
        <x:v>INV-0081</x:v>
      </x:c>
      <x:c r="B85" s="180" t="str">
        <x:v>C009</x:v>
      </x:c>
      <x:c r="C85" s="180" t="str">
        <x:v>Orbit SaaS Labs</x:v>
      </x:c>
      <x:c r="D85" s="180" t="str">
        <x:v>Data cleanup</x:v>
      </x:c>
      <x:c r="E85" s="181" t="n">
        <x:v>46035</x:v>
      </x:c>
      <x:c r="F85" s="181" t="n">
        <x:v>46065</x:v>
      </x:c>
      <x:c r="G85" s="182" t="n">
        <x:v>547.49</x:v>
      </x:c>
      <x:c r="H85" s="183" t="n">
        <x:v>0.1</x:v>
      </x:c>
      <x:c r="I85" s="182" t="n">
        <x:v>54.75</x:v>
      </x:c>
      <x:c r="J85" s="182" t="n">
        <x:v>602.24</x:v>
      </x:c>
      <x:c r="K85" s="182" t="str">
        <x:v>Leo Martin</x:v>
      </x:c>
      <x:c r="L85" s="182" t="str">
        <x:v>leo@orbit.example</x:v>
      </x:c>
      <x:c r="M85" s="184" t="n">
        <x:f>ROUND(SUMIF('Payment Log'!$B$5:$B$173,A85,'Payment Log'!$D$5:$D$173),2)</x:f>
        <x:v>602.24</x:v>
      </x:c>
      <x:c r="N85" s="184" t="n">
        <x:f>ROUND(MAX(0,J85-M85),2)</x:f>
        <x:v>0</x:v>
      </x:c>
      <x:c r="O85" s="185" t="n">
        <x:f>IF(N85=0,0,MAX(0,'Checks'!$B$3-F85))</x:f>
        <x:v>0</x:v>
      </x:c>
      <x:c r="P85" s="186" t="str">
        <x:f>IF(N85=0,"Paid",IF(O85&gt;0,IF(M85&gt;0,"Partially Paid - Overdue","Overdue"),IF(M85&gt;0,"Partially Paid","Open")))</x:f>
        <x:v>Paid</x:v>
      </x:c>
      <x:c r="Q85" s="187" t="str">
        <x:f>IF(N85=0,"Paid",IF(O85=0,"Current",IF(O85&lt;=30,"1-30 days",IF(O85&lt;=60,"31-60 days",IF(O85&lt;=90,"61-90 days","90+ days")))))</x:f>
        <x:v>Paid</x:v>
      </x:c>
    </x:row>
    <x:row r="86">
      <x:c r="A86" s="179" t="str">
        <x:v>INV-0082</x:v>
      </x:c>
      <x:c r="B86" s="180" t="str">
        <x:v>C010</x:v>
      </x:c>
      <x:c r="C86" s="180" t="str">
        <x:v>Willow Events</x:v>
      </x:c>
      <x:c r="D86" s="180" t="str">
        <x:v>Automation setup</x:v>
      </x:c>
      <x:c r="E86" s="181" t="n">
        <x:v>46037</x:v>
      </x:c>
      <x:c r="F86" s="181" t="n">
        <x:v>46052</x:v>
      </x:c>
      <x:c r="G86" s="182" t="n">
        <x:v>668.53</x:v>
      </x:c>
      <x:c r="H86" s="183" t="n">
        <x:v>0</x:v>
      </x:c>
      <x:c r="I86" s="182" t="n">
        <x:v>0</x:v>
      </x:c>
      <x:c r="J86" s="182" t="n">
        <x:v>668.53</x:v>
      </x:c>
      <x:c r="K86" s="182" t="str">
        <x:v>Emma Hayes</x:v>
      </x:c>
      <x:c r="L86" s="182" t="str">
        <x:v>emma@willow.example</x:v>
      </x:c>
      <x:c r="M86" s="184" t="n">
        <x:f>ROUND(SUMIF('Payment Log'!$B$5:$B$173,A86,'Payment Log'!$D$5:$D$173),2)</x:f>
        <x:v>668.53</x:v>
      </x:c>
      <x:c r="N86" s="184" t="n">
        <x:f>ROUND(MAX(0,J86-M86),2)</x:f>
        <x:v>0</x:v>
      </x:c>
      <x:c r="O86" s="185" t="n">
        <x:f>IF(N86=0,0,MAX(0,'Checks'!$B$3-F86))</x:f>
        <x:v>0</x:v>
      </x:c>
      <x:c r="P86" s="186" t="str">
        <x:f>IF(N86=0,"Paid",IF(O86&gt;0,IF(M86&gt;0,"Partially Paid - Overdue","Overdue"),IF(M86&gt;0,"Partially Paid","Open")))</x:f>
        <x:v>Paid</x:v>
      </x:c>
      <x:c r="Q86" s="187" t="str">
        <x:f>IF(N86=0,"Paid",IF(O86=0,"Current",IF(O86&lt;=30,"1-30 days",IF(O86&lt;=60,"31-60 days",IF(O86&lt;=90,"61-90 days","90+ days")))))</x:f>
        <x:v>Paid</x:v>
      </x:c>
    </x:row>
    <x:row r="87">
      <x:c r="A87" s="179" t="str">
        <x:v>INV-0083</x:v>
      </x:c>
      <x:c r="B87" s="180" t="str">
        <x:v>C011</x:v>
      </x:c>
      <x:c r="C87" s="180" t="str">
        <x:v>Copperline Consulting</x:v>
      </x:c>
      <x:c r="D87" s="180" t="str">
        <x:v>KPI analysis</x:v>
      </x:c>
      <x:c r="E87" s="181" t="n">
        <x:v>46039</x:v>
      </x:c>
      <x:c r="F87" s="181" t="n">
        <x:v>46069</x:v>
      </x:c>
      <x:c r="G87" s="182" t="n">
        <x:v>690.81</x:v>
      </x:c>
      <x:c r="H87" s="183" t="n">
        <x:v>0</x:v>
      </x:c>
      <x:c r="I87" s="182" t="n">
        <x:v>0</x:v>
      </x:c>
      <x:c r="J87" s="182" t="n">
        <x:v>690.81</x:v>
      </x:c>
      <x:c r="K87" s="182" t="str">
        <x:v>Iris Young</x:v>
      </x:c>
      <x:c r="L87" s="182" t="str">
        <x:v>iris@copperline.example</x:v>
      </x:c>
      <x:c r="M87" s="184" t="n">
        <x:f>ROUND(SUMIF('Payment Log'!$B$5:$B$173,A87,'Payment Log'!$D$5:$D$173),2)</x:f>
        <x:v>690.81</x:v>
      </x:c>
      <x:c r="N87" s="184" t="n">
        <x:f>ROUND(MAX(0,J87-M87),2)</x:f>
        <x:v>0</x:v>
      </x:c>
      <x:c r="O87" s="185" t="n">
        <x:f>IF(N87=0,0,MAX(0,'Checks'!$B$3-F87))</x:f>
        <x:v>0</x:v>
      </x:c>
      <x:c r="P87" s="186" t="str">
        <x:f>IF(N87=0,"Paid",IF(O87&gt;0,IF(M87&gt;0,"Partially Paid - Overdue","Overdue"),IF(M87&gt;0,"Partially Paid","Open")))</x:f>
        <x:v>Paid</x:v>
      </x:c>
      <x:c r="Q87" s="187" t="str">
        <x:f>IF(N87=0,"Paid",IF(O87=0,"Current",IF(O87&lt;=30,"1-30 days",IF(O87&lt;=60,"31-60 days",IF(O87&lt;=90,"61-90 days","90+ days")))))</x:f>
        <x:v>Paid</x:v>
      </x:c>
    </x:row>
    <x:row r="88">
      <x:c r="A88" s="179" t="str">
        <x:v>INV-0084</x:v>
      </x:c>
      <x:c r="B88" s="180" t="str">
        <x:v>C012</x:v>
      </x:c>
      <x:c r="C88" s="180" t="str">
        <x:v>Bluebird Media</x:v>
      </x:c>
      <x:c r="D88" s="180" t="str">
        <x:v>Advisory retainer</x:v>
      </x:c>
      <x:c r="E88" s="181" t="n">
        <x:v>46041</x:v>
      </x:c>
      <x:c r="F88" s="181" t="n">
        <x:v>46062</x:v>
      </x:c>
      <x:c r="G88" s="182" t="n">
        <x:v>848.04</x:v>
      </x:c>
      <x:c r="H88" s="183" t="n">
        <x:v>0</x:v>
      </x:c>
      <x:c r="I88" s="182" t="n">
        <x:v>0</x:v>
      </x:c>
      <x:c r="J88" s="182" t="n">
        <x:v>848.04</x:v>
      </x:c>
      <x:c r="K88" s="182" t="str">
        <x:v>Theo King</x:v>
      </x:c>
      <x:c r="L88" s="182" t="str">
        <x:v>theo@bluebird.example</x:v>
      </x:c>
      <x:c r="M88" s="184" t="n">
        <x:f>ROUND(SUMIF('Payment Log'!$B$5:$B$173,A88,'Payment Log'!$D$5:$D$173),2)</x:f>
        <x:v>0</x:v>
      </x:c>
      <x:c r="N88" s="184" t="n">
        <x:f>ROUND(MAX(0,J88-M88),2)</x:f>
        <x:v>848.04</x:v>
      </x:c>
      <x:c r="O88" s="185" t="n">
        <x:f>IF(N88=0,0,MAX(0,'Checks'!$B$3-F88))</x:f>
        <x:v>180</x:v>
      </x:c>
      <x:c r="P88" s="186" t="str">
        <x:f>IF(N88=0,"Paid",IF(O88&gt;0,IF(M88&gt;0,"Partially Paid - Overdue","Overdue"),IF(M88&gt;0,"Partially Paid","Open")))</x:f>
        <x:v>Overdue</x:v>
      </x:c>
      <x:c r="Q88" s="187" t="str">
        <x:f>IF(N88=0,"Paid",IF(O88=0,"Current",IF(O88&lt;=30,"1-30 days",IF(O88&lt;=60,"31-60 days",IF(O88&lt;=90,"61-90 days","90+ days")))))</x:f>
        <x:v>90+ days</x:v>
      </x:c>
    </x:row>
    <x:row r="89">
      <x:c r="A89" s="179" t="str">
        <x:v>INV-0085</x:v>
      </x:c>
      <x:c r="B89" s="180" t="str">
        <x:v>C001</x:v>
      </x:c>
      <x:c r="C89" s="180" t="str">
        <x:v>Northstar Creative</x:v>
      </x:c>
      <x:c r="D89" s="180" t="str">
        <x:v>Dashboard build</x:v>
      </x:c>
      <x:c r="E89" s="181" t="n">
        <x:v>46043</x:v>
      </x:c>
      <x:c r="F89" s="181" t="n">
        <x:v>46073</x:v>
      </x:c>
      <x:c r="G89" s="182" t="n">
        <x:v>992.32</x:v>
      </x:c>
      <x:c r="H89" s="183" t="n">
        <x:v>0</x:v>
      </x:c>
      <x:c r="I89" s="182" t="n">
        <x:v>0</x:v>
      </x:c>
      <x:c r="J89" s="182" t="n">
        <x:v>992.32</x:v>
      </x:c>
      <x:c r="K89" s="182" t="str">
        <x:v>Maya Chen</x:v>
      </x:c>
      <x:c r="L89" s="182" t="str">
        <x:v>maya@northstar.example</x:v>
      </x:c>
      <x:c r="M89" s="184" t="n">
        <x:f>ROUND(SUMIF('Payment Log'!$B$5:$B$173,A89,'Payment Log'!$D$5:$D$173),2)</x:f>
        <x:v>992.32</x:v>
      </x:c>
      <x:c r="N89" s="184" t="n">
        <x:f>ROUND(MAX(0,J89-M89),2)</x:f>
        <x:v>0</x:v>
      </x:c>
      <x:c r="O89" s="185" t="n">
        <x:f>IF(N89=0,0,MAX(0,'Checks'!$B$3-F89))</x:f>
        <x:v>0</x:v>
      </x:c>
      <x:c r="P89" s="186" t="str">
        <x:f>IF(N89=0,"Paid",IF(O89&gt;0,IF(M89&gt;0,"Partially Paid - Overdue","Overdue"),IF(M89&gt;0,"Partially Paid","Open")))</x:f>
        <x:v>Paid</x:v>
      </x:c>
      <x:c r="Q89" s="187" t="str">
        <x:f>IF(N89=0,"Paid",IF(O89=0,"Current",IF(O89&lt;=30,"1-30 days",IF(O89&lt;=60,"31-60 days",IF(O89&lt;=90,"61-90 days","90+ days")))))</x:f>
        <x:v>Paid</x:v>
      </x:c>
    </x:row>
    <x:row r="90">
      <x:c r="A90" s="179" t="str">
        <x:v>INV-0086</x:v>
      </x:c>
      <x:c r="B90" s="180" t="str">
        <x:v>C002</x:v>
      </x:c>
      <x:c r="C90" s="180" t="str">
        <x:v>Lumen Health Studio</x:v>
      </x:c>
      <x:c r="D90" s="180" t="str">
        <x:v>Monthly reporting</x:v>
      </x:c>
      <x:c r="E90" s="181" t="n">
        <x:v>46045</x:v>
      </x:c>
      <x:c r="F90" s="181" t="n">
        <x:v>46060</x:v>
      </x:c>
      <x:c r="G90" s="182" t="n">
        <x:v>2097.82</x:v>
      </x:c>
      <x:c r="H90" s="183" t="n">
        <x:v>0.1</x:v>
      </x:c>
      <x:c r="I90" s="182" t="n">
        <x:v>209.78</x:v>
      </x:c>
      <x:c r="J90" s="182" t="n">
        <x:v>2307.6</x:v>
      </x:c>
      <x:c r="K90" s="182" t="str">
        <x:v>Elias Ward</x:v>
      </x:c>
      <x:c r="L90" s="182" t="str">
        <x:v>elias@lumen.example</x:v>
      </x:c>
      <x:c r="M90" s="184" t="n">
        <x:f>ROUND(SUMIF('Payment Log'!$B$5:$B$173,A90,'Payment Log'!$D$5:$D$173),2)</x:f>
        <x:v>0</x:v>
      </x:c>
      <x:c r="N90" s="184" t="n">
        <x:f>ROUND(MAX(0,J90-M90),2)</x:f>
        <x:v>2307.6</x:v>
      </x:c>
      <x:c r="O90" s="185" t="n">
        <x:f>IF(N90=0,0,MAX(0,'Checks'!$B$3-F90))</x:f>
        <x:v>182</x:v>
      </x:c>
      <x:c r="P90" s="186" t="str">
        <x:f>IF(N90=0,"Paid",IF(O90&gt;0,IF(M90&gt;0,"Partially Paid - Overdue","Overdue"),IF(M90&gt;0,"Partially Paid","Open")))</x:f>
        <x:v>Overdue</x:v>
      </x:c>
      <x:c r="Q90" s="187" t="str">
        <x:f>IF(N90=0,"Paid",IF(O90=0,"Current",IF(O90&lt;=30,"1-30 days",IF(O90&lt;=60,"31-60 days",IF(O90&lt;=90,"61-90 days","90+ days")))))</x:f>
        <x:v>90+ days</x:v>
      </x:c>
    </x:row>
    <x:row r="91">
      <x:c r="A91" s="179" t="str">
        <x:v>INV-0087</x:v>
      </x:c>
      <x:c r="B91" s="180" t="str">
        <x:v>C003</x:v>
      </x:c>
      <x:c r="C91" s="180" t="str">
        <x:v>Cedar &amp; Co. Retail</x:v>
      </x:c>
      <x:c r="D91" s="180" t="str">
        <x:v>Data cleanup</x:v>
      </x:c>
      <x:c r="E91" s="181" t="n">
        <x:v>46047</x:v>
      </x:c>
      <x:c r="F91" s="181" t="n">
        <x:v>46077</x:v>
      </x:c>
      <x:c r="G91" s="182" t="n">
        <x:v>2560.22</x:v>
      </x:c>
      <x:c r="H91" s="183" t="n">
        <x:v>0</x:v>
      </x:c>
      <x:c r="I91" s="182" t="n">
        <x:v>0</x:v>
      </x:c>
      <x:c r="J91" s="182" t="n">
        <x:v>2560.22</x:v>
      </x:c>
      <x:c r="K91" s="182" t="str">
        <x:v>Nora Patel</x:v>
      </x:c>
      <x:c r="L91" s="182" t="str">
        <x:v>nora@cedar.example</x:v>
      </x:c>
      <x:c r="M91" s="184" t="n">
        <x:f>ROUND(SUMIF('Payment Log'!$B$5:$B$173,A91,'Payment Log'!$D$5:$D$173),2)</x:f>
        <x:v>2560.22</x:v>
      </x:c>
      <x:c r="N91" s="184" t="n">
        <x:f>ROUND(MAX(0,J91-M91),2)</x:f>
        <x:v>0</x:v>
      </x:c>
      <x:c r="O91" s="185" t="n">
        <x:f>IF(N91=0,0,MAX(0,'Checks'!$B$3-F91))</x:f>
        <x:v>0</x:v>
      </x:c>
      <x:c r="P91" s="186" t="str">
        <x:f>IF(N91=0,"Paid",IF(O91&gt;0,IF(M91&gt;0,"Partially Paid - Overdue","Overdue"),IF(M91&gt;0,"Partially Paid","Open")))</x:f>
        <x:v>Paid</x:v>
      </x:c>
      <x:c r="Q91" s="187" t="str">
        <x:f>IF(N91=0,"Paid",IF(O91=0,"Current",IF(O91&lt;=30,"1-30 days",IF(O91&lt;=60,"31-60 days",IF(O91&lt;=90,"61-90 days","90+ days")))))</x:f>
        <x:v>Paid</x:v>
      </x:c>
    </x:row>
    <x:row r="92">
      <x:c r="A92" s="179" t="str">
        <x:v>INV-0088</x:v>
      </x:c>
      <x:c r="B92" s="180" t="str">
        <x:v>C004</x:v>
      </x:c>
      <x:c r="C92" s="180" t="str">
        <x:v>Harbor Legal Partners</x:v>
      </x:c>
      <x:c r="D92" s="180" t="str">
        <x:v>Automation setup</x:v>
      </x:c>
      <x:c r="E92" s="181" t="n">
        <x:v>46049</x:v>
      </x:c>
      <x:c r="F92" s="181" t="n">
        <x:v>46079</x:v>
      </x:c>
      <x:c r="G92" s="182" t="n">
        <x:v>1119.84</x:v>
      </x:c>
      <x:c r="H92" s="183" t="n">
        <x:v>0</x:v>
      </x:c>
      <x:c r="I92" s="182" t="n">
        <x:v>0</x:v>
      </x:c>
      <x:c r="J92" s="182" t="n">
        <x:v>1119.84</x:v>
      </x:c>
      <x:c r="K92" s="182" t="str">
        <x:v>Owen Brooks</x:v>
      </x:c>
      <x:c r="L92" s="182" t="str">
        <x:v>owen@harbor.example</x:v>
      </x:c>
      <x:c r="M92" s="184" t="n">
        <x:f>ROUND(SUMIF('Payment Log'!$B$5:$B$173,A92,'Payment Log'!$D$5:$D$173),2)</x:f>
        <x:v>1119.84</x:v>
      </x:c>
      <x:c r="N92" s="184" t="n">
        <x:f>ROUND(MAX(0,J92-M92),2)</x:f>
        <x:v>0</x:v>
      </x:c>
      <x:c r="O92" s="185" t="n">
        <x:f>IF(N92=0,0,MAX(0,'Checks'!$B$3-F92))</x:f>
        <x:v>0</x:v>
      </x:c>
      <x:c r="P92" s="186" t="str">
        <x:f>IF(N92=0,"Paid",IF(O92&gt;0,IF(M92&gt;0,"Partially Paid - Overdue","Overdue"),IF(M92&gt;0,"Partially Paid","Open")))</x:f>
        <x:v>Paid</x:v>
      </x:c>
      <x:c r="Q92" s="187" t="str">
        <x:f>IF(N92=0,"Paid",IF(O92=0,"Current",IF(O92&lt;=30,"1-30 days",IF(O92&lt;=60,"31-60 days",IF(O92&lt;=90,"61-90 days","90+ days")))))</x:f>
        <x:v>Paid</x:v>
      </x:c>
    </x:row>
    <x:row r="93">
      <x:c r="A93" s="179" t="str">
        <x:v>INV-0089</x:v>
      </x:c>
      <x:c r="B93" s="180" t="str">
        <x:v>C005</x:v>
      </x:c>
      <x:c r="C93" s="180" t="str">
        <x:v>Atlas Property Group</x:v>
      </x:c>
      <x:c r="D93" s="180" t="str">
        <x:v>KPI analysis</x:v>
      </x:c>
      <x:c r="E93" s="181" t="n">
        <x:v>46051</x:v>
      </x:c>
      <x:c r="F93" s="181" t="n">
        <x:v>46072</x:v>
      </x:c>
      <x:c r="G93" s="182" t="n">
        <x:v>921.62</x:v>
      </x:c>
      <x:c r="H93" s="183" t="n">
        <x:v>0</x:v>
      </x:c>
      <x:c r="I93" s="182" t="n">
        <x:v>0</x:v>
      </x:c>
      <x:c r="J93" s="182" t="n">
        <x:v>921.62</x:v>
      </x:c>
      <x:c r="K93" s="182" t="str">
        <x:v>Sara Lin</x:v>
      </x:c>
      <x:c r="L93" s="182" t="str">
        <x:v>sara@atlas.example</x:v>
      </x:c>
      <x:c r="M93" s="184" t="n">
        <x:f>ROUND(SUMIF('Payment Log'!$B$5:$B$173,A93,'Payment Log'!$D$5:$D$173),2)</x:f>
        <x:v>921.62</x:v>
      </x:c>
      <x:c r="N93" s="184" t="n">
        <x:f>ROUND(MAX(0,J93-M93),2)</x:f>
        <x:v>0</x:v>
      </x:c>
      <x:c r="O93" s="185" t="n">
        <x:f>IF(N93=0,0,MAX(0,'Checks'!$B$3-F93))</x:f>
        <x:v>0</x:v>
      </x:c>
      <x:c r="P93" s="186" t="str">
        <x:f>IF(N93=0,"Paid",IF(O93&gt;0,IF(M93&gt;0,"Partially Paid - Overdue","Overdue"),IF(M93&gt;0,"Partially Paid","Open")))</x:f>
        <x:v>Paid</x:v>
      </x:c>
      <x:c r="Q93" s="187" t="str">
        <x:f>IF(N93=0,"Paid",IF(O93=0,"Current",IF(O93&lt;=30,"1-30 days",IF(O93&lt;=60,"31-60 days",IF(O93&lt;=90,"61-90 days","90+ days")))))</x:f>
        <x:v>Paid</x:v>
      </x:c>
    </x:row>
    <x:row r="94">
      <x:c r="A94" s="179" t="str">
        <x:v>INV-0090</x:v>
      </x:c>
      <x:c r="B94" s="180" t="str">
        <x:v>C006</x:v>
      </x:c>
      <x:c r="C94" s="180" t="str">
        <x:v>BrightPath Learning</x:v>
      </x:c>
      <x:c r="D94" s="180" t="str">
        <x:v>Advisory retainer</x:v>
      </x:c>
      <x:c r="E94" s="181" t="n">
        <x:v>46053</x:v>
      </x:c>
      <x:c r="F94" s="181" t="n">
        <x:v>46068</x:v>
      </x:c>
      <x:c r="G94" s="182" t="n">
        <x:v>2037.98</x:v>
      </x:c>
      <x:c r="H94" s="183" t="n">
        <x:v>0</x:v>
      </x:c>
      <x:c r="I94" s="182" t="n">
        <x:v>0</x:v>
      </x:c>
      <x:c r="J94" s="182" t="n">
        <x:v>2037.98</x:v>
      </x:c>
      <x:c r="K94" s="182" t="str">
        <x:v>Lina Costa</x:v>
      </x:c>
      <x:c r="L94" s="182" t="str">
        <x:v>lina@brightpath.example</x:v>
      </x:c>
      <x:c r="M94" s="184" t="n">
        <x:f>ROUND(SUMIF('Payment Log'!$B$5:$B$173,A94,'Payment Log'!$D$5:$D$173),2)</x:f>
        <x:v>0</x:v>
      </x:c>
      <x:c r="N94" s="184" t="n">
        <x:f>ROUND(MAX(0,J94-M94),2)</x:f>
        <x:v>2037.98</x:v>
      </x:c>
      <x:c r="O94" s="185" t="n">
        <x:f>IF(N94=0,0,MAX(0,'Checks'!$B$3-F94))</x:f>
        <x:v>174</x:v>
      </x:c>
      <x:c r="P94" s="186" t="str">
        <x:f>IF(N94=0,"Paid",IF(O94&gt;0,IF(M94&gt;0,"Partially Paid - Overdue","Overdue"),IF(M94&gt;0,"Partially Paid","Open")))</x:f>
        <x:v>Overdue</x:v>
      </x:c>
      <x:c r="Q94" s="187" t="str">
        <x:f>IF(N94=0,"Paid",IF(O94=0,"Current",IF(O94&lt;=30,"1-30 days",IF(O94&lt;=60,"31-60 days",IF(O94&lt;=90,"61-90 days","90+ days")))))</x:f>
        <x:v>90+ days</x:v>
      </x:c>
    </x:row>
    <x:row r="95">
      <x:c r="A95" s="179" t="str">
        <x:v>INV-0091</x:v>
      </x:c>
      <x:c r="B95" s="180" t="str">
        <x:v>C007</x:v>
      </x:c>
      <x:c r="C95" s="180" t="str">
        <x:v>PeakFit Clubs</x:v>
      </x:c>
      <x:c r="D95" s="180" t="str">
        <x:v>Dashboard build</x:v>
      </x:c>
      <x:c r="E95" s="181" t="n">
        <x:v>46055</x:v>
      </x:c>
      <x:c r="F95" s="181" t="n">
        <x:v>46085</x:v>
      </x:c>
      <x:c r="G95" s="182" t="n">
        <x:v>1096.66</x:v>
      </x:c>
      <x:c r="H95" s="183" t="n">
        <x:v>0.1</x:v>
      </x:c>
      <x:c r="I95" s="182" t="n">
        <x:v>109.67</x:v>
      </x:c>
      <x:c r="J95" s="182" t="n">
        <x:v>1206.33</x:v>
      </x:c>
      <x:c r="K95" s="182" t="str">
        <x:v>Noah Reed</x:v>
      </x:c>
      <x:c r="L95" s="182" t="str">
        <x:v>noah@peakfit.example</x:v>
      </x:c>
      <x:c r="M95" s="184" t="n">
        <x:f>ROUND(SUMIF('Payment Log'!$B$5:$B$173,A95,'Payment Log'!$D$5:$D$173),2)</x:f>
        <x:v>424.33</x:v>
      </x:c>
      <x:c r="N95" s="184" t="n">
        <x:f>ROUND(MAX(0,J95-M95),2)</x:f>
        <x:v>782</x:v>
      </x:c>
      <x:c r="O95" s="185" t="n">
        <x:f>IF(N95=0,0,MAX(0,'Checks'!$B$3-F95))</x:f>
        <x:v>157</x:v>
      </x:c>
      <x:c r="P95" s="186" t="str">
        <x:f>IF(N95=0,"Paid",IF(O95&gt;0,IF(M95&gt;0,"Partially Paid - Overdue","Overdue"),IF(M95&gt;0,"Partially Paid","Open")))</x:f>
        <x:v>Partially Paid - Overdue</x:v>
      </x:c>
      <x:c r="Q95" s="187" t="str">
        <x:f>IF(N95=0,"Paid",IF(O95=0,"Current",IF(O95&lt;=30,"1-30 days",IF(O95&lt;=60,"31-60 days",IF(O95&lt;=90,"61-90 days","90+ days")))))</x:f>
        <x:v>90+ days</x:v>
      </x:c>
    </x:row>
    <x:row r="96">
      <x:c r="A96" s="179" t="str">
        <x:v>INV-0092</x:v>
      </x:c>
      <x:c r="B96" s="180" t="str">
        <x:v>C008</x:v>
      </x:c>
      <x:c r="C96" s="180" t="str">
        <x:v>GreenFork Catering</x:v>
      </x:c>
      <x:c r="D96" s="180" t="str">
        <x:v>Monthly reporting</x:v>
      </x:c>
      <x:c r="E96" s="181" t="n">
        <x:v>46057</x:v>
      </x:c>
      <x:c r="F96" s="181" t="n">
        <x:v>46071</x:v>
      </x:c>
      <x:c r="G96" s="182" t="n">
        <x:v>456.57</x:v>
      </x:c>
      <x:c r="H96" s="183" t="n">
        <x:v>0</x:v>
      </x:c>
      <x:c r="I96" s="182" t="n">
        <x:v>0</x:v>
      </x:c>
      <x:c r="J96" s="182" t="n">
        <x:v>456.57</x:v>
      </x:c>
      <x:c r="K96" s="182" t="str">
        <x:v>Ava Stone</x:v>
      </x:c>
      <x:c r="L96" s="182" t="str">
        <x:v>ava@greenfork.example</x:v>
      </x:c>
      <x:c r="M96" s="184" t="n">
        <x:f>ROUND(SUMIF('Payment Log'!$B$5:$B$173,A96,'Payment Log'!$D$5:$D$173),2)</x:f>
        <x:v>456.57</x:v>
      </x:c>
      <x:c r="N96" s="184" t="n">
        <x:f>ROUND(MAX(0,J96-M96),2)</x:f>
        <x:v>0</x:v>
      </x:c>
      <x:c r="O96" s="185" t="n">
        <x:f>IF(N96=0,0,MAX(0,'Checks'!$B$3-F96))</x:f>
        <x:v>0</x:v>
      </x:c>
      <x:c r="P96" s="186" t="str">
        <x:f>IF(N96=0,"Paid",IF(O96&gt;0,IF(M96&gt;0,"Partially Paid - Overdue","Overdue"),IF(M96&gt;0,"Partially Paid","Open")))</x:f>
        <x:v>Paid</x:v>
      </x:c>
      <x:c r="Q96" s="187" t="str">
        <x:f>IF(N96=0,"Paid",IF(O96=0,"Current",IF(O96&lt;=30,"1-30 days",IF(O96&lt;=60,"31-60 days",IF(O96&lt;=90,"61-90 days","90+ days")))))</x:f>
        <x:v>Paid</x:v>
      </x:c>
    </x:row>
    <x:row r="97">
      <x:c r="A97" s="179" t="str">
        <x:v>INV-0093</x:v>
      </x:c>
      <x:c r="B97" s="180" t="str">
        <x:v>C009</x:v>
      </x:c>
      <x:c r="C97" s="180" t="str">
        <x:v>Orbit SaaS Labs</x:v>
      </x:c>
      <x:c r="D97" s="180" t="str">
        <x:v>Data cleanup</x:v>
      </x:c>
      <x:c r="E97" s="181" t="n">
        <x:v>46059</x:v>
      </x:c>
      <x:c r="F97" s="181" t="n">
        <x:v>46089</x:v>
      </x:c>
      <x:c r="G97" s="182" t="n">
        <x:v>1854.7</x:v>
      </x:c>
      <x:c r="H97" s="183" t="n">
        <x:v>0</x:v>
      </x:c>
      <x:c r="I97" s="182" t="n">
        <x:v>0</x:v>
      </x:c>
      <x:c r="J97" s="182" t="n">
        <x:v>1854.7</x:v>
      </x:c>
      <x:c r="K97" s="182" t="str">
        <x:v>Leo Martin</x:v>
      </x:c>
      <x:c r="L97" s="182" t="str">
        <x:v>leo@orbit.example</x:v>
      </x:c>
      <x:c r="M97" s="184" t="n">
        <x:f>ROUND(SUMIF('Payment Log'!$B$5:$B$173,A97,'Payment Log'!$D$5:$D$173),2)</x:f>
        <x:v>1854.7</x:v>
      </x:c>
      <x:c r="N97" s="184" t="n">
        <x:f>ROUND(MAX(0,J97-M97),2)</x:f>
        <x:v>0</x:v>
      </x:c>
      <x:c r="O97" s="185" t="n">
        <x:f>IF(N97=0,0,MAX(0,'Checks'!$B$3-F97))</x:f>
        <x:v>0</x:v>
      </x:c>
      <x:c r="P97" s="186" t="str">
        <x:f>IF(N97=0,"Paid",IF(O97&gt;0,IF(M97&gt;0,"Partially Paid - Overdue","Overdue"),IF(M97&gt;0,"Partially Paid","Open")))</x:f>
        <x:v>Paid</x:v>
      </x:c>
      <x:c r="Q97" s="187" t="str">
        <x:f>IF(N97=0,"Paid",IF(O97=0,"Current",IF(O97&lt;=30,"1-30 days",IF(O97&lt;=60,"31-60 days",IF(O97&lt;=90,"61-90 days","90+ days")))))</x:f>
        <x:v>Paid</x:v>
      </x:c>
    </x:row>
    <x:row r="98">
      <x:c r="A98" s="179" t="str">
        <x:v>INV-0094</x:v>
      </x:c>
      <x:c r="B98" s="180" t="str">
        <x:v>C010</x:v>
      </x:c>
      <x:c r="C98" s="180" t="str">
        <x:v>Willow Events</x:v>
      </x:c>
      <x:c r="D98" s="180" t="str">
        <x:v>Automation setup</x:v>
      </x:c>
      <x:c r="E98" s="181" t="n">
        <x:v>46061</x:v>
      </x:c>
      <x:c r="F98" s="181" t="n">
        <x:v>46076</x:v>
      </x:c>
      <x:c r="G98" s="182" t="n">
        <x:v>1539.47</x:v>
      </x:c>
      <x:c r="H98" s="183" t="n">
        <x:v>0</x:v>
      </x:c>
      <x:c r="I98" s="182" t="n">
        <x:v>0</x:v>
      </x:c>
      <x:c r="J98" s="182" t="n">
        <x:v>1539.47</x:v>
      </x:c>
      <x:c r="K98" s="182" t="str">
        <x:v>Emma Hayes</x:v>
      </x:c>
      <x:c r="L98" s="182" t="str">
        <x:v>emma@willow.example</x:v>
      </x:c>
      <x:c r="M98" s="184" t="n">
        <x:f>ROUND(SUMIF('Payment Log'!$B$5:$B$173,A98,'Payment Log'!$D$5:$D$173),2)</x:f>
        <x:v>1539.47</x:v>
      </x:c>
      <x:c r="N98" s="184" t="n">
        <x:f>ROUND(MAX(0,J98-M98),2)</x:f>
        <x:v>0</x:v>
      </x:c>
      <x:c r="O98" s="185" t="n">
        <x:f>IF(N98=0,0,MAX(0,'Checks'!$B$3-F98))</x:f>
        <x:v>0</x:v>
      </x:c>
      <x:c r="P98" s="186" t="str">
        <x:f>IF(N98=0,"Paid",IF(O98&gt;0,IF(M98&gt;0,"Partially Paid - Overdue","Overdue"),IF(M98&gt;0,"Partially Paid","Open")))</x:f>
        <x:v>Paid</x:v>
      </x:c>
      <x:c r="Q98" s="187" t="str">
        <x:f>IF(N98=0,"Paid",IF(O98=0,"Current",IF(O98&lt;=30,"1-30 days",IF(O98&lt;=60,"31-60 days",IF(O98&lt;=90,"61-90 days","90+ days")))))</x:f>
        <x:v>Paid</x:v>
      </x:c>
    </x:row>
    <x:row r="99">
      <x:c r="A99" s="179" t="str">
        <x:v>INV-0095</x:v>
      </x:c>
      <x:c r="B99" s="180" t="str">
        <x:v>C011</x:v>
      </x:c>
      <x:c r="C99" s="180" t="str">
        <x:v>Copperline Consulting</x:v>
      </x:c>
      <x:c r="D99" s="180" t="str">
        <x:v>KPI analysis</x:v>
      </x:c>
      <x:c r="E99" s="181" t="n">
        <x:v>46063</x:v>
      </x:c>
      <x:c r="F99" s="181" t="n">
        <x:v>46093</x:v>
      </x:c>
      <x:c r="G99" s="182" t="n">
        <x:v>1992.65</x:v>
      </x:c>
      <x:c r="H99" s="183" t="n">
        <x:v>0</x:v>
      </x:c>
      <x:c r="I99" s="182" t="n">
        <x:v>0</x:v>
      </x:c>
      <x:c r="J99" s="182" t="n">
        <x:v>1992.65</x:v>
      </x:c>
      <x:c r="K99" s="182" t="str">
        <x:v>Iris Young</x:v>
      </x:c>
      <x:c r="L99" s="182" t="str">
        <x:v>iris@copperline.example</x:v>
      </x:c>
      <x:c r="M99" s="184" t="n">
        <x:f>ROUND(SUMIF('Payment Log'!$B$5:$B$173,A99,'Payment Log'!$D$5:$D$173),2)</x:f>
        <x:v>1992.65</x:v>
      </x:c>
      <x:c r="N99" s="184" t="n">
        <x:f>ROUND(MAX(0,J99-M99),2)</x:f>
        <x:v>0</x:v>
      </x:c>
      <x:c r="O99" s="185" t="n">
        <x:f>IF(N99=0,0,MAX(0,'Checks'!$B$3-F99))</x:f>
        <x:v>0</x:v>
      </x:c>
      <x:c r="P99" s="186" t="str">
        <x:f>IF(N99=0,"Paid",IF(O99&gt;0,IF(M99&gt;0,"Partially Paid - Overdue","Overdue"),IF(M99&gt;0,"Partially Paid","Open")))</x:f>
        <x:v>Paid</x:v>
      </x:c>
      <x:c r="Q99" s="187" t="str">
        <x:f>IF(N99=0,"Paid",IF(O99=0,"Current",IF(O99&lt;=30,"1-30 days",IF(O99&lt;=60,"31-60 days",IF(O99&lt;=90,"61-90 days","90+ days")))))</x:f>
        <x:v>Paid</x:v>
      </x:c>
    </x:row>
    <x:row r="100">
      <x:c r="A100" s="179" t="str">
        <x:v>INV-0096</x:v>
      </x:c>
      <x:c r="B100" s="180" t="str">
        <x:v>C012</x:v>
      </x:c>
      <x:c r="C100" s="180" t="str">
        <x:v>Bluebird Media</x:v>
      </x:c>
      <x:c r="D100" s="180" t="str">
        <x:v>Advisory retainer</x:v>
      </x:c>
      <x:c r="E100" s="181" t="n">
        <x:v>46065</x:v>
      </x:c>
      <x:c r="F100" s="181" t="n">
        <x:v>46086</x:v>
      </x:c>
      <x:c r="G100" s="182" t="n">
        <x:v>574.18</x:v>
      </x:c>
      <x:c r="H100" s="183" t="n">
        <x:v>0.1</x:v>
      </x:c>
      <x:c r="I100" s="182" t="n">
        <x:v>57.42</x:v>
      </x:c>
      <x:c r="J100" s="182" t="n">
        <x:v>631.6</x:v>
      </x:c>
      <x:c r="K100" s="182" t="str">
        <x:v>Theo King</x:v>
      </x:c>
      <x:c r="L100" s="182" t="str">
        <x:v>theo@bluebird.example</x:v>
      </x:c>
      <x:c r="M100" s="184" t="n">
        <x:f>ROUND(SUMIF('Payment Log'!$B$5:$B$173,A100,'Payment Log'!$D$5:$D$173),2)</x:f>
        <x:v>631.6</x:v>
      </x:c>
      <x:c r="N100" s="184" t="n">
        <x:f>ROUND(MAX(0,J100-M100),2)</x:f>
        <x:v>0</x:v>
      </x:c>
      <x:c r="O100" s="185" t="n">
        <x:f>IF(N100=0,0,MAX(0,'Checks'!$B$3-F100))</x:f>
        <x:v>0</x:v>
      </x:c>
      <x:c r="P100" s="186" t="str">
        <x:f>IF(N100=0,"Paid",IF(O100&gt;0,IF(M100&gt;0,"Partially Paid - Overdue","Overdue"),IF(M100&gt;0,"Partially Paid","Open")))</x:f>
        <x:v>Paid</x:v>
      </x:c>
      <x:c r="Q100" s="187" t="str">
        <x:f>IF(N100=0,"Paid",IF(O100=0,"Current",IF(O100&lt;=30,"1-30 days",IF(O100&lt;=60,"31-60 days",IF(O100&lt;=90,"61-90 days","90+ days")))))</x:f>
        <x:v>Paid</x:v>
      </x:c>
    </x:row>
    <x:row r="101">
      <x:c r="A101" s="179" t="str">
        <x:v>INV-0097</x:v>
      </x:c>
      <x:c r="B101" s="180" t="str">
        <x:v>C001</x:v>
      </x:c>
      <x:c r="C101" s="180" t="str">
        <x:v>Northstar Creative</x:v>
      </x:c>
      <x:c r="D101" s="180" t="str">
        <x:v>Dashboard build</x:v>
      </x:c>
      <x:c r="E101" s="181" t="n">
        <x:v>46067</x:v>
      </x:c>
      <x:c r="F101" s="181" t="n">
        <x:v>46097</x:v>
      </x:c>
      <x:c r="G101" s="182" t="n">
        <x:v>2505.13</x:v>
      </x:c>
      <x:c r="H101" s="183" t="n">
        <x:v>0</x:v>
      </x:c>
      <x:c r="I101" s="182" t="n">
        <x:v>0</x:v>
      </x:c>
      <x:c r="J101" s="182" t="n">
        <x:v>2505.13</x:v>
      </x:c>
      <x:c r="K101" s="182" t="str">
        <x:v>Maya Chen</x:v>
      </x:c>
      <x:c r="L101" s="182" t="str">
        <x:v>maya@northstar.example</x:v>
      </x:c>
      <x:c r="M101" s="184" t="n">
        <x:f>ROUND(SUMIF('Payment Log'!$B$5:$B$173,A101,'Payment Log'!$D$5:$D$173),2)</x:f>
        <x:v>2505.13</x:v>
      </x:c>
      <x:c r="N101" s="184" t="n">
        <x:f>ROUND(MAX(0,J101-M101),2)</x:f>
        <x:v>0</x:v>
      </x:c>
      <x:c r="O101" s="185" t="n">
        <x:f>IF(N101=0,0,MAX(0,'Checks'!$B$3-F101))</x:f>
        <x:v>0</x:v>
      </x:c>
      <x:c r="P101" s="186" t="str">
        <x:f>IF(N101=0,"Paid",IF(O101&gt;0,IF(M101&gt;0,"Partially Paid - Overdue","Overdue"),IF(M101&gt;0,"Partially Paid","Open")))</x:f>
        <x:v>Paid</x:v>
      </x:c>
      <x:c r="Q101" s="187" t="str">
        <x:f>IF(N101=0,"Paid",IF(O101=0,"Current",IF(O101&lt;=30,"1-30 days",IF(O101&lt;=60,"31-60 days",IF(O101&lt;=90,"61-90 days","90+ days")))))</x:f>
        <x:v>Paid</x:v>
      </x:c>
    </x:row>
    <x:row r="102">
      <x:c r="A102" s="179" t="str">
        <x:v>INV-0098</x:v>
      </x:c>
      <x:c r="B102" s="180" t="str">
        <x:v>C002</x:v>
      </x:c>
      <x:c r="C102" s="180" t="str">
        <x:v>Lumen Health Studio</x:v>
      </x:c>
      <x:c r="D102" s="180" t="str">
        <x:v>Monthly reporting</x:v>
      </x:c>
      <x:c r="E102" s="181" t="n">
        <x:v>46069</x:v>
      </x:c>
      <x:c r="F102" s="181" t="n">
        <x:v>46084</x:v>
      </x:c>
      <x:c r="G102" s="182" t="n">
        <x:v>575.37</x:v>
      </x:c>
      <x:c r="H102" s="183" t="n">
        <x:v>0</x:v>
      </x:c>
      <x:c r="I102" s="182" t="n">
        <x:v>0</x:v>
      </x:c>
      <x:c r="J102" s="182" t="n">
        <x:v>575.37</x:v>
      </x:c>
      <x:c r="K102" s="182" t="str">
        <x:v>Elias Ward</x:v>
      </x:c>
      <x:c r="L102" s="182" t="str">
        <x:v>elias@lumen.example</x:v>
      </x:c>
      <x:c r="M102" s="184" t="n">
        <x:f>ROUND(SUMIF('Payment Log'!$B$5:$B$173,A102,'Payment Log'!$D$5:$D$173),2)</x:f>
        <x:v>575.37</x:v>
      </x:c>
      <x:c r="N102" s="184" t="n">
        <x:f>ROUND(MAX(0,J102-M102),2)</x:f>
        <x:v>0</x:v>
      </x:c>
      <x:c r="O102" s="185" t="n">
        <x:f>IF(N102=0,0,MAX(0,'Checks'!$B$3-F102))</x:f>
        <x:v>0</x:v>
      </x:c>
      <x:c r="P102" s="186" t="str">
        <x:f>IF(N102=0,"Paid",IF(O102&gt;0,IF(M102&gt;0,"Partially Paid - Overdue","Overdue"),IF(M102&gt;0,"Partially Paid","Open")))</x:f>
        <x:v>Paid</x:v>
      </x:c>
      <x:c r="Q102" s="187" t="str">
        <x:f>IF(N102=0,"Paid",IF(O102=0,"Current",IF(O102&lt;=30,"1-30 days",IF(O102&lt;=60,"31-60 days",IF(O102&lt;=90,"61-90 days","90+ days")))))</x:f>
        <x:v>Paid</x:v>
      </x:c>
    </x:row>
    <x:row r="103">
      <x:c r="A103" s="179" t="str">
        <x:v>INV-0099</x:v>
      </x:c>
      <x:c r="B103" s="180" t="str">
        <x:v>C003</x:v>
      </x:c>
      <x:c r="C103" s="180" t="str">
        <x:v>Cedar &amp; Co. Retail</x:v>
      </x:c>
      <x:c r="D103" s="180" t="str">
        <x:v>Data cleanup</x:v>
      </x:c>
      <x:c r="E103" s="181" t="n">
        <x:v>46071</x:v>
      </x:c>
      <x:c r="F103" s="181" t="n">
        <x:v>46101</x:v>
      </x:c>
      <x:c r="G103" s="182" t="n">
        <x:v>1663.76</x:v>
      </x:c>
      <x:c r="H103" s="183" t="n">
        <x:v>0</x:v>
      </x:c>
      <x:c r="I103" s="182" t="n">
        <x:v>0</x:v>
      </x:c>
      <x:c r="J103" s="182" t="n">
        <x:v>1663.76</x:v>
      </x:c>
      <x:c r="K103" s="182" t="str">
        <x:v>Nora Patel</x:v>
      </x:c>
      <x:c r="L103" s="182" t="str">
        <x:v>nora@cedar.example</x:v>
      </x:c>
      <x:c r="M103" s="184" t="n">
        <x:f>ROUND(SUMIF('Payment Log'!$B$5:$B$173,A103,'Payment Log'!$D$5:$D$173),2)</x:f>
        <x:v>1663.76</x:v>
      </x:c>
      <x:c r="N103" s="184" t="n">
        <x:f>ROUND(MAX(0,J103-M103),2)</x:f>
        <x:v>0</x:v>
      </x:c>
      <x:c r="O103" s="185" t="n">
        <x:f>IF(N103=0,0,MAX(0,'Checks'!$B$3-F103))</x:f>
        <x:v>0</x:v>
      </x:c>
      <x:c r="P103" s="186" t="str">
        <x:f>IF(N103=0,"Paid",IF(O103&gt;0,IF(M103&gt;0,"Partially Paid - Overdue","Overdue"),IF(M103&gt;0,"Partially Paid","Open")))</x:f>
        <x:v>Paid</x:v>
      </x:c>
      <x:c r="Q103" s="187" t="str">
        <x:f>IF(N103=0,"Paid",IF(O103=0,"Current",IF(O103&lt;=30,"1-30 days",IF(O103&lt;=60,"31-60 days",IF(O103&lt;=90,"61-90 days","90+ days")))))</x:f>
        <x:v>Paid</x:v>
      </x:c>
    </x:row>
    <x:row r="104">
      <x:c r="A104" s="179" t="str">
        <x:v>INV-0100</x:v>
      </x:c>
      <x:c r="B104" s="180" t="str">
        <x:v>C004</x:v>
      </x:c>
      <x:c r="C104" s="180" t="str">
        <x:v>Harbor Legal Partners</x:v>
      </x:c>
      <x:c r="D104" s="180" t="str">
        <x:v>Automation setup</x:v>
      </x:c>
      <x:c r="E104" s="181" t="n">
        <x:v>46073</x:v>
      </x:c>
      <x:c r="F104" s="181" t="n">
        <x:v>46103</x:v>
      </x:c>
      <x:c r="G104" s="182" t="n">
        <x:v>1833.09</x:v>
      </x:c>
      <x:c r="H104" s="183" t="n">
        <x:v>0</x:v>
      </x:c>
      <x:c r="I104" s="182" t="n">
        <x:v>0</x:v>
      </x:c>
      <x:c r="J104" s="182" t="n">
        <x:v>1833.09</x:v>
      </x:c>
      <x:c r="K104" s="182" t="str">
        <x:v>Owen Brooks</x:v>
      </x:c>
      <x:c r="L104" s="182" t="str">
        <x:v>owen@harbor.example</x:v>
      </x:c>
      <x:c r="M104" s="184" t="n">
        <x:f>ROUND(SUMIF('Payment Log'!$B$5:$B$173,A104,'Payment Log'!$D$5:$D$173),2)</x:f>
        <x:v>1833.09</x:v>
      </x:c>
      <x:c r="N104" s="184" t="n">
        <x:f>ROUND(MAX(0,J104-M104),2)</x:f>
        <x:v>0</x:v>
      </x:c>
      <x:c r="O104" s="185" t="n">
        <x:f>IF(N104=0,0,MAX(0,'Checks'!$B$3-F104))</x:f>
        <x:v>0</x:v>
      </x:c>
      <x:c r="P104" s="186" t="str">
        <x:f>IF(N104=0,"Paid",IF(O104&gt;0,IF(M104&gt;0,"Partially Paid - Overdue","Overdue"),IF(M104&gt;0,"Partially Paid","Open")))</x:f>
        <x:v>Paid</x:v>
      </x:c>
      <x:c r="Q104" s="187" t="str">
        <x:f>IF(N104=0,"Paid",IF(O104=0,"Current",IF(O104&lt;=30,"1-30 days",IF(O104&lt;=60,"31-60 days",IF(O104&lt;=90,"61-90 days","90+ days")))))</x:f>
        <x:v>Paid</x:v>
      </x:c>
    </x:row>
    <x:row r="105">
      <x:c r="A105" s="179" t="str">
        <x:v>INV-0101</x:v>
      </x:c>
      <x:c r="B105" s="180" t="str">
        <x:v>C005</x:v>
      </x:c>
      <x:c r="C105" s="180" t="str">
        <x:v>Atlas Property Group</x:v>
      </x:c>
      <x:c r="D105" s="180" t="str">
        <x:v>KPI analysis</x:v>
      </x:c>
      <x:c r="E105" s="181" t="n">
        <x:v>46075</x:v>
      </x:c>
      <x:c r="F105" s="181" t="n">
        <x:v>46096</x:v>
      </x:c>
      <x:c r="G105" s="182" t="n">
        <x:v>1642</x:v>
      </x:c>
      <x:c r="H105" s="183" t="n">
        <x:v>0.1</x:v>
      </x:c>
      <x:c r="I105" s="182" t="n">
        <x:v>164.2</x:v>
      </x:c>
      <x:c r="J105" s="182" t="n">
        <x:v>1806.2</x:v>
      </x:c>
      <x:c r="K105" s="182" t="str">
        <x:v>Sara Lin</x:v>
      </x:c>
      <x:c r="L105" s="182" t="str">
        <x:v>sara@atlas.example</x:v>
      </x:c>
      <x:c r="M105" s="184" t="n">
        <x:f>ROUND(SUMIF('Payment Log'!$B$5:$B$173,A105,'Payment Log'!$D$5:$D$173),2)</x:f>
        <x:v>0</x:v>
      </x:c>
      <x:c r="N105" s="184" t="n">
        <x:f>ROUND(MAX(0,J105-M105),2)</x:f>
        <x:v>1806.2</x:v>
      </x:c>
      <x:c r="O105" s="185" t="n">
        <x:f>IF(N105=0,0,MAX(0,'Checks'!$B$3-F105))</x:f>
        <x:v>146</x:v>
      </x:c>
      <x:c r="P105" s="186" t="str">
        <x:f>IF(N105=0,"Paid",IF(O105&gt;0,IF(M105&gt;0,"Partially Paid - Overdue","Overdue"),IF(M105&gt;0,"Partially Paid","Open")))</x:f>
        <x:v>Overdue</x:v>
      </x:c>
      <x:c r="Q105" s="187" t="str">
        <x:f>IF(N105=0,"Paid",IF(O105=0,"Current",IF(O105&lt;=30,"1-30 days",IF(O105&lt;=60,"31-60 days",IF(O105&lt;=90,"61-90 days","90+ days")))))</x:f>
        <x:v>90+ days</x:v>
      </x:c>
    </x:row>
    <x:row r="106">
      <x:c r="A106" s="179" t="str">
        <x:v>INV-0102</x:v>
      </x:c>
      <x:c r="B106" s="180" t="str">
        <x:v>C006</x:v>
      </x:c>
      <x:c r="C106" s="180" t="str">
        <x:v>BrightPath Learning</x:v>
      </x:c>
      <x:c r="D106" s="180" t="str">
        <x:v>Advisory retainer</x:v>
      </x:c>
      <x:c r="E106" s="181" t="n">
        <x:v>46077</x:v>
      </x:c>
      <x:c r="F106" s="181" t="n">
        <x:v>46092</x:v>
      </x:c>
      <x:c r="G106" s="182" t="n">
        <x:v>783.34</x:v>
      </x:c>
      <x:c r="H106" s="183" t="n">
        <x:v>0</x:v>
      </x:c>
      <x:c r="I106" s="182" t="n">
        <x:v>0</x:v>
      </x:c>
      <x:c r="J106" s="182" t="n">
        <x:v>783.34</x:v>
      </x:c>
      <x:c r="K106" s="182" t="str">
        <x:v>Lina Costa</x:v>
      </x:c>
      <x:c r="L106" s="182" t="str">
        <x:v>lina@brightpath.example</x:v>
      </x:c>
      <x:c r="M106" s="184" t="n">
        <x:f>ROUND(SUMIF('Payment Log'!$B$5:$B$173,A106,'Payment Log'!$D$5:$D$173),2)</x:f>
        <x:v>558.88</x:v>
      </x:c>
      <x:c r="N106" s="184" t="n">
        <x:f>ROUND(MAX(0,J106-M106),2)</x:f>
        <x:v>224.46</x:v>
      </x:c>
      <x:c r="O106" s="185" t="n">
        <x:f>IF(N106=0,0,MAX(0,'Checks'!$B$3-F106))</x:f>
        <x:v>150</x:v>
      </x:c>
      <x:c r="P106" s="186" t="str">
        <x:f>IF(N106=0,"Paid",IF(O106&gt;0,IF(M106&gt;0,"Partially Paid - Overdue","Overdue"),IF(M106&gt;0,"Partially Paid","Open")))</x:f>
        <x:v>Partially Paid - Overdue</x:v>
      </x:c>
      <x:c r="Q106" s="187" t="str">
        <x:f>IF(N106=0,"Paid",IF(O106=0,"Current",IF(O106&lt;=30,"1-30 days",IF(O106&lt;=60,"31-60 days",IF(O106&lt;=90,"61-90 days","90+ days")))))</x:f>
        <x:v>90+ days</x:v>
      </x:c>
    </x:row>
    <x:row r="107">
      <x:c r="A107" s="179" t="str">
        <x:v>INV-0103</x:v>
      </x:c>
      <x:c r="B107" s="180" t="str">
        <x:v>C007</x:v>
      </x:c>
      <x:c r="C107" s="180" t="str">
        <x:v>PeakFit Clubs</x:v>
      </x:c>
      <x:c r="D107" s="180" t="str">
        <x:v>Dashboard build</x:v>
      </x:c>
      <x:c r="E107" s="181" t="n">
        <x:v>46079</x:v>
      </x:c>
      <x:c r="F107" s="181" t="n">
        <x:v>46109</x:v>
      </x:c>
      <x:c r="G107" s="182" t="n">
        <x:v>918.21</x:v>
      </x:c>
      <x:c r="H107" s="183" t="n">
        <x:v>0</x:v>
      </x:c>
      <x:c r="I107" s="182" t="n">
        <x:v>0</x:v>
      </x:c>
      <x:c r="J107" s="182" t="n">
        <x:v>918.21</x:v>
      </x:c>
      <x:c r="K107" s="182" t="str">
        <x:v>Noah Reed</x:v>
      </x:c>
      <x:c r="L107" s="182" t="str">
        <x:v>noah@peakfit.example</x:v>
      </x:c>
      <x:c r="M107" s="184" t="n">
        <x:f>ROUND(SUMIF('Payment Log'!$B$5:$B$173,A107,'Payment Log'!$D$5:$D$173),2)</x:f>
        <x:v>0</x:v>
      </x:c>
      <x:c r="N107" s="184" t="n">
        <x:f>ROUND(MAX(0,J107-M107),2)</x:f>
        <x:v>918.21</x:v>
      </x:c>
      <x:c r="O107" s="185" t="n">
        <x:f>IF(N107=0,0,MAX(0,'Checks'!$B$3-F107))</x:f>
        <x:v>133</x:v>
      </x:c>
      <x:c r="P107" s="186" t="str">
        <x:f>IF(N107=0,"Paid",IF(O107&gt;0,IF(M107&gt;0,"Partially Paid - Overdue","Overdue"),IF(M107&gt;0,"Partially Paid","Open")))</x:f>
        <x:v>Overdue</x:v>
      </x:c>
      <x:c r="Q107" s="187" t="str">
        <x:f>IF(N107=0,"Paid",IF(O107=0,"Current",IF(O107&lt;=30,"1-30 days",IF(O107&lt;=60,"31-60 days",IF(O107&lt;=90,"61-90 days","90+ days")))))</x:f>
        <x:v>90+ days</x:v>
      </x:c>
    </x:row>
    <x:row r="108">
      <x:c r="A108" s="179" t="str">
        <x:v>INV-0104</x:v>
      </x:c>
      <x:c r="B108" s="180" t="str">
        <x:v>C008</x:v>
      </x:c>
      <x:c r="C108" s="180" t="str">
        <x:v>GreenFork Catering</x:v>
      </x:c>
      <x:c r="D108" s="180" t="str">
        <x:v>Monthly reporting</x:v>
      </x:c>
      <x:c r="E108" s="181" t="n">
        <x:v>46081</x:v>
      </x:c>
      <x:c r="F108" s="181" t="n">
        <x:v>46095</x:v>
      </x:c>
      <x:c r="G108" s="182" t="n">
        <x:v>2607.59</x:v>
      </x:c>
      <x:c r="H108" s="183" t="n">
        <x:v>0</x:v>
      </x:c>
      <x:c r="I108" s="182" t="n">
        <x:v>0</x:v>
      </x:c>
      <x:c r="J108" s="182" t="n">
        <x:v>2607.59</x:v>
      </x:c>
      <x:c r="K108" s="182" t="str">
        <x:v>Ava Stone</x:v>
      </x:c>
      <x:c r="L108" s="182" t="str">
        <x:v>ava@greenfork.example</x:v>
      </x:c>
      <x:c r="M108" s="184" t="n">
        <x:f>ROUND(SUMIF('Payment Log'!$B$5:$B$173,A108,'Payment Log'!$D$5:$D$173),2)</x:f>
        <x:v>2607.59</x:v>
      </x:c>
      <x:c r="N108" s="184" t="n">
        <x:f>ROUND(MAX(0,J108-M108),2)</x:f>
        <x:v>0</x:v>
      </x:c>
      <x:c r="O108" s="185" t="n">
        <x:f>IF(N108=0,0,MAX(0,'Checks'!$B$3-F108))</x:f>
        <x:v>0</x:v>
      </x:c>
      <x:c r="P108" s="186" t="str">
        <x:f>IF(N108=0,"Paid",IF(O108&gt;0,IF(M108&gt;0,"Partially Paid - Overdue","Overdue"),IF(M108&gt;0,"Partially Paid","Open")))</x:f>
        <x:v>Paid</x:v>
      </x:c>
      <x:c r="Q108" s="187" t="str">
        <x:f>IF(N108=0,"Paid",IF(O108=0,"Current",IF(O108&lt;=30,"1-30 days",IF(O108&lt;=60,"31-60 days",IF(O108&lt;=90,"61-90 days","90+ days")))))</x:f>
        <x:v>Paid</x:v>
      </x:c>
    </x:row>
    <x:row r="109">
      <x:c r="A109" s="179" t="str">
        <x:v>INV-0105</x:v>
      </x:c>
      <x:c r="B109" s="180" t="str">
        <x:v>C009</x:v>
      </x:c>
      <x:c r="C109" s="180" t="str">
        <x:v>Orbit SaaS Labs</x:v>
      </x:c>
      <x:c r="D109" s="180" t="str">
        <x:v>Data cleanup</x:v>
      </x:c>
      <x:c r="E109" s="181" t="n">
        <x:v>46083</x:v>
      </x:c>
      <x:c r="F109" s="181" t="n">
        <x:v>46113</x:v>
      </x:c>
      <x:c r="G109" s="182" t="n">
        <x:v>2435.67</x:v>
      </x:c>
      <x:c r="H109" s="183" t="n">
        <x:v>0</x:v>
      </x:c>
      <x:c r="I109" s="182" t="n">
        <x:v>0</x:v>
      </x:c>
      <x:c r="J109" s="182" t="n">
        <x:v>2435.67</x:v>
      </x:c>
      <x:c r="K109" s="182" t="str">
        <x:v>Leo Martin</x:v>
      </x:c>
      <x:c r="L109" s="182" t="str">
        <x:v>leo@orbit.example</x:v>
      </x:c>
      <x:c r="M109" s="184" t="n">
        <x:f>ROUND(SUMIF('Payment Log'!$B$5:$B$173,A109,'Payment Log'!$D$5:$D$173),2)</x:f>
        <x:v>2435.67</x:v>
      </x:c>
      <x:c r="N109" s="184" t="n">
        <x:f>ROUND(MAX(0,J109-M109),2)</x:f>
        <x:v>0</x:v>
      </x:c>
      <x:c r="O109" s="185" t="n">
        <x:f>IF(N109=0,0,MAX(0,'Checks'!$B$3-F109))</x:f>
        <x:v>0</x:v>
      </x:c>
      <x:c r="P109" s="186" t="str">
        <x:f>IF(N109=0,"Paid",IF(O109&gt;0,IF(M109&gt;0,"Partially Paid - Overdue","Overdue"),IF(M109&gt;0,"Partially Paid","Open")))</x:f>
        <x:v>Paid</x:v>
      </x:c>
      <x:c r="Q109" s="187" t="str">
        <x:f>IF(N109=0,"Paid",IF(O109=0,"Current",IF(O109&lt;=30,"1-30 days",IF(O109&lt;=60,"31-60 days",IF(O109&lt;=90,"61-90 days","90+ days")))))</x:f>
        <x:v>Paid</x:v>
      </x:c>
    </x:row>
    <x:row r="110">
      <x:c r="A110" s="179" t="str">
        <x:v>INV-0106</x:v>
      </x:c>
      <x:c r="B110" s="180" t="str">
        <x:v>C010</x:v>
      </x:c>
      <x:c r="C110" s="180" t="str">
        <x:v>Willow Events</x:v>
      </x:c>
      <x:c r="D110" s="180" t="str">
        <x:v>Automation setup</x:v>
      </x:c>
      <x:c r="E110" s="181" t="n">
        <x:v>46085</x:v>
      </x:c>
      <x:c r="F110" s="181" t="n">
        <x:v>46100</x:v>
      </x:c>
      <x:c r="G110" s="182" t="n">
        <x:v>1826.8</x:v>
      </x:c>
      <x:c r="H110" s="183" t="n">
        <x:v>0.1</x:v>
      </x:c>
      <x:c r="I110" s="182" t="n">
        <x:v>182.68</x:v>
      </x:c>
      <x:c r="J110" s="182" t="n">
        <x:v>2009.48</x:v>
      </x:c>
      <x:c r="K110" s="182" t="str">
        <x:v>Emma Hayes</x:v>
      </x:c>
      <x:c r="L110" s="182" t="str">
        <x:v>emma@willow.example</x:v>
      </x:c>
      <x:c r="M110" s="184" t="n">
        <x:f>ROUND(SUMIF('Payment Log'!$B$5:$B$173,A110,'Payment Log'!$D$5:$D$173),2)</x:f>
        <x:v>0</x:v>
      </x:c>
      <x:c r="N110" s="184" t="n">
        <x:f>ROUND(MAX(0,J110-M110),2)</x:f>
        <x:v>2009.48</x:v>
      </x:c>
      <x:c r="O110" s="185" t="n">
        <x:f>IF(N110=0,0,MAX(0,'Checks'!$B$3-F110))</x:f>
        <x:v>142</x:v>
      </x:c>
      <x:c r="P110" s="186" t="str">
        <x:f>IF(N110=0,"Paid",IF(O110&gt;0,IF(M110&gt;0,"Partially Paid - Overdue","Overdue"),IF(M110&gt;0,"Partially Paid","Open")))</x:f>
        <x:v>Overdue</x:v>
      </x:c>
      <x:c r="Q110" s="187" t="str">
        <x:f>IF(N110=0,"Paid",IF(O110=0,"Current",IF(O110&lt;=30,"1-30 days",IF(O110&lt;=60,"31-60 days",IF(O110&lt;=90,"61-90 days","90+ days")))))</x:f>
        <x:v>90+ days</x:v>
      </x:c>
    </x:row>
    <x:row r="111">
      <x:c r="A111" s="179" t="str">
        <x:v>INV-0107</x:v>
      </x:c>
      <x:c r="B111" s="180" t="str">
        <x:v>C011</x:v>
      </x:c>
      <x:c r="C111" s="180" t="str">
        <x:v>Copperline Consulting</x:v>
      </x:c>
      <x:c r="D111" s="180" t="str">
        <x:v>KPI analysis</x:v>
      </x:c>
      <x:c r="E111" s="181" t="n">
        <x:v>46087</x:v>
      </x:c>
      <x:c r="F111" s="181" t="n">
        <x:v>46117</x:v>
      </x:c>
      <x:c r="G111" s="182" t="n">
        <x:v>1092.21</x:v>
      </x:c>
      <x:c r="H111" s="183" t="n">
        <x:v>0</x:v>
      </x:c>
      <x:c r="I111" s="182" t="n">
        <x:v>0</x:v>
      </x:c>
      <x:c r="J111" s="182" t="n">
        <x:v>1092.21</x:v>
      </x:c>
      <x:c r="K111" s="182" t="str">
        <x:v>Iris Young</x:v>
      </x:c>
      <x:c r="L111" s="182" t="str">
        <x:v>iris@copperline.example</x:v>
      </x:c>
      <x:c r="M111" s="184" t="n">
        <x:f>ROUND(SUMIF('Payment Log'!$B$5:$B$173,A111,'Payment Log'!$D$5:$D$173),2)</x:f>
        <x:v>1092.21</x:v>
      </x:c>
      <x:c r="N111" s="184" t="n">
        <x:f>ROUND(MAX(0,J111-M111),2)</x:f>
        <x:v>0</x:v>
      </x:c>
      <x:c r="O111" s="185" t="n">
        <x:f>IF(N111=0,0,MAX(0,'Checks'!$B$3-F111))</x:f>
        <x:v>0</x:v>
      </x:c>
      <x:c r="P111" s="186" t="str">
        <x:f>IF(N111=0,"Paid",IF(O111&gt;0,IF(M111&gt;0,"Partially Paid - Overdue","Overdue"),IF(M111&gt;0,"Partially Paid","Open")))</x:f>
        <x:v>Paid</x:v>
      </x:c>
      <x:c r="Q111" s="187" t="str">
        <x:f>IF(N111=0,"Paid",IF(O111=0,"Current",IF(O111&lt;=30,"1-30 days",IF(O111&lt;=60,"31-60 days",IF(O111&lt;=90,"61-90 days","90+ days")))))</x:f>
        <x:v>Paid</x:v>
      </x:c>
    </x:row>
    <x:row r="112">
      <x:c r="A112" s="179" t="str">
        <x:v>INV-0108</x:v>
      </x:c>
      <x:c r="B112" s="180" t="str">
        <x:v>C012</x:v>
      </x:c>
      <x:c r="C112" s="180" t="str">
        <x:v>Bluebird Media</x:v>
      </x:c>
      <x:c r="D112" s="180" t="str">
        <x:v>Advisory retainer</x:v>
      </x:c>
      <x:c r="E112" s="181" t="n">
        <x:v>46089</x:v>
      </x:c>
      <x:c r="F112" s="181" t="n">
        <x:v>46110</x:v>
      </x:c>
      <x:c r="G112" s="182" t="n">
        <x:v>1852.67</x:v>
      </x:c>
      <x:c r="H112" s="183" t="n">
        <x:v>0</x:v>
      </x:c>
      <x:c r="I112" s="182" t="n">
        <x:v>0</x:v>
      </x:c>
      <x:c r="J112" s="182" t="n">
        <x:v>1852.67</x:v>
      </x:c>
      <x:c r="K112" s="182" t="str">
        <x:v>Theo King</x:v>
      </x:c>
      <x:c r="L112" s="182" t="str">
        <x:v>theo@bluebird.example</x:v>
      </x:c>
      <x:c r="M112" s="184" t="n">
        <x:f>ROUND(SUMIF('Payment Log'!$B$5:$B$173,A112,'Payment Log'!$D$5:$D$173),2)</x:f>
        <x:v>1852.67</x:v>
      </x:c>
      <x:c r="N112" s="184" t="n">
        <x:f>ROUND(MAX(0,J112-M112),2)</x:f>
        <x:v>0</x:v>
      </x:c>
      <x:c r="O112" s="185" t="n">
        <x:f>IF(N112=0,0,MAX(0,'Checks'!$B$3-F112))</x:f>
        <x:v>0</x:v>
      </x:c>
      <x:c r="P112" s="186" t="str">
        <x:f>IF(N112=0,"Paid",IF(O112&gt;0,IF(M112&gt;0,"Partially Paid - Overdue","Overdue"),IF(M112&gt;0,"Partially Paid","Open")))</x:f>
        <x:v>Paid</x:v>
      </x:c>
      <x:c r="Q112" s="187" t="str">
        <x:f>IF(N112=0,"Paid",IF(O112=0,"Current",IF(O112&lt;=30,"1-30 days",IF(O112&lt;=60,"31-60 days",IF(O112&lt;=90,"61-90 days","90+ days")))))</x:f>
        <x:v>Paid</x:v>
      </x:c>
    </x:row>
    <x:row r="113">
      <x:c r="A113" s="179" t="str">
        <x:v>INV-0109</x:v>
      </x:c>
      <x:c r="B113" s="180" t="str">
        <x:v>C001</x:v>
      </x:c>
      <x:c r="C113" s="180" t="str">
        <x:v>Northstar Creative</x:v>
      </x:c>
      <x:c r="D113" s="180" t="str">
        <x:v>Dashboard build</x:v>
      </x:c>
      <x:c r="E113" s="181" t="n">
        <x:v>46092</x:v>
      </x:c>
      <x:c r="F113" s="181" t="n">
        <x:v>46122</x:v>
      </x:c>
      <x:c r="G113" s="182" t="n">
        <x:v>1672.56</x:v>
      </x:c>
      <x:c r="H113" s="183" t="n">
        <x:v>0</x:v>
      </x:c>
      <x:c r="I113" s="182" t="n">
        <x:v>0</x:v>
      </x:c>
      <x:c r="J113" s="182" t="n">
        <x:v>1672.56</x:v>
      </x:c>
      <x:c r="K113" s="182" t="str">
        <x:v>Maya Chen</x:v>
      </x:c>
      <x:c r="L113" s="182" t="str">
        <x:v>maya@northstar.example</x:v>
      </x:c>
      <x:c r="M113" s="184" t="n">
        <x:f>ROUND(SUMIF('Payment Log'!$B$5:$B$173,A113,'Payment Log'!$D$5:$D$173),2)</x:f>
        <x:v>1672.56</x:v>
      </x:c>
      <x:c r="N113" s="184" t="n">
        <x:f>ROUND(MAX(0,J113-M113),2)</x:f>
        <x:v>0</x:v>
      </x:c>
      <x:c r="O113" s="185" t="n">
        <x:f>IF(N113=0,0,MAX(0,'Checks'!$B$3-F113))</x:f>
        <x:v>0</x:v>
      </x:c>
      <x:c r="P113" s="186" t="str">
        <x:f>IF(N113=0,"Paid",IF(O113&gt;0,IF(M113&gt;0,"Partially Paid - Overdue","Overdue"),IF(M113&gt;0,"Partially Paid","Open")))</x:f>
        <x:v>Paid</x:v>
      </x:c>
      <x:c r="Q113" s="187" t="str">
        <x:f>IF(N113=0,"Paid",IF(O113=0,"Current",IF(O113&lt;=30,"1-30 days",IF(O113&lt;=60,"31-60 days",IF(O113&lt;=90,"61-90 days","90+ days")))))</x:f>
        <x:v>Paid</x:v>
      </x:c>
    </x:row>
    <x:row r="114">
      <x:c r="A114" s="179" t="str">
        <x:v>INV-0110</x:v>
      </x:c>
      <x:c r="B114" s="180" t="str">
        <x:v>C002</x:v>
      </x:c>
      <x:c r="C114" s="180" t="str">
        <x:v>Lumen Health Studio</x:v>
      </x:c>
      <x:c r="D114" s="180" t="str">
        <x:v>Monthly reporting</x:v>
      </x:c>
      <x:c r="E114" s="181" t="n">
        <x:v>46094</x:v>
      </x:c>
      <x:c r="F114" s="181" t="n">
        <x:v>46109</x:v>
      </x:c>
      <x:c r="G114" s="182" t="n">
        <x:v>2238.51</x:v>
      </x:c>
      <x:c r="H114" s="183" t="n">
        <x:v>0</x:v>
      </x:c>
      <x:c r="I114" s="182" t="n">
        <x:v>0</x:v>
      </x:c>
      <x:c r="J114" s="182" t="n">
        <x:v>2238.51</x:v>
      </x:c>
      <x:c r="K114" s="182" t="str">
        <x:v>Elias Ward</x:v>
      </x:c>
      <x:c r="L114" s="182" t="str">
        <x:v>elias@lumen.example</x:v>
      </x:c>
      <x:c r="M114" s="184" t="n">
        <x:f>ROUND(SUMIF('Payment Log'!$B$5:$B$173,A114,'Payment Log'!$D$5:$D$173),2)</x:f>
        <x:v>2238.51</x:v>
      </x:c>
      <x:c r="N114" s="184" t="n">
        <x:f>ROUND(MAX(0,J114-M114),2)</x:f>
        <x:v>0</x:v>
      </x:c>
      <x:c r="O114" s="185" t="n">
        <x:f>IF(N114=0,0,MAX(0,'Checks'!$B$3-F114))</x:f>
        <x:v>0</x:v>
      </x:c>
      <x:c r="P114" s="186" t="str">
        <x:f>IF(N114=0,"Paid",IF(O114&gt;0,IF(M114&gt;0,"Partially Paid - Overdue","Overdue"),IF(M114&gt;0,"Partially Paid","Open")))</x:f>
        <x:v>Paid</x:v>
      </x:c>
      <x:c r="Q114" s="187" t="str">
        <x:f>IF(N114=0,"Paid",IF(O114=0,"Current",IF(O114&lt;=30,"1-30 days",IF(O114&lt;=60,"31-60 days",IF(O114&lt;=90,"61-90 days","90+ days")))))</x:f>
        <x:v>Paid</x:v>
      </x:c>
    </x:row>
    <x:row r="115">
      <x:c r="A115" s="179" t="str">
        <x:v>INV-0111</x:v>
      </x:c>
      <x:c r="B115" s="180" t="str">
        <x:v>C003</x:v>
      </x:c>
      <x:c r="C115" s="180" t="str">
        <x:v>Cedar &amp; Co. Retail</x:v>
      </x:c>
      <x:c r="D115" s="180" t="str">
        <x:v>Data cleanup</x:v>
      </x:c>
      <x:c r="E115" s="181" t="n">
        <x:v>46096</x:v>
      </x:c>
      <x:c r="F115" s="181" t="n">
        <x:v>46126</x:v>
      </x:c>
      <x:c r="G115" s="182" t="n">
        <x:v>2287.96</x:v>
      </x:c>
      <x:c r="H115" s="183" t="n">
        <x:v>0.1</x:v>
      </x:c>
      <x:c r="I115" s="182" t="n">
        <x:v>228.8</x:v>
      </x:c>
      <x:c r="J115" s="182" t="n">
        <x:v>2516.76</x:v>
      </x:c>
      <x:c r="K115" s="182" t="str">
        <x:v>Nora Patel</x:v>
      </x:c>
      <x:c r="L115" s="182" t="str">
        <x:v>nora@cedar.example</x:v>
      </x:c>
      <x:c r="M115" s="184" t="n">
        <x:f>ROUND(SUMIF('Payment Log'!$B$5:$B$173,A115,'Payment Log'!$D$5:$D$173),2)</x:f>
        <x:v>1698.5</x:v>
      </x:c>
      <x:c r="N115" s="184" t="n">
        <x:f>ROUND(MAX(0,J115-M115),2)</x:f>
        <x:v>818.26</x:v>
      </x:c>
      <x:c r="O115" s="185" t="n">
        <x:f>IF(N115=0,0,MAX(0,'Checks'!$B$3-F115))</x:f>
        <x:v>116</x:v>
      </x:c>
      <x:c r="P115" s="186" t="str">
        <x:f>IF(N115=0,"Paid",IF(O115&gt;0,IF(M115&gt;0,"Partially Paid - Overdue","Overdue"),IF(M115&gt;0,"Partially Paid","Open")))</x:f>
        <x:v>Partially Paid - Overdue</x:v>
      </x:c>
      <x:c r="Q115" s="187" t="str">
        <x:f>IF(N115=0,"Paid",IF(O115=0,"Current",IF(O115&lt;=30,"1-30 days",IF(O115&lt;=60,"31-60 days",IF(O115&lt;=90,"61-90 days","90+ days")))))</x:f>
        <x:v>90+ days</x:v>
      </x:c>
    </x:row>
    <x:row r="116">
      <x:c r="A116" s="179" t="str">
        <x:v>INV-0112</x:v>
      </x:c>
      <x:c r="B116" s="180" t="str">
        <x:v>C004</x:v>
      </x:c>
      <x:c r="C116" s="180" t="str">
        <x:v>Harbor Legal Partners</x:v>
      </x:c>
      <x:c r="D116" s="180" t="str">
        <x:v>Automation setup</x:v>
      </x:c>
      <x:c r="E116" s="181" t="n">
        <x:v>46098</x:v>
      </x:c>
      <x:c r="F116" s="181" t="n">
        <x:v>46128</x:v>
      </x:c>
      <x:c r="G116" s="182" t="n">
        <x:v>2852.06</x:v>
      </x:c>
      <x:c r="H116" s="183" t="n">
        <x:v>0</x:v>
      </x:c>
      <x:c r="I116" s="182" t="n">
        <x:v>0</x:v>
      </x:c>
      <x:c r="J116" s="182" t="n">
        <x:v>2852.06</x:v>
      </x:c>
      <x:c r="K116" s="182" t="str">
        <x:v>Owen Brooks</x:v>
      </x:c>
      <x:c r="L116" s="182" t="str">
        <x:v>owen@harbor.example</x:v>
      </x:c>
      <x:c r="M116" s="184" t="n">
        <x:f>ROUND(SUMIF('Payment Log'!$B$5:$B$173,A116,'Payment Log'!$D$5:$D$173),2)</x:f>
        <x:v>2852.06</x:v>
      </x:c>
      <x:c r="N116" s="184" t="n">
        <x:f>ROUND(MAX(0,J116-M116),2)</x:f>
        <x:v>0</x:v>
      </x:c>
      <x:c r="O116" s="185" t="n">
        <x:f>IF(N116=0,0,MAX(0,'Checks'!$B$3-F116))</x:f>
        <x:v>0</x:v>
      </x:c>
      <x:c r="P116" s="186" t="str">
        <x:f>IF(N116=0,"Paid",IF(O116&gt;0,IF(M116&gt;0,"Partially Paid - Overdue","Overdue"),IF(M116&gt;0,"Partially Paid","Open")))</x:f>
        <x:v>Paid</x:v>
      </x:c>
      <x:c r="Q116" s="187" t="str">
        <x:f>IF(N116=0,"Paid",IF(O116=0,"Current",IF(O116&lt;=30,"1-30 days",IF(O116&lt;=60,"31-60 days",IF(O116&lt;=90,"61-90 days","90+ days")))))</x:f>
        <x:v>Paid</x:v>
      </x:c>
    </x:row>
    <x:row r="117">
      <x:c r="A117" s="179" t="str">
        <x:v>INV-0113</x:v>
      </x:c>
      <x:c r="B117" s="180" t="str">
        <x:v>C005</x:v>
      </x:c>
      <x:c r="C117" s="180" t="str">
        <x:v>Atlas Property Group</x:v>
      </x:c>
      <x:c r="D117" s="180" t="str">
        <x:v>KPI analysis</x:v>
      </x:c>
      <x:c r="E117" s="181" t="n">
        <x:v>46100</x:v>
      </x:c>
      <x:c r="F117" s="181" t="n">
        <x:v>46121</x:v>
      </x:c>
      <x:c r="G117" s="182" t="n">
        <x:v>1351.52</x:v>
      </x:c>
      <x:c r="H117" s="183" t="n">
        <x:v>0</x:v>
      </x:c>
      <x:c r="I117" s="182" t="n">
        <x:v>0</x:v>
      </x:c>
      <x:c r="J117" s="182" t="n">
        <x:v>1351.52</x:v>
      </x:c>
      <x:c r="K117" s="182" t="str">
        <x:v>Sara Lin</x:v>
      </x:c>
      <x:c r="L117" s="182" t="str">
        <x:v>sara@atlas.example</x:v>
      </x:c>
      <x:c r="M117" s="184" t="n">
        <x:f>ROUND(SUMIF('Payment Log'!$B$5:$B$173,A117,'Payment Log'!$D$5:$D$173),2)</x:f>
        <x:v>1351.52</x:v>
      </x:c>
      <x:c r="N117" s="184" t="n">
        <x:f>ROUND(MAX(0,J117-M117),2)</x:f>
        <x:v>0</x:v>
      </x:c>
      <x:c r="O117" s="185" t="n">
        <x:f>IF(N117=0,0,MAX(0,'Checks'!$B$3-F117))</x:f>
        <x:v>0</x:v>
      </x:c>
      <x:c r="P117" s="186" t="str">
        <x:f>IF(N117=0,"Paid",IF(O117&gt;0,IF(M117&gt;0,"Partially Paid - Overdue","Overdue"),IF(M117&gt;0,"Partially Paid","Open")))</x:f>
        <x:v>Paid</x:v>
      </x:c>
      <x:c r="Q117" s="187" t="str">
        <x:f>IF(N117=0,"Paid",IF(O117=0,"Current",IF(O117&lt;=30,"1-30 days",IF(O117&lt;=60,"31-60 days",IF(O117&lt;=90,"61-90 days","90+ days")))))</x:f>
        <x:v>Paid</x:v>
      </x:c>
    </x:row>
    <x:row r="118">
      <x:c r="A118" s="179" t="str">
        <x:v>INV-0114</x:v>
      </x:c>
      <x:c r="B118" s="180" t="str">
        <x:v>C006</x:v>
      </x:c>
      <x:c r="C118" s="180" t="str">
        <x:v>BrightPath Learning</x:v>
      </x:c>
      <x:c r="D118" s="180" t="str">
        <x:v>Advisory retainer</x:v>
      </x:c>
      <x:c r="E118" s="181" t="n">
        <x:v>46102</x:v>
      </x:c>
      <x:c r="F118" s="181" t="n">
        <x:v>46117</x:v>
      </x:c>
      <x:c r="G118" s="182" t="n">
        <x:v>515.56</x:v>
      </x:c>
      <x:c r="H118" s="183" t="n">
        <x:v>0</x:v>
      </x:c>
      <x:c r="I118" s="182" t="n">
        <x:v>0</x:v>
      </x:c>
      <x:c r="J118" s="182" t="n">
        <x:v>515.56</x:v>
      </x:c>
      <x:c r="K118" s="182" t="str">
        <x:v>Lina Costa</x:v>
      </x:c>
      <x:c r="L118" s="182" t="str">
        <x:v>lina@brightpath.example</x:v>
      </x:c>
      <x:c r="M118" s="184" t="n">
        <x:f>ROUND(SUMIF('Payment Log'!$B$5:$B$173,A118,'Payment Log'!$D$5:$D$173),2)</x:f>
        <x:v>0</x:v>
      </x:c>
      <x:c r="N118" s="184" t="n">
        <x:f>ROUND(MAX(0,J118-M118),2)</x:f>
        <x:v>515.56</x:v>
      </x:c>
      <x:c r="O118" s="185" t="n">
        <x:f>IF(N118=0,0,MAX(0,'Checks'!$B$3-F118))</x:f>
        <x:v>125</x:v>
      </x:c>
      <x:c r="P118" s="186" t="str">
        <x:f>IF(N118=0,"Paid",IF(O118&gt;0,IF(M118&gt;0,"Partially Paid - Overdue","Overdue"),IF(M118&gt;0,"Partially Paid","Open")))</x:f>
        <x:v>Overdue</x:v>
      </x:c>
      <x:c r="Q118" s="187" t="str">
        <x:f>IF(N118=0,"Paid",IF(O118=0,"Current",IF(O118&lt;=30,"1-30 days",IF(O118&lt;=60,"31-60 days",IF(O118&lt;=90,"61-90 days","90+ days")))))</x:f>
        <x:v>90+ days</x:v>
      </x:c>
    </x:row>
    <x:row r="119">
      <x:c r="A119" s="179" t="str">
        <x:v>INV-0115</x:v>
      </x:c>
      <x:c r="B119" s="180" t="str">
        <x:v>C007</x:v>
      </x:c>
      <x:c r="C119" s="180" t="str">
        <x:v>PeakFit Clubs</x:v>
      </x:c>
      <x:c r="D119" s="180" t="str">
        <x:v>Dashboard build</x:v>
      </x:c>
      <x:c r="E119" s="181" t="n">
        <x:v>46104</x:v>
      </x:c>
      <x:c r="F119" s="181" t="n">
        <x:v>46134</x:v>
      </x:c>
      <x:c r="G119" s="182" t="n">
        <x:v>1006.01</x:v>
      </x:c>
      <x:c r="H119" s="183" t="n">
        <x:v>0</x:v>
      </x:c>
      <x:c r="I119" s="182" t="n">
        <x:v>0</x:v>
      </x:c>
      <x:c r="J119" s="182" t="n">
        <x:v>1006.01</x:v>
      </x:c>
      <x:c r="K119" s="182" t="str">
        <x:v>Noah Reed</x:v>
      </x:c>
      <x:c r="L119" s="182" t="str">
        <x:v>noah@peakfit.example</x:v>
      </x:c>
      <x:c r="M119" s="184" t="n">
        <x:f>ROUND(SUMIF('Payment Log'!$B$5:$B$173,A119,'Payment Log'!$D$5:$D$173),2)</x:f>
        <x:v>1006.01</x:v>
      </x:c>
      <x:c r="N119" s="184" t="n">
        <x:f>ROUND(MAX(0,J119-M119),2)</x:f>
        <x:v>0</x:v>
      </x:c>
      <x:c r="O119" s="185" t="n">
        <x:f>IF(N119=0,0,MAX(0,'Checks'!$B$3-F119))</x:f>
        <x:v>0</x:v>
      </x:c>
      <x:c r="P119" s="186" t="str">
        <x:f>IF(N119=0,"Paid",IF(O119&gt;0,IF(M119&gt;0,"Partially Paid - Overdue","Overdue"),IF(M119&gt;0,"Partially Paid","Open")))</x:f>
        <x:v>Paid</x:v>
      </x:c>
      <x:c r="Q119" s="187" t="str">
        <x:f>IF(N119=0,"Paid",IF(O119=0,"Current",IF(O119&lt;=30,"1-30 days",IF(O119&lt;=60,"31-60 days",IF(O119&lt;=90,"61-90 days","90+ days")))))</x:f>
        <x:v>Paid</x:v>
      </x:c>
    </x:row>
    <x:row r="120">
      <x:c r="A120" s="179" t="str">
        <x:v>INV-0116</x:v>
      </x:c>
      <x:c r="B120" s="180" t="str">
        <x:v>C008</x:v>
      </x:c>
      <x:c r="C120" s="180" t="str">
        <x:v>GreenFork Catering</x:v>
      </x:c>
      <x:c r="D120" s="180" t="str">
        <x:v>Monthly reporting</x:v>
      </x:c>
      <x:c r="E120" s="181" t="n">
        <x:v>46106</x:v>
      </x:c>
      <x:c r="F120" s="181" t="n">
        <x:v>46120</x:v>
      </x:c>
      <x:c r="G120" s="182" t="n">
        <x:v>2662.54</x:v>
      </x:c>
      <x:c r="H120" s="183" t="n">
        <x:v>0.1</x:v>
      </x:c>
      <x:c r="I120" s="182" t="n">
        <x:v>266.25</x:v>
      </x:c>
      <x:c r="J120" s="182" t="n">
        <x:v>2928.79</x:v>
      </x:c>
      <x:c r="K120" s="182" t="str">
        <x:v>Ava Stone</x:v>
      </x:c>
      <x:c r="L120" s="182" t="str">
        <x:v>ava@greenfork.example</x:v>
      </x:c>
      <x:c r="M120" s="184" t="n">
        <x:f>ROUND(SUMIF('Payment Log'!$B$5:$B$173,A120,'Payment Log'!$D$5:$D$173),2)</x:f>
        <x:v>2928.79</x:v>
      </x:c>
      <x:c r="N120" s="184" t="n">
        <x:f>ROUND(MAX(0,J120-M120),2)</x:f>
        <x:v>0</x:v>
      </x:c>
      <x:c r="O120" s="185" t="n">
        <x:f>IF(N120=0,0,MAX(0,'Checks'!$B$3-F120))</x:f>
        <x:v>0</x:v>
      </x:c>
      <x:c r="P120" s="186" t="str">
        <x:f>IF(N120=0,"Paid",IF(O120&gt;0,IF(M120&gt;0,"Partially Paid - Overdue","Overdue"),IF(M120&gt;0,"Partially Paid","Open")))</x:f>
        <x:v>Paid</x:v>
      </x:c>
      <x:c r="Q120" s="187" t="str">
        <x:f>IF(N120=0,"Paid",IF(O120=0,"Current",IF(O120&lt;=30,"1-30 days",IF(O120&lt;=60,"31-60 days",IF(O120&lt;=90,"61-90 days","90+ days")))))</x:f>
        <x:v>Paid</x:v>
      </x:c>
    </x:row>
    <x:row r="121">
      <x:c r="A121" s="179" t="str">
        <x:v>INV-0117</x:v>
      </x:c>
      <x:c r="B121" s="180" t="str">
        <x:v>C009</x:v>
      </x:c>
      <x:c r="C121" s="180" t="str">
        <x:v>Orbit SaaS Labs</x:v>
      </x:c>
      <x:c r="D121" s="180" t="str">
        <x:v>Data cleanup</x:v>
      </x:c>
      <x:c r="E121" s="181" t="n">
        <x:v>46108</x:v>
      </x:c>
      <x:c r="F121" s="181" t="n">
        <x:v>46138</x:v>
      </x:c>
      <x:c r="G121" s="182" t="n">
        <x:v>1302.29</x:v>
      </x:c>
      <x:c r="H121" s="183" t="n">
        <x:v>0</x:v>
      </x:c>
      <x:c r="I121" s="182" t="n">
        <x:v>0</x:v>
      </x:c>
      <x:c r="J121" s="182" t="n">
        <x:v>1302.29</x:v>
      </x:c>
      <x:c r="K121" s="182" t="str">
        <x:v>Leo Martin</x:v>
      </x:c>
      <x:c r="L121" s="182" t="str">
        <x:v>leo@orbit.example</x:v>
      </x:c>
      <x:c r="M121" s="184" t="n">
        <x:f>ROUND(SUMIF('Payment Log'!$B$5:$B$173,A121,'Payment Log'!$D$5:$D$173),2)</x:f>
        <x:v>930.53</x:v>
      </x:c>
      <x:c r="N121" s="184" t="n">
        <x:f>ROUND(MAX(0,J121-M121),2)</x:f>
        <x:v>371.76</x:v>
      </x:c>
      <x:c r="O121" s="185" t="n">
        <x:f>IF(N121=0,0,MAX(0,'Checks'!$B$3-F121))</x:f>
        <x:v>104</x:v>
      </x:c>
      <x:c r="P121" s="186" t="str">
        <x:f>IF(N121=0,"Paid",IF(O121&gt;0,IF(M121&gt;0,"Partially Paid - Overdue","Overdue"),IF(M121&gt;0,"Partially Paid","Open")))</x:f>
        <x:v>Partially Paid - Overdue</x:v>
      </x:c>
      <x:c r="Q121" s="187" t="str">
        <x:f>IF(N121=0,"Paid",IF(O121=0,"Current",IF(O121&lt;=30,"1-30 days",IF(O121&lt;=60,"31-60 days",IF(O121&lt;=90,"61-90 days","90+ days")))))</x:f>
        <x:v>90+ days</x:v>
      </x:c>
    </x:row>
    <x:row r="122">
      <x:c r="A122" s="179" t="str">
        <x:v>INV-0118</x:v>
      </x:c>
      <x:c r="B122" s="180" t="str">
        <x:v>C010</x:v>
      </x:c>
      <x:c r="C122" s="180" t="str">
        <x:v>Willow Events</x:v>
      </x:c>
      <x:c r="D122" s="180" t="str">
        <x:v>Automation setup</x:v>
      </x:c>
      <x:c r="E122" s="181" t="n">
        <x:v>46110</x:v>
      </x:c>
      <x:c r="F122" s="181" t="n">
        <x:v>46125</x:v>
      </x:c>
      <x:c r="G122" s="182" t="n">
        <x:v>1905.52</x:v>
      </x:c>
      <x:c r="H122" s="183" t="n">
        <x:v>0</x:v>
      </x:c>
      <x:c r="I122" s="182" t="n">
        <x:v>0</x:v>
      </x:c>
      <x:c r="J122" s="182" t="n">
        <x:v>1905.52</x:v>
      </x:c>
      <x:c r="K122" s="182" t="str">
        <x:v>Emma Hayes</x:v>
      </x:c>
      <x:c r="L122" s="182" t="str">
        <x:v>emma@willow.example</x:v>
      </x:c>
      <x:c r="M122" s="184" t="n">
        <x:f>ROUND(SUMIF('Payment Log'!$B$5:$B$173,A122,'Payment Log'!$D$5:$D$173),2)</x:f>
        <x:v>1905.52</x:v>
      </x:c>
      <x:c r="N122" s="184" t="n">
        <x:f>ROUND(MAX(0,J122-M122),2)</x:f>
        <x:v>0</x:v>
      </x:c>
      <x:c r="O122" s="185" t="n">
        <x:f>IF(N122=0,0,MAX(0,'Checks'!$B$3-F122))</x:f>
        <x:v>0</x:v>
      </x:c>
      <x:c r="P122" s="186" t="str">
        <x:f>IF(N122=0,"Paid",IF(O122&gt;0,IF(M122&gt;0,"Partially Paid - Overdue","Overdue"),IF(M122&gt;0,"Partially Paid","Open")))</x:f>
        <x:v>Paid</x:v>
      </x:c>
      <x:c r="Q122" s="187" t="str">
        <x:f>IF(N122=0,"Paid",IF(O122=0,"Current",IF(O122&lt;=30,"1-30 days",IF(O122&lt;=60,"31-60 days",IF(O122&lt;=90,"61-90 days","90+ days")))))</x:f>
        <x:v>Paid</x:v>
      </x:c>
    </x:row>
    <x:row r="123">
      <x:c r="A123" s="179" t="str">
        <x:v>INV-0119</x:v>
      </x:c>
      <x:c r="B123" s="180" t="str">
        <x:v>C011</x:v>
      </x:c>
      <x:c r="C123" s="180" t="str">
        <x:v>Copperline Consulting</x:v>
      </x:c>
      <x:c r="D123" s="180" t="str">
        <x:v>KPI analysis</x:v>
      </x:c>
      <x:c r="E123" s="181" t="n">
        <x:v>46112</x:v>
      </x:c>
      <x:c r="F123" s="181" t="n">
        <x:v>46142</x:v>
      </x:c>
      <x:c r="G123" s="182" t="n">
        <x:v>2152.54</x:v>
      </x:c>
      <x:c r="H123" s="183" t="n">
        <x:v>0</x:v>
      </x:c>
      <x:c r="I123" s="182" t="n">
        <x:v>0</x:v>
      </x:c>
      <x:c r="J123" s="182" t="n">
        <x:v>2152.54</x:v>
      </x:c>
      <x:c r="K123" s="182" t="str">
        <x:v>Iris Young</x:v>
      </x:c>
      <x:c r="L123" s="182" t="str">
        <x:v>iris@copperline.example</x:v>
      </x:c>
      <x:c r="M123" s="184" t="n">
        <x:f>ROUND(SUMIF('Payment Log'!$B$5:$B$173,A123,'Payment Log'!$D$5:$D$173),2)</x:f>
        <x:v>906.4</x:v>
      </x:c>
      <x:c r="N123" s="184" t="n">
        <x:f>ROUND(MAX(0,J123-M123),2)</x:f>
        <x:v>1246.14</x:v>
      </x:c>
      <x:c r="O123" s="185" t="n">
        <x:f>IF(N123=0,0,MAX(0,'Checks'!$B$3-F123))</x:f>
        <x:v>100</x:v>
      </x:c>
      <x:c r="P123" s="186" t="str">
        <x:f>IF(N123=0,"Paid",IF(O123&gt;0,IF(M123&gt;0,"Partially Paid - Overdue","Overdue"),IF(M123&gt;0,"Partially Paid","Open")))</x:f>
        <x:v>Partially Paid - Overdue</x:v>
      </x:c>
      <x:c r="Q123" s="187" t="str">
        <x:f>IF(N123=0,"Paid",IF(O123=0,"Current",IF(O123&lt;=30,"1-30 days",IF(O123&lt;=60,"31-60 days",IF(O123&lt;=90,"61-90 days","90+ days")))))</x:f>
        <x:v>90+ days</x:v>
      </x:c>
    </x:row>
    <x:row r="124">
      <x:c r="A124" s="179" t="str">
        <x:v>INV-0120</x:v>
      </x:c>
      <x:c r="B124" s="180" t="str">
        <x:v>C012</x:v>
      </x:c>
      <x:c r="C124" s="180" t="str">
        <x:v>Bluebird Media</x:v>
      </x:c>
      <x:c r="D124" s="180" t="str">
        <x:v>Advisory retainer</x:v>
      </x:c>
      <x:c r="E124" s="181" t="n">
        <x:v>46114</x:v>
      </x:c>
      <x:c r="F124" s="181" t="n">
        <x:v>46135</x:v>
      </x:c>
      <x:c r="G124" s="182" t="n">
        <x:v>520.79</x:v>
      </x:c>
      <x:c r="H124" s="183" t="n">
        <x:v>0</x:v>
      </x:c>
      <x:c r="I124" s="182" t="n">
        <x:v>0</x:v>
      </x:c>
      <x:c r="J124" s="182" t="n">
        <x:v>520.79</x:v>
      </x:c>
      <x:c r="K124" s="182" t="str">
        <x:v>Theo King</x:v>
      </x:c>
      <x:c r="L124" s="182" t="str">
        <x:v>theo@bluebird.example</x:v>
      </x:c>
      <x:c r="M124" s="184" t="n">
        <x:f>ROUND(SUMIF('Payment Log'!$B$5:$B$173,A124,'Payment Log'!$D$5:$D$173),2)</x:f>
        <x:v>0</x:v>
      </x:c>
      <x:c r="N124" s="184" t="n">
        <x:f>ROUND(MAX(0,J124-M124),2)</x:f>
        <x:v>520.79</x:v>
      </x:c>
      <x:c r="O124" s="185" t="n">
        <x:f>IF(N124=0,0,MAX(0,'Checks'!$B$3-F124))</x:f>
        <x:v>107</x:v>
      </x:c>
      <x:c r="P124" s="186" t="str">
        <x:f>IF(N124=0,"Paid",IF(O124&gt;0,IF(M124&gt;0,"Partially Paid - Overdue","Overdue"),IF(M124&gt;0,"Partially Paid","Open")))</x:f>
        <x:v>Overdue</x:v>
      </x:c>
      <x:c r="Q124" s="187" t="str">
        <x:f>IF(N124=0,"Paid",IF(O124=0,"Current",IF(O124&lt;=30,"1-30 days",IF(O124&lt;=60,"31-60 days",IF(O124&lt;=90,"61-90 days","90+ days")))))</x:f>
        <x:v>90+ days</x:v>
      </x:c>
    </x:row>
    <x:row r="125">
      <x:c r="A125" s="179" t="str">
        <x:v>INV-0121</x:v>
      </x:c>
      <x:c r="B125" s="180" t="str">
        <x:v>C001</x:v>
      </x:c>
      <x:c r="C125" s="180" t="str">
        <x:v>Northstar Creative</x:v>
      </x:c>
      <x:c r="D125" s="180" t="str">
        <x:v>Dashboard build</x:v>
      </x:c>
      <x:c r="E125" s="181" t="n">
        <x:v>46116</x:v>
      </x:c>
      <x:c r="F125" s="181" t="n">
        <x:v>46146</x:v>
      </x:c>
      <x:c r="G125" s="182" t="n">
        <x:v>813.77</x:v>
      </x:c>
      <x:c r="H125" s="183" t="n">
        <x:v>0.1</x:v>
      </x:c>
      <x:c r="I125" s="182" t="n">
        <x:v>81.38</x:v>
      </x:c>
      <x:c r="J125" s="182" t="n">
        <x:v>895.15</x:v>
      </x:c>
      <x:c r="K125" s="182" t="str">
        <x:v>Maya Chen</x:v>
      </x:c>
      <x:c r="L125" s="182" t="str">
        <x:v>maya@northstar.example</x:v>
      </x:c>
      <x:c r="M125" s="184" t="n">
        <x:f>ROUND(SUMIF('Payment Log'!$B$5:$B$173,A125,'Payment Log'!$D$5:$D$173),2)</x:f>
        <x:v>895.15</x:v>
      </x:c>
      <x:c r="N125" s="184" t="n">
        <x:f>ROUND(MAX(0,J125-M125),2)</x:f>
        <x:v>0</x:v>
      </x:c>
      <x:c r="O125" s="185" t="n">
        <x:f>IF(N125=0,0,MAX(0,'Checks'!$B$3-F125))</x:f>
        <x:v>0</x:v>
      </x:c>
      <x:c r="P125" s="186" t="str">
        <x:f>IF(N125=0,"Paid",IF(O125&gt;0,IF(M125&gt;0,"Partially Paid - Overdue","Overdue"),IF(M125&gt;0,"Partially Paid","Open")))</x:f>
        <x:v>Paid</x:v>
      </x:c>
      <x:c r="Q125" s="187" t="str">
        <x:f>IF(N125=0,"Paid",IF(O125=0,"Current",IF(O125&lt;=30,"1-30 days",IF(O125&lt;=60,"31-60 days",IF(O125&lt;=90,"61-90 days","90+ days")))))</x:f>
        <x:v>Paid</x:v>
      </x:c>
    </x:row>
    <x:row r="126">
      <x:c r="A126" s="179" t="str">
        <x:v>INV-0122</x:v>
      </x:c>
      <x:c r="B126" s="180" t="str">
        <x:v>C002</x:v>
      </x:c>
      <x:c r="C126" s="180" t="str">
        <x:v>Lumen Health Studio</x:v>
      </x:c>
      <x:c r="D126" s="180" t="str">
        <x:v>Monthly reporting</x:v>
      </x:c>
      <x:c r="E126" s="181" t="n">
        <x:v>46118</x:v>
      </x:c>
      <x:c r="F126" s="181" t="n">
        <x:v>46133</x:v>
      </x:c>
      <x:c r="G126" s="182" t="n">
        <x:v>1730.41</x:v>
      </x:c>
      <x:c r="H126" s="183" t="n">
        <x:v>0</x:v>
      </x:c>
      <x:c r="I126" s="182" t="n">
        <x:v>0</x:v>
      </x:c>
      <x:c r="J126" s="182" t="n">
        <x:v>1730.41</x:v>
      </x:c>
      <x:c r="K126" s="182" t="str">
        <x:v>Elias Ward</x:v>
      </x:c>
      <x:c r="L126" s="182" t="str">
        <x:v>elias@lumen.example</x:v>
      </x:c>
      <x:c r="M126" s="184" t="n">
        <x:f>ROUND(SUMIF('Payment Log'!$B$5:$B$173,A126,'Payment Log'!$D$5:$D$173),2)</x:f>
        <x:v>1730.41</x:v>
      </x:c>
      <x:c r="N126" s="184" t="n">
        <x:f>ROUND(MAX(0,J126-M126),2)</x:f>
        <x:v>0</x:v>
      </x:c>
      <x:c r="O126" s="185" t="n">
        <x:f>IF(N126=0,0,MAX(0,'Checks'!$B$3-F126))</x:f>
        <x:v>0</x:v>
      </x:c>
      <x:c r="P126" s="186" t="str">
        <x:f>IF(N126=0,"Paid",IF(O126&gt;0,IF(M126&gt;0,"Partially Paid - Overdue","Overdue"),IF(M126&gt;0,"Partially Paid","Open")))</x:f>
        <x:v>Paid</x:v>
      </x:c>
      <x:c r="Q126" s="187" t="str">
        <x:f>IF(N126=0,"Paid",IF(O126=0,"Current",IF(O126&lt;=30,"1-30 days",IF(O126&lt;=60,"31-60 days",IF(O126&lt;=90,"61-90 days","90+ days")))))</x:f>
        <x:v>Paid</x:v>
      </x:c>
    </x:row>
    <x:row r="127">
      <x:c r="A127" s="179" t="str">
        <x:v>INV-0123</x:v>
      </x:c>
      <x:c r="B127" s="180" t="str">
        <x:v>C003</x:v>
      </x:c>
      <x:c r="C127" s="180" t="str">
        <x:v>Cedar &amp; Co. Retail</x:v>
      </x:c>
      <x:c r="D127" s="180" t="str">
        <x:v>Data cleanup</x:v>
      </x:c>
      <x:c r="E127" s="181" t="n">
        <x:v>46120</x:v>
      </x:c>
      <x:c r="F127" s="181" t="n">
        <x:v>46150</x:v>
      </x:c>
      <x:c r="G127" s="182" t="n">
        <x:v>1385.17</x:v>
      </x:c>
      <x:c r="H127" s="183" t="n">
        <x:v>0</x:v>
      </x:c>
      <x:c r="I127" s="182" t="n">
        <x:v>0</x:v>
      </x:c>
      <x:c r="J127" s="182" t="n">
        <x:v>1385.17</x:v>
      </x:c>
      <x:c r="K127" s="182" t="str">
        <x:v>Nora Patel</x:v>
      </x:c>
      <x:c r="L127" s="182" t="str">
        <x:v>nora@cedar.example</x:v>
      </x:c>
      <x:c r="M127" s="184" t="n">
        <x:f>ROUND(SUMIF('Payment Log'!$B$5:$B$173,A127,'Payment Log'!$D$5:$D$173),2)</x:f>
        <x:v>1385.17</x:v>
      </x:c>
      <x:c r="N127" s="184" t="n">
        <x:f>ROUND(MAX(0,J127-M127),2)</x:f>
        <x:v>0</x:v>
      </x:c>
      <x:c r="O127" s="185" t="n">
        <x:f>IF(N127=0,0,MAX(0,'Checks'!$B$3-F127))</x:f>
        <x:v>0</x:v>
      </x:c>
      <x:c r="P127" s="186" t="str">
        <x:f>IF(N127=0,"Paid",IF(O127&gt;0,IF(M127&gt;0,"Partially Paid - Overdue","Overdue"),IF(M127&gt;0,"Partially Paid","Open")))</x:f>
        <x:v>Paid</x:v>
      </x:c>
      <x:c r="Q127" s="187" t="str">
        <x:f>IF(N127=0,"Paid",IF(O127=0,"Current",IF(O127&lt;=30,"1-30 days",IF(O127&lt;=60,"31-60 days",IF(O127&lt;=90,"61-90 days","90+ days")))))</x:f>
        <x:v>Paid</x:v>
      </x:c>
    </x:row>
    <x:row r="128">
      <x:c r="A128" s="179" t="str">
        <x:v>INV-0124</x:v>
      </x:c>
      <x:c r="B128" s="180" t="str">
        <x:v>C004</x:v>
      </x:c>
      <x:c r="C128" s="180" t="str">
        <x:v>Harbor Legal Partners</x:v>
      </x:c>
      <x:c r="D128" s="180" t="str">
        <x:v>Automation setup</x:v>
      </x:c>
      <x:c r="E128" s="181" t="n">
        <x:v>46122</x:v>
      </x:c>
      <x:c r="F128" s="181" t="n">
        <x:v>46152</x:v>
      </x:c>
      <x:c r="G128" s="182" t="n">
        <x:v>2266.08</x:v>
      </x:c>
      <x:c r="H128" s="183" t="n">
        <x:v>0</x:v>
      </x:c>
      <x:c r="I128" s="182" t="n">
        <x:v>0</x:v>
      </x:c>
      <x:c r="J128" s="182" t="n">
        <x:v>2266.08</x:v>
      </x:c>
      <x:c r="K128" s="182" t="str">
        <x:v>Owen Brooks</x:v>
      </x:c>
      <x:c r="L128" s="182" t="str">
        <x:v>owen@harbor.example</x:v>
      </x:c>
      <x:c r="M128" s="184" t="n">
        <x:f>ROUND(SUMIF('Payment Log'!$B$5:$B$173,A128,'Payment Log'!$D$5:$D$173),2)</x:f>
        <x:v>2266.08</x:v>
      </x:c>
      <x:c r="N128" s="184" t="n">
        <x:f>ROUND(MAX(0,J128-M128),2)</x:f>
        <x:v>0</x:v>
      </x:c>
      <x:c r="O128" s="185" t="n">
        <x:f>IF(N128=0,0,MAX(0,'Checks'!$B$3-F128))</x:f>
        <x:v>0</x:v>
      </x:c>
      <x:c r="P128" s="186" t="str">
        <x:f>IF(N128=0,"Paid",IF(O128&gt;0,IF(M128&gt;0,"Partially Paid - Overdue","Overdue"),IF(M128&gt;0,"Partially Paid","Open")))</x:f>
        <x:v>Paid</x:v>
      </x:c>
      <x:c r="Q128" s="187" t="str">
        <x:f>IF(N128=0,"Paid",IF(O128=0,"Current",IF(O128&lt;=30,"1-30 days",IF(O128&lt;=60,"31-60 days",IF(O128&lt;=90,"61-90 days","90+ days")))))</x:f>
        <x:v>Paid</x:v>
      </x:c>
    </x:row>
    <x:row r="129">
      <x:c r="A129" s="179" t="str">
        <x:v>INV-0125</x:v>
      </x:c>
      <x:c r="B129" s="180" t="str">
        <x:v>C005</x:v>
      </x:c>
      <x:c r="C129" s="180" t="str">
        <x:v>Atlas Property Group</x:v>
      </x:c>
      <x:c r="D129" s="180" t="str">
        <x:v>KPI analysis</x:v>
      </x:c>
      <x:c r="E129" s="181" t="n">
        <x:v>46124</x:v>
      </x:c>
      <x:c r="F129" s="181" t="n">
        <x:v>46145</x:v>
      </x:c>
      <x:c r="G129" s="182" t="n">
        <x:v>787.18</x:v>
      </x:c>
      <x:c r="H129" s="183" t="n">
        <x:v>0</x:v>
      </x:c>
      <x:c r="I129" s="182" t="n">
        <x:v>0</x:v>
      </x:c>
      <x:c r="J129" s="182" t="n">
        <x:v>787.18</x:v>
      </x:c>
      <x:c r="K129" s="182" t="str">
        <x:v>Sara Lin</x:v>
      </x:c>
      <x:c r="L129" s="182" t="str">
        <x:v>sara@atlas.example</x:v>
      </x:c>
      <x:c r="M129" s="184" t="n">
        <x:f>ROUND(SUMIF('Payment Log'!$B$5:$B$173,A129,'Payment Log'!$D$5:$D$173),2)</x:f>
        <x:v>444</x:v>
      </x:c>
      <x:c r="N129" s="184" t="n">
        <x:f>ROUND(MAX(0,J129-M129),2)</x:f>
        <x:v>343.18</x:v>
      </x:c>
      <x:c r="O129" s="185" t="n">
        <x:f>IF(N129=0,0,MAX(0,'Checks'!$B$3-F129))</x:f>
        <x:v>97</x:v>
      </x:c>
      <x:c r="P129" s="186" t="str">
        <x:f>IF(N129=0,"Paid",IF(O129&gt;0,IF(M129&gt;0,"Partially Paid - Overdue","Overdue"),IF(M129&gt;0,"Partially Paid","Open")))</x:f>
        <x:v>Partially Paid - Overdue</x:v>
      </x:c>
      <x:c r="Q129" s="187" t="str">
        <x:f>IF(N129=0,"Paid",IF(O129=0,"Current",IF(O129&lt;=30,"1-30 days",IF(O129&lt;=60,"31-60 days",IF(O129&lt;=90,"61-90 days","90+ days")))))</x:f>
        <x:v>90+ days</x:v>
      </x:c>
    </x:row>
    <x:row r="130">
      <x:c r="A130" s="179" t="str">
        <x:v>INV-0126</x:v>
      </x:c>
      <x:c r="B130" s="180" t="str">
        <x:v>C006</x:v>
      </x:c>
      <x:c r="C130" s="180" t="str">
        <x:v>BrightPath Learning</x:v>
      </x:c>
      <x:c r="D130" s="180" t="str">
        <x:v>Advisory retainer</x:v>
      </x:c>
      <x:c r="E130" s="181" t="n">
        <x:v>46126</x:v>
      </x:c>
      <x:c r="F130" s="181" t="n">
        <x:v>46141</x:v>
      </x:c>
      <x:c r="G130" s="182" t="n">
        <x:v>1028.3</x:v>
      </x:c>
      <x:c r="H130" s="183" t="n">
        <x:v>0.1</x:v>
      </x:c>
      <x:c r="I130" s="182" t="n">
        <x:v>102.83</x:v>
      </x:c>
      <x:c r="J130" s="182" t="n">
        <x:v>1131.13</x:v>
      </x:c>
      <x:c r="K130" s="182" t="str">
        <x:v>Lina Costa</x:v>
      </x:c>
      <x:c r="L130" s="182" t="str">
        <x:v>lina@brightpath.example</x:v>
      </x:c>
      <x:c r="M130" s="184" t="n">
        <x:f>ROUND(SUMIF('Payment Log'!$B$5:$B$173,A130,'Payment Log'!$D$5:$D$173),2)</x:f>
        <x:v>1131.13</x:v>
      </x:c>
      <x:c r="N130" s="184" t="n">
        <x:f>ROUND(MAX(0,J130-M130),2)</x:f>
        <x:v>0</x:v>
      </x:c>
      <x:c r="O130" s="185" t="n">
        <x:f>IF(N130=0,0,MAX(0,'Checks'!$B$3-F130))</x:f>
        <x:v>0</x:v>
      </x:c>
      <x:c r="P130" s="186" t="str">
        <x:f>IF(N130=0,"Paid",IF(O130&gt;0,IF(M130&gt;0,"Partially Paid - Overdue","Overdue"),IF(M130&gt;0,"Partially Paid","Open")))</x:f>
        <x:v>Paid</x:v>
      </x:c>
      <x:c r="Q130" s="187" t="str">
        <x:f>IF(N130=0,"Paid",IF(O130=0,"Current",IF(O130&lt;=30,"1-30 days",IF(O130&lt;=60,"31-60 days",IF(O130&lt;=90,"61-90 days","90+ days")))))</x:f>
        <x:v>Paid</x:v>
      </x:c>
    </x:row>
    <x:row r="131">
      <x:c r="A131" s="179" t="str">
        <x:v>INV-0127</x:v>
      </x:c>
      <x:c r="B131" s="180" t="str">
        <x:v>C007</x:v>
      </x:c>
      <x:c r="C131" s="180" t="str">
        <x:v>PeakFit Clubs</x:v>
      </x:c>
      <x:c r="D131" s="180" t="str">
        <x:v>Dashboard build</x:v>
      </x:c>
      <x:c r="E131" s="181" t="n">
        <x:v>46128</x:v>
      </x:c>
      <x:c r="F131" s="181" t="n">
        <x:v>46158</x:v>
      </x:c>
      <x:c r="G131" s="182" t="n">
        <x:v>1510.34</x:v>
      </x:c>
      <x:c r="H131" s="183" t="n">
        <x:v>0</x:v>
      </x:c>
      <x:c r="I131" s="182" t="n">
        <x:v>0</x:v>
      </x:c>
      <x:c r="J131" s="182" t="n">
        <x:v>1510.34</x:v>
      </x:c>
      <x:c r="K131" s="182" t="str">
        <x:v>Noah Reed</x:v>
      </x:c>
      <x:c r="L131" s="182" t="str">
        <x:v>noah@peakfit.example</x:v>
      </x:c>
      <x:c r="M131" s="184" t="n">
        <x:f>ROUND(SUMIF('Payment Log'!$B$5:$B$173,A131,'Payment Log'!$D$5:$D$173),2)</x:f>
        <x:v>1510.34</x:v>
      </x:c>
      <x:c r="N131" s="184" t="n">
        <x:f>ROUND(MAX(0,J131-M131),2)</x:f>
        <x:v>0</x:v>
      </x:c>
      <x:c r="O131" s="185" t="n">
        <x:f>IF(N131=0,0,MAX(0,'Checks'!$B$3-F131))</x:f>
        <x:v>0</x:v>
      </x:c>
      <x:c r="P131" s="186" t="str">
        <x:f>IF(N131=0,"Paid",IF(O131&gt;0,IF(M131&gt;0,"Partially Paid - Overdue","Overdue"),IF(M131&gt;0,"Partially Paid","Open")))</x:f>
        <x:v>Paid</x:v>
      </x:c>
      <x:c r="Q131" s="187" t="str">
        <x:f>IF(N131=0,"Paid",IF(O131=0,"Current",IF(O131&lt;=30,"1-30 days",IF(O131&lt;=60,"31-60 days",IF(O131&lt;=90,"61-90 days","90+ days")))))</x:f>
        <x:v>Paid</x:v>
      </x:c>
    </x:row>
    <x:row r="132">
      <x:c r="A132" s="179" t="str">
        <x:v>INV-0128</x:v>
      </x:c>
      <x:c r="B132" s="180" t="str">
        <x:v>C008</x:v>
      </x:c>
      <x:c r="C132" s="180" t="str">
        <x:v>GreenFork Catering</x:v>
      </x:c>
      <x:c r="D132" s="180" t="str">
        <x:v>Monthly reporting</x:v>
      </x:c>
      <x:c r="E132" s="181" t="n">
        <x:v>46130</x:v>
      </x:c>
      <x:c r="F132" s="181" t="n">
        <x:v>46144</x:v>
      </x:c>
      <x:c r="G132" s="182" t="n">
        <x:v>933.36</x:v>
      </x:c>
      <x:c r="H132" s="183" t="n">
        <x:v>0</x:v>
      </x:c>
      <x:c r="I132" s="182" t="n">
        <x:v>0</x:v>
      </x:c>
      <x:c r="J132" s="182" t="n">
        <x:v>933.36</x:v>
      </x:c>
      <x:c r="K132" s="182" t="str">
        <x:v>Ava Stone</x:v>
      </x:c>
      <x:c r="L132" s="182" t="str">
        <x:v>ava@greenfork.example</x:v>
      </x:c>
      <x:c r="M132" s="184" t="n">
        <x:f>ROUND(SUMIF('Payment Log'!$B$5:$B$173,A132,'Payment Log'!$D$5:$D$173),2)</x:f>
        <x:v>933.36</x:v>
      </x:c>
      <x:c r="N132" s="184" t="n">
        <x:f>ROUND(MAX(0,J132-M132),2)</x:f>
        <x:v>0</x:v>
      </x:c>
      <x:c r="O132" s="185" t="n">
        <x:f>IF(N132=0,0,MAX(0,'Checks'!$B$3-F132))</x:f>
        <x:v>0</x:v>
      </x:c>
      <x:c r="P132" s="186" t="str">
        <x:f>IF(N132=0,"Paid",IF(O132&gt;0,IF(M132&gt;0,"Partially Paid - Overdue","Overdue"),IF(M132&gt;0,"Partially Paid","Open")))</x:f>
        <x:v>Paid</x:v>
      </x:c>
      <x:c r="Q132" s="187" t="str">
        <x:f>IF(N132=0,"Paid",IF(O132=0,"Current",IF(O132&lt;=30,"1-30 days",IF(O132&lt;=60,"31-60 days",IF(O132&lt;=90,"61-90 days","90+ days")))))</x:f>
        <x:v>Paid</x:v>
      </x:c>
    </x:row>
    <x:row r="133">
      <x:c r="A133" s="179" t="str">
        <x:v>INV-0129</x:v>
      </x:c>
      <x:c r="B133" s="180" t="str">
        <x:v>C009</x:v>
      </x:c>
      <x:c r="C133" s="180" t="str">
        <x:v>Orbit SaaS Labs</x:v>
      </x:c>
      <x:c r="D133" s="180" t="str">
        <x:v>Data cleanup</x:v>
      </x:c>
      <x:c r="E133" s="181" t="n">
        <x:v>46132</x:v>
      </x:c>
      <x:c r="F133" s="181" t="n">
        <x:v>46162</x:v>
      </x:c>
      <x:c r="G133" s="182" t="n">
        <x:v>2815.36</x:v>
      </x:c>
      <x:c r="H133" s="183" t="n">
        <x:v>0</x:v>
      </x:c>
      <x:c r="I133" s="182" t="n">
        <x:v>0</x:v>
      </x:c>
      <x:c r="J133" s="182" t="n">
        <x:v>2815.36</x:v>
      </x:c>
      <x:c r="K133" s="182" t="str">
        <x:v>Leo Martin</x:v>
      </x:c>
      <x:c r="L133" s="182" t="str">
        <x:v>leo@orbit.example</x:v>
      </x:c>
      <x:c r="M133" s="184" t="n">
        <x:f>ROUND(SUMIF('Payment Log'!$B$5:$B$173,A133,'Payment Log'!$D$5:$D$173),2)</x:f>
        <x:v>2815.36</x:v>
      </x:c>
      <x:c r="N133" s="184" t="n">
        <x:f>ROUND(MAX(0,J133-M133),2)</x:f>
        <x:v>0</x:v>
      </x:c>
      <x:c r="O133" s="185" t="n">
        <x:f>IF(N133=0,0,MAX(0,'Checks'!$B$3-F133))</x:f>
        <x:v>0</x:v>
      </x:c>
      <x:c r="P133" s="186" t="str">
        <x:f>IF(N133=0,"Paid",IF(O133&gt;0,IF(M133&gt;0,"Partially Paid - Overdue","Overdue"),IF(M133&gt;0,"Partially Paid","Open")))</x:f>
        <x:v>Paid</x:v>
      </x:c>
      <x:c r="Q133" s="187" t="str">
        <x:f>IF(N133=0,"Paid",IF(O133=0,"Current",IF(O133&lt;=30,"1-30 days",IF(O133&lt;=60,"31-60 days",IF(O133&lt;=90,"61-90 days","90+ days")))))</x:f>
        <x:v>Paid</x:v>
      </x:c>
    </x:row>
    <x:row r="134">
      <x:c r="A134" s="179" t="str">
        <x:v>INV-0130</x:v>
      </x:c>
      <x:c r="B134" s="180" t="str">
        <x:v>C010</x:v>
      </x:c>
      <x:c r="C134" s="180" t="str">
        <x:v>Willow Events</x:v>
      </x:c>
      <x:c r="D134" s="180" t="str">
        <x:v>Automation setup</x:v>
      </x:c>
      <x:c r="E134" s="181" t="n">
        <x:v>46134</x:v>
      </x:c>
      <x:c r="F134" s="181" t="n">
        <x:v>46149</x:v>
      </x:c>
      <x:c r="G134" s="182" t="n">
        <x:v>1047.2</x:v>
      </x:c>
      <x:c r="H134" s="183" t="n">
        <x:v>0</x:v>
      </x:c>
      <x:c r="I134" s="182" t="n">
        <x:v>0</x:v>
      </x:c>
      <x:c r="J134" s="182" t="n">
        <x:v>1047.2</x:v>
      </x:c>
      <x:c r="K134" s="182" t="str">
        <x:v>Emma Hayes</x:v>
      </x:c>
      <x:c r="L134" s="182" t="str">
        <x:v>emma@willow.example</x:v>
      </x:c>
      <x:c r="M134" s="184" t="n">
        <x:f>ROUND(SUMIF('Payment Log'!$B$5:$B$173,A134,'Payment Log'!$D$5:$D$173),2)</x:f>
        <x:v>1047.2</x:v>
      </x:c>
      <x:c r="N134" s="184" t="n">
        <x:f>ROUND(MAX(0,J134-M134),2)</x:f>
        <x:v>0</x:v>
      </x:c>
      <x:c r="O134" s="185" t="n">
        <x:f>IF(N134=0,0,MAX(0,'Checks'!$B$3-F134))</x:f>
        <x:v>0</x:v>
      </x:c>
      <x:c r="P134" s="186" t="str">
        <x:f>IF(N134=0,"Paid",IF(O134&gt;0,IF(M134&gt;0,"Partially Paid - Overdue","Overdue"),IF(M134&gt;0,"Partially Paid","Open")))</x:f>
        <x:v>Paid</x:v>
      </x:c>
      <x:c r="Q134" s="187" t="str">
        <x:f>IF(N134=0,"Paid",IF(O134=0,"Current",IF(O134&lt;=30,"1-30 days",IF(O134&lt;=60,"31-60 days",IF(O134&lt;=90,"61-90 days","90+ days")))))</x:f>
        <x:v>Paid</x:v>
      </x:c>
    </x:row>
    <x:row r="135">
      <x:c r="A135" s="179" t="str">
        <x:v>INV-0131</x:v>
      </x:c>
      <x:c r="B135" s="180" t="str">
        <x:v>C011</x:v>
      </x:c>
      <x:c r="C135" s="180" t="str">
        <x:v>Copperline Consulting</x:v>
      </x:c>
      <x:c r="D135" s="180" t="str">
        <x:v>KPI analysis</x:v>
      </x:c>
      <x:c r="E135" s="181" t="n">
        <x:v>46136</x:v>
      </x:c>
      <x:c r="F135" s="181" t="n">
        <x:v>46166</x:v>
      </x:c>
      <x:c r="G135" s="182" t="n">
        <x:v>2123.41</x:v>
      </x:c>
      <x:c r="H135" s="183" t="n">
        <x:v>0.1</x:v>
      </x:c>
      <x:c r="I135" s="182" t="n">
        <x:v>212.34</x:v>
      </x:c>
      <x:c r="J135" s="182" t="n">
        <x:v>2335.75</x:v>
      </x:c>
      <x:c r="K135" s="182" t="str">
        <x:v>Iris Young</x:v>
      </x:c>
      <x:c r="L135" s="182" t="str">
        <x:v>iris@copperline.example</x:v>
      </x:c>
      <x:c r="M135" s="184" t="n">
        <x:f>ROUND(SUMIF('Payment Log'!$B$5:$B$173,A135,'Payment Log'!$D$5:$D$173),2)</x:f>
        <x:v>2335.75</x:v>
      </x:c>
      <x:c r="N135" s="184" t="n">
        <x:f>ROUND(MAX(0,J135-M135),2)</x:f>
        <x:v>0</x:v>
      </x:c>
      <x:c r="O135" s="185" t="n">
        <x:f>IF(N135=0,0,MAX(0,'Checks'!$B$3-F135))</x:f>
        <x:v>0</x:v>
      </x:c>
      <x:c r="P135" s="186" t="str">
        <x:f>IF(N135=0,"Paid",IF(O135&gt;0,IF(M135&gt;0,"Partially Paid - Overdue","Overdue"),IF(M135&gt;0,"Partially Paid","Open")))</x:f>
        <x:v>Paid</x:v>
      </x:c>
      <x:c r="Q135" s="187" t="str">
        <x:f>IF(N135=0,"Paid",IF(O135=0,"Current",IF(O135&lt;=30,"1-30 days",IF(O135&lt;=60,"31-60 days",IF(O135&lt;=90,"61-90 days","90+ days")))))</x:f>
        <x:v>Paid</x:v>
      </x:c>
    </x:row>
    <x:row r="136">
      <x:c r="A136" s="179" t="str">
        <x:v>INV-0132</x:v>
      </x:c>
      <x:c r="B136" s="180" t="str">
        <x:v>C012</x:v>
      </x:c>
      <x:c r="C136" s="180" t="str">
        <x:v>Bluebird Media</x:v>
      </x:c>
      <x:c r="D136" s="180" t="str">
        <x:v>Advisory retainer</x:v>
      </x:c>
      <x:c r="E136" s="181" t="n">
        <x:v>46138</x:v>
      </x:c>
      <x:c r="F136" s="181" t="n">
        <x:v>46159</x:v>
      </x:c>
      <x:c r="G136" s="182" t="n">
        <x:v>1705.84</x:v>
      </x:c>
      <x:c r="H136" s="183" t="n">
        <x:v>0</x:v>
      </x:c>
      <x:c r="I136" s="182" t="n">
        <x:v>0</x:v>
      </x:c>
      <x:c r="J136" s="182" t="n">
        <x:v>1705.84</x:v>
      </x:c>
      <x:c r="K136" s="182" t="str">
        <x:v>Theo King</x:v>
      </x:c>
      <x:c r="L136" s="182" t="str">
        <x:v>theo@bluebird.example</x:v>
      </x:c>
      <x:c r="M136" s="184" t="n">
        <x:f>ROUND(SUMIF('Payment Log'!$B$5:$B$173,A136,'Payment Log'!$D$5:$D$173),2)</x:f>
        <x:v>1705.84</x:v>
      </x:c>
      <x:c r="N136" s="184" t="n">
        <x:f>ROUND(MAX(0,J136-M136),2)</x:f>
        <x:v>0</x:v>
      </x:c>
      <x:c r="O136" s="185" t="n">
        <x:f>IF(N136=0,0,MAX(0,'Checks'!$B$3-F136))</x:f>
        <x:v>0</x:v>
      </x:c>
      <x:c r="P136" s="186" t="str">
        <x:f>IF(N136=0,"Paid",IF(O136&gt;0,IF(M136&gt;0,"Partially Paid - Overdue","Overdue"),IF(M136&gt;0,"Partially Paid","Open")))</x:f>
        <x:v>Paid</x:v>
      </x:c>
      <x:c r="Q136" s="187" t="str">
        <x:f>IF(N136=0,"Paid",IF(O136=0,"Current",IF(O136&lt;=30,"1-30 days",IF(O136&lt;=60,"31-60 days",IF(O136&lt;=90,"61-90 days","90+ days")))))</x:f>
        <x:v>Paid</x:v>
      </x:c>
    </x:row>
    <x:row r="137">
      <x:c r="A137" s="179" t="str">
        <x:v>INV-0133</x:v>
      </x:c>
      <x:c r="B137" s="180" t="str">
        <x:v>C001</x:v>
      </x:c>
      <x:c r="C137" s="180" t="str">
        <x:v>Northstar Creative</x:v>
      </x:c>
      <x:c r="D137" s="180" t="str">
        <x:v>Dashboard build</x:v>
      </x:c>
      <x:c r="E137" s="181" t="n">
        <x:v>46140</x:v>
      </x:c>
      <x:c r="F137" s="181" t="n">
        <x:v>46170</x:v>
      </x:c>
      <x:c r="G137" s="182" t="n">
        <x:v>2839.67</x:v>
      </x:c>
      <x:c r="H137" s="183" t="n">
        <x:v>0</x:v>
      </x:c>
      <x:c r="I137" s="182" t="n">
        <x:v>0</x:v>
      </x:c>
      <x:c r="J137" s="182" t="n">
        <x:v>2839.67</x:v>
      </x:c>
      <x:c r="K137" s="182" t="str">
        <x:v>Maya Chen</x:v>
      </x:c>
      <x:c r="L137" s="182" t="str">
        <x:v>maya@northstar.example</x:v>
      </x:c>
      <x:c r="M137" s="184" t="n">
        <x:f>ROUND(SUMIF('Payment Log'!$B$5:$B$173,A137,'Payment Log'!$D$5:$D$173),2)</x:f>
        <x:v>2839.67</x:v>
      </x:c>
      <x:c r="N137" s="184" t="n">
        <x:f>ROUND(MAX(0,J137-M137),2)</x:f>
        <x:v>0</x:v>
      </x:c>
      <x:c r="O137" s="185" t="n">
        <x:f>IF(N137=0,0,MAX(0,'Checks'!$B$3-F137))</x:f>
        <x:v>0</x:v>
      </x:c>
      <x:c r="P137" s="186" t="str">
        <x:f>IF(N137=0,"Paid",IF(O137&gt;0,IF(M137&gt;0,"Partially Paid - Overdue","Overdue"),IF(M137&gt;0,"Partially Paid","Open")))</x:f>
        <x:v>Paid</x:v>
      </x:c>
      <x:c r="Q137" s="187" t="str">
        <x:f>IF(N137=0,"Paid",IF(O137=0,"Current",IF(O137&lt;=30,"1-30 days",IF(O137&lt;=60,"31-60 days",IF(O137&lt;=90,"61-90 days","90+ days")))))</x:f>
        <x:v>Paid</x:v>
      </x:c>
    </x:row>
    <x:row r="138">
      <x:c r="A138" s="179" t="str">
        <x:v>INV-0134</x:v>
      </x:c>
      <x:c r="B138" s="180" t="str">
        <x:v>C002</x:v>
      </x:c>
      <x:c r="C138" s="180" t="str">
        <x:v>Lumen Health Studio</x:v>
      </x:c>
      <x:c r="D138" s="180" t="str">
        <x:v>Monthly reporting</x:v>
      </x:c>
      <x:c r="E138" s="181" t="n">
        <x:v>46142</x:v>
      </x:c>
      <x:c r="F138" s="181" t="n">
        <x:v>46157</x:v>
      </x:c>
      <x:c r="G138" s="182" t="n">
        <x:v>2053.93</x:v>
      </x:c>
      <x:c r="H138" s="183" t="n">
        <x:v>0</x:v>
      </x:c>
      <x:c r="I138" s="182" t="n">
        <x:v>0</x:v>
      </x:c>
      <x:c r="J138" s="182" t="n">
        <x:v>2053.93</x:v>
      </x:c>
      <x:c r="K138" s="182" t="str">
        <x:v>Elias Ward</x:v>
      </x:c>
      <x:c r="L138" s="182" t="str">
        <x:v>elias@lumen.example</x:v>
      </x:c>
      <x:c r="M138" s="184" t="n">
        <x:f>ROUND(SUMIF('Payment Log'!$B$5:$B$173,A138,'Payment Log'!$D$5:$D$173),2)</x:f>
        <x:v>2053.93</x:v>
      </x:c>
      <x:c r="N138" s="184" t="n">
        <x:f>ROUND(MAX(0,J138-M138),2)</x:f>
        <x:v>0</x:v>
      </x:c>
      <x:c r="O138" s="185" t="n">
        <x:f>IF(N138=0,0,MAX(0,'Checks'!$B$3-F138))</x:f>
        <x:v>0</x:v>
      </x:c>
      <x:c r="P138" s="186" t="str">
        <x:f>IF(N138=0,"Paid",IF(O138&gt;0,IF(M138&gt;0,"Partially Paid - Overdue","Overdue"),IF(M138&gt;0,"Partially Paid","Open")))</x:f>
        <x:v>Paid</x:v>
      </x:c>
      <x:c r="Q138" s="187" t="str">
        <x:f>IF(N138=0,"Paid",IF(O138=0,"Current",IF(O138&lt;=30,"1-30 days",IF(O138&lt;=60,"31-60 days",IF(O138&lt;=90,"61-90 days","90+ days")))))</x:f>
        <x:v>Paid</x:v>
      </x:c>
    </x:row>
    <x:row r="139">
      <x:c r="A139" s="179" t="str">
        <x:v>INV-0135</x:v>
      </x:c>
      <x:c r="B139" s="180" t="str">
        <x:v>C003</x:v>
      </x:c>
      <x:c r="C139" s="180" t="str">
        <x:v>Cedar &amp; Co. Retail</x:v>
      </x:c>
      <x:c r="D139" s="180" t="str">
        <x:v>Data cleanup</x:v>
      </x:c>
      <x:c r="E139" s="181" t="n">
        <x:v>46144</x:v>
      </x:c>
      <x:c r="F139" s="181" t="n">
        <x:v>46174</x:v>
      </x:c>
      <x:c r="G139" s="182" t="n">
        <x:v>2834.14</x:v>
      </x:c>
      <x:c r="H139" s="183" t="n">
        <x:v>0</x:v>
      </x:c>
      <x:c r="I139" s="182" t="n">
        <x:v>0</x:v>
      </x:c>
      <x:c r="J139" s="182" t="n">
        <x:v>2834.14</x:v>
      </x:c>
      <x:c r="K139" s="182" t="str">
        <x:v>Nora Patel</x:v>
      </x:c>
      <x:c r="L139" s="182" t="str">
        <x:v>nora@cedar.example</x:v>
      </x:c>
      <x:c r="M139" s="184" t="n">
        <x:f>ROUND(SUMIF('Payment Log'!$B$5:$B$173,A139,'Payment Log'!$D$5:$D$173),2)</x:f>
        <x:v>0</x:v>
      </x:c>
      <x:c r="N139" s="184" t="n">
        <x:f>ROUND(MAX(0,J139-M139),2)</x:f>
        <x:v>2834.14</x:v>
      </x:c>
      <x:c r="O139" s="185" t="n">
        <x:f>IF(N139=0,0,MAX(0,'Checks'!$B$3-F139))</x:f>
        <x:v>68</x:v>
      </x:c>
      <x:c r="P139" s="186" t="str">
        <x:f>IF(N139=0,"Paid",IF(O139&gt;0,IF(M139&gt;0,"Partially Paid - Overdue","Overdue"),IF(M139&gt;0,"Partially Paid","Open")))</x:f>
        <x:v>Overdue</x:v>
      </x:c>
      <x:c r="Q139" s="187" t="str">
        <x:f>IF(N139=0,"Paid",IF(O139=0,"Current",IF(O139&lt;=30,"1-30 days",IF(O139&lt;=60,"31-60 days",IF(O139&lt;=90,"61-90 days","90+ days")))))</x:f>
        <x:v>61-90 days</x:v>
      </x:c>
    </x:row>
    <x:row r="140">
      <x:c r="A140" s="179" t="str">
        <x:v>INV-0136</x:v>
      </x:c>
      <x:c r="B140" s="180" t="str">
        <x:v>C004</x:v>
      </x:c>
      <x:c r="C140" s="180" t="str">
        <x:v>Harbor Legal Partners</x:v>
      </x:c>
      <x:c r="D140" s="180" t="str">
        <x:v>Automation setup</x:v>
      </x:c>
      <x:c r="E140" s="181" t="n">
        <x:v>46146</x:v>
      </x:c>
      <x:c r="F140" s="181" t="n">
        <x:v>46176</x:v>
      </x:c>
      <x:c r="G140" s="182" t="n">
        <x:v>899.98</x:v>
      </x:c>
      <x:c r="H140" s="183" t="n">
        <x:v>0.1</x:v>
      </x:c>
      <x:c r="I140" s="182" t="n">
        <x:v>90</x:v>
      </x:c>
      <x:c r="J140" s="182" t="n">
        <x:v>989.98</x:v>
      </x:c>
      <x:c r="K140" s="182" t="str">
        <x:v>Owen Brooks</x:v>
      </x:c>
      <x:c r="L140" s="182" t="str">
        <x:v>owen@harbor.example</x:v>
      </x:c>
      <x:c r="M140" s="184" t="n">
        <x:f>ROUND(SUMIF('Payment Log'!$B$5:$B$173,A140,'Payment Log'!$D$5:$D$173),2)</x:f>
        <x:v>989.98</x:v>
      </x:c>
      <x:c r="N140" s="184" t="n">
        <x:f>ROUND(MAX(0,J140-M140),2)</x:f>
        <x:v>0</x:v>
      </x:c>
      <x:c r="O140" s="185" t="n">
        <x:f>IF(N140=0,0,MAX(0,'Checks'!$B$3-F140))</x:f>
        <x:v>0</x:v>
      </x:c>
      <x:c r="P140" s="186" t="str">
        <x:f>IF(N140=0,"Paid",IF(O140&gt;0,IF(M140&gt;0,"Partially Paid - Overdue","Overdue"),IF(M140&gt;0,"Partially Paid","Open")))</x:f>
        <x:v>Paid</x:v>
      </x:c>
      <x:c r="Q140" s="187" t="str">
        <x:f>IF(N140=0,"Paid",IF(O140=0,"Current",IF(O140&lt;=30,"1-30 days",IF(O140&lt;=60,"31-60 days",IF(O140&lt;=90,"61-90 days","90+ days")))))</x:f>
        <x:v>Paid</x:v>
      </x:c>
    </x:row>
    <x:row r="141">
      <x:c r="A141" s="179" t="str">
        <x:v>INV-0137</x:v>
      </x:c>
      <x:c r="B141" s="180" t="str">
        <x:v>C005</x:v>
      </x:c>
      <x:c r="C141" s="180" t="str">
        <x:v>Atlas Property Group</x:v>
      </x:c>
      <x:c r="D141" s="180" t="str">
        <x:v>KPI analysis</x:v>
      </x:c>
      <x:c r="E141" s="181" t="n">
        <x:v>46148</x:v>
      </x:c>
      <x:c r="F141" s="181" t="n">
        <x:v>46169</x:v>
      </x:c>
      <x:c r="G141" s="182" t="n">
        <x:v>636.03</x:v>
      </x:c>
      <x:c r="H141" s="183" t="n">
        <x:v>0</x:v>
      </x:c>
      <x:c r="I141" s="182" t="n">
        <x:v>0</x:v>
      </x:c>
      <x:c r="J141" s="182" t="n">
        <x:v>636.03</x:v>
      </x:c>
      <x:c r="K141" s="182" t="str">
        <x:v>Sara Lin</x:v>
      </x:c>
      <x:c r="L141" s="182" t="str">
        <x:v>sara@atlas.example</x:v>
      </x:c>
      <x:c r="M141" s="184" t="n">
        <x:f>ROUND(SUMIF('Payment Log'!$B$5:$B$173,A141,'Payment Log'!$D$5:$D$173),2)</x:f>
        <x:v>636.03</x:v>
      </x:c>
      <x:c r="N141" s="184" t="n">
        <x:f>ROUND(MAX(0,J141-M141),2)</x:f>
        <x:v>0</x:v>
      </x:c>
      <x:c r="O141" s="185" t="n">
        <x:f>IF(N141=0,0,MAX(0,'Checks'!$B$3-F141))</x:f>
        <x:v>0</x:v>
      </x:c>
      <x:c r="P141" s="186" t="str">
        <x:f>IF(N141=0,"Paid",IF(O141&gt;0,IF(M141&gt;0,"Partially Paid - Overdue","Overdue"),IF(M141&gt;0,"Partially Paid","Open")))</x:f>
        <x:v>Paid</x:v>
      </x:c>
      <x:c r="Q141" s="187" t="str">
        <x:f>IF(N141=0,"Paid",IF(O141=0,"Current",IF(O141&lt;=30,"1-30 days",IF(O141&lt;=60,"31-60 days",IF(O141&lt;=90,"61-90 days","90+ days")))))</x:f>
        <x:v>Paid</x:v>
      </x:c>
    </x:row>
    <x:row r="142">
      <x:c r="A142" s="179" t="str">
        <x:v>INV-0138</x:v>
      </x:c>
      <x:c r="B142" s="180" t="str">
        <x:v>C006</x:v>
      </x:c>
      <x:c r="C142" s="180" t="str">
        <x:v>BrightPath Learning</x:v>
      </x:c>
      <x:c r="D142" s="180" t="str">
        <x:v>Advisory retainer</x:v>
      </x:c>
      <x:c r="E142" s="181" t="n">
        <x:v>46150</x:v>
      </x:c>
      <x:c r="F142" s="181" t="n">
        <x:v>46165</x:v>
      </x:c>
      <x:c r="G142" s="182" t="n">
        <x:v>2346.5</x:v>
      </x:c>
      <x:c r="H142" s="183" t="n">
        <x:v>0</x:v>
      </x:c>
      <x:c r="I142" s="182" t="n">
        <x:v>0</x:v>
      </x:c>
      <x:c r="J142" s="182" t="n">
        <x:v>2346.5</x:v>
      </x:c>
      <x:c r="K142" s="182" t="str">
        <x:v>Lina Costa</x:v>
      </x:c>
      <x:c r="L142" s="182" t="str">
        <x:v>lina@brightpath.example</x:v>
      </x:c>
      <x:c r="M142" s="184" t="n">
        <x:f>ROUND(SUMIF('Payment Log'!$B$5:$B$173,A142,'Payment Log'!$D$5:$D$173),2)</x:f>
        <x:v>2346.5</x:v>
      </x:c>
      <x:c r="N142" s="184" t="n">
        <x:f>ROUND(MAX(0,J142-M142),2)</x:f>
        <x:v>0</x:v>
      </x:c>
      <x:c r="O142" s="185" t="n">
        <x:f>IF(N142=0,0,MAX(0,'Checks'!$B$3-F142))</x:f>
        <x:v>0</x:v>
      </x:c>
      <x:c r="P142" s="186" t="str">
        <x:f>IF(N142=0,"Paid",IF(O142&gt;0,IF(M142&gt;0,"Partially Paid - Overdue","Overdue"),IF(M142&gt;0,"Partially Paid","Open")))</x:f>
        <x:v>Paid</x:v>
      </x:c>
      <x:c r="Q142" s="187" t="str">
        <x:f>IF(N142=0,"Paid",IF(O142=0,"Current",IF(O142&lt;=30,"1-30 days",IF(O142&lt;=60,"31-60 days",IF(O142&lt;=90,"61-90 days","90+ days")))))</x:f>
        <x:v>Paid</x:v>
      </x:c>
    </x:row>
    <x:row r="143">
      <x:c r="A143" s="179" t="str">
        <x:v>INV-0139</x:v>
      </x:c>
      <x:c r="B143" s="180" t="str">
        <x:v>C007</x:v>
      </x:c>
      <x:c r="C143" s="180" t="str">
        <x:v>PeakFit Clubs</x:v>
      </x:c>
      <x:c r="D143" s="180" t="str">
        <x:v>Dashboard build</x:v>
      </x:c>
      <x:c r="E143" s="181" t="n">
        <x:v>46152</x:v>
      </x:c>
      <x:c r="F143" s="181" t="n">
        <x:v>46182</x:v>
      </x:c>
      <x:c r="G143" s="182" t="n">
        <x:v>1910.56</x:v>
      </x:c>
      <x:c r="H143" s="183" t="n">
        <x:v>0</x:v>
      </x:c>
      <x:c r="I143" s="182" t="n">
        <x:v>0</x:v>
      </x:c>
      <x:c r="J143" s="182" t="n">
        <x:v>1910.56</x:v>
      </x:c>
      <x:c r="K143" s="182" t="str">
        <x:v>Noah Reed</x:v>
      </x:c>
      <x:c r="L143" s="182" t="str">
        <x:v>noah@peakfit.example</x:v>
      </x:c>
      <x:c r="M143" s="184" t="n">
        <x:f>ROUND(SUMIF('Payment Log'!$B$5:$B$173,A143,'Payment Log'!$D$5:$D$173),2)</x:f>
        <x:v>1247.53</x:v>
      </x:c>
      <x:c r="N143" s="184" t="n">
        <x:f>ROUND(MAX(0,J143-M143),2)</x:f>
        <x:v>663.03</x:v>
      </x:c>
      <x:c r="O143" s="185" t="n">
        <x:f>IF(N143=0,0,MAX(0,'Checks'!$B$3-F143))</x:f>
        <x:v>60</x:v>
      </x:c>
      <x:c r="P143" s="186" t="str">
        <x:f>IF(N143=0,"Paid",IF(O143&gt;0,IF(M143&gt;0,"Partially Paid - Overdue","Overdue"),IF(M143&gt;0,"Partially Paid","Open")))</x:f>
        <x:v>Partially Paid - Overdue</x:v>
      </x:c>
      <x:c r="Q143" s="187" t="str">
        <x:f>IF(N143=0,"Paid",IF(O143=0,"Current",IF(O143&lt;=30,"1-30 days",IF(O143&lt;=60,"31-60 days",IF(O143&lt;=90,"61-90 days","90+ days")))))</x:f>
        <x:v>31-60 days</x:v>
      </x:c>
    </x:row>
    <x:row r="144">
      <x:c r="A144" s="179" t="str">
        <x:v>INV-0140</x:v>
      </x:c>
      <x:c r="B144" s="180" t="str">
        <x:v>C008</x:v>
      </x:c>
      <x:c r="C144" s="180" t="str">
        <x:v>GreenFork Catering</x:v>
      </x:c>
      <x:c r="D144" s="180" t="str">
        <x:v>Monthly reporting</x:v>
      </x:c>
      <x:c r="E144" s="181" t="n">
        <x:v>46154</x:v>
      </x:c>
      <x:c r="F144" s="181" t="n">
        <x:v>46168</x:v>
      </x:c>
      <x:c r="G144" s="182" t="n">
        <x:v>942.95</x:v>
      </x:c>
      <x:c r="H144" s="183" t="n">
        <x:v>0</x:v>
      </x:c>
      <x:c r="I144" s="182" t="n">
        <x:v>0</x:v>
      </x:c>
      <x:c r="J144" s="182" t="n">
        <x:v>942.95</x:v>
      </x:c>
      <x:c r="K144" s="182" t="str">
        <x:v>Ava Stone</x:v>
      </x:c>
      <x:c r="L144" s="182" t="str">
        <x:v>ava@greenfork.example</x:v>
      </x:c>
      <x:c r="M144" s="184" t="n">
        <x:f>ROUND(SUMIF('Payment Log'!$B$5:$B$173,A144,'Payment Log'!$D$5:$D$173),2)</x:f>
        <x:v>942.95</x:v>
      </x:c>
      <x:c r="N144" s="184" t="n">
        <x:f>ROUND(MAX(0,J144-M144),2)</x:f>
        <x:v>0</x:v>
      </x:c>
      <x:c r="O144" s="185" t="n">
        <x:f>IF(N144=0,0,MAX(0,'Checks'!$B$3-F144))</x:f>
        <x:v>0</x:v>
      </x:c>
      <x:c r="P144" s="186" t="str">
        <x:f>IF(N144=0,"Paid",IF(O144&gt;0,IF(M144&gt;0,"Partially Paid - Overdue","Overdue"),IF(M144&gt;0,"Partially Paid","Open")))</x:f>
        <x:v>Paid</x:v>
      </x:c>
      <x:c r="Q144" s="187" t="str">
        <x:f>IF(N144=0,"Paid",IF(O144=0,"Current",IF(O144&lt;=30,"1-30 days",IF(O144&lt;=60,"31-60 days",IF(O144&lt;=90,"61-90 days","90+ days")))))</x:f>
        <x:v>Paid</x:v>
      </x:c>
    </x:row>
    <x:row r="145">
      <x:c r="A145" s="179" t="str">
        <x:v>INV-0141</x:v>
      </x:c>
      <x:c r="B145" s="180" t="str">
        <x:v>C009</x:v>
      </x:c>
      <x:c r="C145" s="180" t="str">
        <x:v>Orbit SaaS Labs</x:v>
      </x:c>
      <x:c r="D145" s="180" t="str">
        <x:v>Data cleanup</x:v>
      </x:c>
      <x:c r="E145" s="181" t="n">
        <x:v>46156</x:v>
      </x:c>
      <x:c r="F145" s="181" t="n">
        <x:v>46186</x:v>
      </x:c>
      <x:c r="G145" s="182" t="n">
        <x:v>2372.59</x:v>
      </x:c>
      <x:c r="H145" s="183" t="n">
        <x:v>0.1</x:v>
      </x:c>
      <x:c r="I145" s="182" t="n">
        <x:v>237.26</x:v>
      </x:c>
      <x:c r="J145" s="182" t="n">
        <x:v>2609.85</x:v>
      </x:c>
      <x:c r="K145" s="182" t="str">
        <x:v>Leo Martin</x:v>
      </x:c>
      <x:c r="L145" s="182" t="str">
        <x:v>leo@orbit.example</x:v>
      </x:c>
      <x:c r="M145" s="184" t="n">
        <x:f>ROUND(SUMIF('Payment Log'!$B$5:$B$173,A145,'Payment Log'!$D$5:$D$173),2)</x:f>
        <x:v>0</x:v>
      </x:c>
      <x:c r="N145" s="184" t="n">
        <x:f>ROUND(MAX(0,J145-M145),2)</x:f>
        <x:v>2609.85</x:v>
      </x:c>
      <x:c r="O145" s="185" t="n">
        <x:f>IF(N145=0,0,MAX(0,'Checks'!$B$3-F145))</x:f>
        <x:v>56</x:v>
      </x:c>
      <x:c r="P145" s="186" t="str">
        <x:f>IF(N145=0,"Paid",IF(O145&gt;0,IF(M145&gt;0,"Partially Paid - Overdue","Overdue"),IF(M145&gt;0,"Partially Paid","Open")))</x:f>
        <x:v>Overdue</x:v>
      </x:c>
      <x:c r="Q145" s="187" t="str">
        <x:f>IF(N145=0,"Paid",IF(O145=0,"Current",IF(O145&lt;=30,"1-30 days",IF(O145&lt;=60,"31-60 days",IF(O145&lt;=90,"61-90 days","90+ days")))))</x:f>
        <x:v>31-60 days</x:v>
      </x:c>
    </x:row>
    <x:row r="146">
      <x:c r="A146" s="179" t="str">
        <x:v>INV-0142</x:v>
      </x:c>
      <x:c r="B146" s="180" t="str">
        <x:v>C010</x:v>
      </x:c>
      <x:c r="C146" s="180" t="str">
        <x:v>Willow Events</x:v>
      </x:c>
      <x:c r="D146" s="180" t="str">
        <x:v>Automation setup</x:v>
      </x:c>
      <x:c r="E146" s="181" t="n">
        <x:v>46158</x:v>
      </x:c>
      <x:c r="F146" s="181" t="n">
        <x:v>46173</x:v>
      </x:c>
      <x:c r="G146" s="182" t="n">
        <x:v>2542.39</x:v>
      </x:c>
      <x:c r="H146" s="183" t="n">
        <x:v>0</x:v>
      </x:c>
      <x:c r="I146" s="182" t="n">
        <x:v>0</x:v>
      </x:c>
      <x:c r="J146" s="182" t="n">
        <x:v>2542.39</x:v>
      </x:c>
      <x:c r="K146" s="182" t="str">
        <x:v>Emma Hayes</x:v>
      </x:c>
      <x:c r="L146" s="182" t="str">
        <x:v>emma@willow.example</x:v>
      </x:c>
      <x:c r="M146" s="184" t="n">
        <x:f>ROUND(SUMIF('Payment Log'!$B$5:$B$173,A146,'Payment Log'!$D$5:$D$173),2)</x:f>
        <x:v>2542.39</x:v>
      </x:c>
      <x:c r="N146" s="184" t="n">
        <x:f>ROUND(MAX(0,J146-M146),2)</x:f>
        <x:v>0</x:v>
      </x:c>
      <x:c r="O146" s="185" t="n">
        <x:f>IF(N146=0,0,MAX(0,'Checks'!$B$3-F146))</x:f>
        <x:v>0</x:v>
      </x:c>
      <x:c r="P146" s="186" t="str">
        <x:f>IF(N146=0,"Paid",IF(O146&gt;0,IF(M146&gt;0,"Partially Paid - Overdue","Overdue"),IF(M146&gt;0,"Partially Paid","Open")))</x:f>
        <x:v>Paid</x:v>
      </x:c>
      <x:c r="Q146" s="187" t="str">
        <x:f>IF(N146=0,"Paid",IF(O146=0,"Current",IF(O146&lt;=30,"1-30 days",IF(O146&lt;=60,"31-60 days",IF(O146&lt;=90,"61-90 days","90+ days")))))</x:f>
        <x:v>Paid</x:v>
      </x:c>
    </x:row>
    <x:row r="147">
      <x:c r="A147" s="179" t="str">
        <x:v>INV-0143</x:v>
      </x:c>
      <x:c r="B147" s="180" t="str">
        <x:v>C011</x:v>
      </x:c>
      <x:c r="C147" s="180" t="str">
        <x:v>Copperline Consulting</x:v>
      </x:c>
      <x:c r="D147" s="180" t="str">
        <x:v>KPI analysis</x:v>
      </x:c>
      <x:c r="E147" s="181" t="n">
        <x:v>46160</x:v>
      </x:c>
      <x:c r="F147" s="181" t="n">
        <x:v>46190</x:v>
      </x:c>
      <x:c r="G147" s="182" t="n">
        <x:v>1790</x:v>
      </x:c>
      <x:c r="H147" s="183" t="n">
        <x:v>0</x:v>
      </x:c>
      <x:c r="I147" s="182" t="n">
        <x:v>0</x:v>
      </x:c>
      <x:c r="J147" s="182" t="n">
        <x:v>1790</x:v>
      </x:c>
      <x:c r="K147" s="182" t="str">
        <x:v>Iris Young</x:v>
      </x:c>
      <x:c r="L147" s="182" t="str">
        <x:v>iris@copperline.example</x:v>
      </x:c>
      <x:c r="M147" s="184" t="n">
        <x:f>ROUND(SUMIF('Payment Log'!$B$5:$B$173,A147,'Payment Log'!$D$5:$D$173),2)</x:f>
        <x:v>1790</x:v>
      </x:c>
      <x:c r="N147" s="184" t="n">
        <x:f>ROUND(MAX(0,J147-M147),2)</x:f>
        <x:v>0</x:v>
      </x:c>
      <x:c r="O147" s="185" t="n">
        <x:f>IF(N147=0,0,MAX(0,'Checks'!$B$3-F147))</x:f>
        <x:v>0</x:v>
      </x:c>
      <x:c r="P147" s="186" t="str">
        <x:f>IF(N147=0,"Paid",IF(O147&gt;0,IF(M147&gt;0,"Partially Paid - Overdue","Overdue"),IF(M147&gt;0,"Partially Paid","Open")))</x:f>
        <x:v>Paid</x:v>
      </x:c>
      <x:c r="Q147" s="187" t="str">
        <x:f>IF(N147=0,"Paid",IF(O147=0,"Current",IF(O147&lt;=30,"1-30 days",IF(O147&lt;=60,"31-60 days",IF(O147&lt;=90,"61-90 days","90+ days")))))</x:f>
        <x:v>Paid</x:v>
      </x:c>
    </x:row>
    <x:row r="148">
      <x:c r="A148" s="179" t="str">
        <x:v>INV-0144</x:v>
      </x:c>
      <x:c r="B148" s="180" t="str">
        <x:v>C012</x:v>
      </x:c>
      <x:c r="C148" s="180" t="str">
        <x:v>Bluebird Media</x:v>
      </x:c>
      <x:c r="D148" s="180" t="str">
        <x:v>Advisory retainer</x:v>
      </x:c>
      <x:c r="E148" s="181" t="n">
        <x:v>46162</x:v>
      </x:c>
      <x:c r="F148" s="181" t="n">
        <x:v>46183</x:v>
      </x:c>
      <x:c r="G148" s="182" t="n">
        <x:v>1587.86</x:v>
      </x:c>
      <x:c r="H148" s="183" t="n">
        <x:v>0</x:v>
      </x:c>
      <x:c r="I148" s="182" t="n">
        <x:v>0</x:v>
      </x:c>
      <x:c r="J148" s="182" t="n">
        <x:v>1587.86</x:v>
      </x:c>
      <x:c r="K148" s="182" t="str">
        <x:v>Theo King</x:v>
      </x:c>
      <x:c r="L148" s="182" t="str">
        <x:v>theo@bluebird.example</x:v>
      </x:c>
      <x:c r="M148" s="184" t="n">
        <x:f>ROUND(SUMIF('Payment Log'!$B$5:$B$173,A148,'Payment Log'!$D$5:$D$173),2)</x:f>
        <x:v>1146.67</x:v>
      </x:c>
      <x:c r="N148" s="184" t="n">
        <x:f>ROUND(MAX(0,J148-M148),2)</x:f>
        <x:v>441.19</x:v>
      </x:c>
      <x:c r="O148" s="185" t="n">
        <x:f>IF(N148=0,0,MAX(0,'Checks'!$B$3-F148))</x:f>
        <x:v>59</x:v>
      </x:c>
      <x:c r="P148" s="186" t="str">
        <x:f>IF(N148=0,"Paid",IF(O148&gt;0,IF(M148&gt;0,"Partially Paid - Overdue","Overdue"),IF(M148&gt;0,"Partially Paid","Open")))</x:f>
        <x:v>Partially Paid - Overdue</x:v>
      </x:c>
      <x:c r="Q148" s="187" t="str">
        <x:f>IF(N148=0,"Paid",IF(O148=0,"Current",IF(O148&lt;=30,"1-30 days",IF(O148&lt;=60,"31-60 days",IF(O148&lt;=90,"61-90 days","90+ days")))))</x:f>
        <x:v>31-60 days</x:v>
      </x:c>
    </x:row>
    <x:row r="149">
      <x:c r="A149" s="179" t="str">
        <x:v>INV-0145</x:v>
      </x:c>
      <x:c r="B149" s="180" t="str">
        <x:v>C001</x:v>
      </x:c>
      <x:c r="C149" s="180" t="str">
        <x:v>Northstar Creative</x:v>
      </x:c>
      <x:c r="D149" s="180" t="str">
        <x:v>Dashboard build</x:v>
      </x:c>
      <x:c r="E149" s="181" t="n">
        <x:v>46165</x:v>
      </x:c>
      <x:c r="F149" s="181" t="n">
        <x:v>46195</x:v>
      </x:c>
      <x:c r="G149" s="182" t="n">
        <x:v>2224.76</x:v>
      </x:c>
      <x:c r="H149" s="183" t="n">
        <x:v>0</x:v>
      </x:c>
      <x:c r="I149" s="182" t="n">
        <x:v>0</x:v>
      </x:c>
      <x:c r="J149" s="182" t="n">
        <x:v>2224.76</x:v>
      </x:c>
      <x:c r="K149" s="182" t="str">
        <x:v>Maya Chen</x:v>
      </x:c>
      <x:c r="L149" s="182" t="str">
        <x:v>maya@northstar.example</x:v>
      </x:c>
      <x:c r="M149" s="184" t="n">
        <x:f>ROUND(SUMIF('Payment Log'!$B$5:$B$173,A149,'Payment Log'!$D$5:$D$173),2)</x:f>
        <x:v>2224.76</x:v>
      </x:c>
      <x:c r="N149" s="184" t="n">
        <x:f>ROUND(MAX(0,J149-M149),2)</x:f>
        <x:v>0</x:v>
      </x:c>
      <x:c r="O149" s="185" t="n">
        <x:f>IF(N149=0,0,MAX(0,'Checks'!$B$3-F149))</x:f>
        <x:v>0</x:v>
      </x:c>
      <x:c r="P149" s="186" t="str">
        <x:f>IF(N149=0,"Paid",IF(O149&gt;0,IF(M149&gt;0,"Partially Paid - Overdue","Overdue"),IF(M149&gt;0,"Partially Paid","Open")))</x:f>
        <x:v>Paid</x:v>
      </x:c>
      <x:c r="Q149" s="187" t="str">
        <x:f>IF(N149=0,"Paid",IF(O149=0,"Current",IF(O149&lt;=30,"1-30 days",IF(O149&lt;=60,"31-60 days",IF(O149&lt;=90,"61-90 days","90+ days")))))</x:f>
        <x:v>Paid</x:v>
      </x:c>
    </x:row>
    <x:row r="150">
      <x:c r="A150" s="179" t="str">
        <x:v>INV-0146</x:v>
      </x:c>
      <x:c r="B150" s="180" t="str">
        <x:v>C002</x:v>
      </x:c>
      <x:c r="C150" s="180" t="str">
        <x:v>Lumen Health Studio</x:v>
      </x:c>
      <x:c r="D150" s="180" t="str">
        <x:v>Monthly reporting</x:v>
      </x:c>
      <x:c r="E150" s="181" t="n">
        <x:v>46167</x:v>
      </x:c>
      <x:c r="F150" s="181" t="n">
        <x:v>46182</x:v>
      </x:c>
      <x:c r="G150" s="182" t="n">
        <x:v>2608.64</x:v>
      </x:c>
      <x:c r="H150" s="183" t="n">
        <x:v>0.1</x:v>
      </x:c>
      <x:c r="I150" s="182" t="n">
        <x:v>260.86</x:v>
      </x:c>
      <x:c r="J150" s="182" t="n">
        <x:v>2869.5</x:v>
      </x:c>
      <x:c r="K150" s="182" t="str">
        <x:v>Elias Ward</x:v>
      </x:c>
      <x:c r="L150" s="182" t="str">
        <x:v>elias@lumen.example</x:v>
      </x:c>
      <x:c r="M150" s="184" t="n">
        <x:f>ROUND(SUMIF('Payment Log'!$B$5:$B$173,A150,'Payment Log'!$D$5:$D$173),2)</x:f>
        <x:v>2869.5</x:v>
      </x:c>
      <x:c r="N150" s="184" t="n">
        <x:f>ROUND(MAX(0,J150-M150),2)</x:f>
        <x:v>0</x:v>
      </x:c>
      <x:c r="O150" s="185" t="n">
        <x:f>IF(N150=0,0,MAX(0,'Checks'!$B$3-F150))</x:f>
        <x:v>0</x:v>
      </x:c>
      <x:c r="P150" s="186" t="str">
        <x:f>IF(N150=0,"Paid",IF(O150&gt;0,IF(M150&gt;0,"Partially Paid - Overdue","Overdue"),IF(M150&gt;0,"Partially Paid","Open")))</x:f>
        <x:v>Paid</x:v>
      </x:c>
      <x:c r="Q150" s="187" t="str">
        <x:f>IF(N150=0,"Paid",IF(O150=0,"Current",IF(O150&lt;=30,"1-30 days",IF(O150&lt;=60,"31-60 days",IF(O150&lt;=90,"61-90 days","90+ days")))))</x:f>
        <x:v>Paid</x:v>
      </x:c>
    </x:row>
    <x:row r="151">
      <x:c r="A151" s="179" t="str">
        <x:v>INV-0147</x:v>
      </x:c>
      <x:c r="B151" s="180" t="str">
        <x:v>C003</x:v>
      </x:c>
      <x:c r="C151" s="180" t="str">
        <x:v>Cedar &amp; Co. Retail</x:v>
      </x:c>
      <x:c r="D151" s="180" t="str">
        <x:v>Data cleanup</x:v>
      </x:c>
      <x:c r="E151" s="181" t="n">
        <x:v>46169</x:v>
      </x:c>
      <x:c r="F151" s="181" t="n">
        <x:v>46199</x:v>
      </x:c>
      <x:c r="G151" s="182" t="n">
        <x:v>1589.8</x:v>
      </x:c>
      <x:c r="H151" s="183" t="n">
        <x:v>0</x:v>
      </x:c>
      <x:c r="I151" s="182" t="n">
        <x:v>0</x:v>
      </x:c>
      <x:c r="J151" s="182" t="n">
        <x:v>1589.8</x:v>
      </x:c>
      <x:c r="K151" s="182" t="str">
        <x:v>Nora Patel</x:v>
      </x:c>
      <x:c r="L151" s="182" t="str">
        <x:v>nora@cedar.example</x:v>
      </x:c>
      <x:c r="M151" s="184" t="n">
        <x:f>ROUND(SUMIF('Payment Log'!$B$5:$B$173,A151,'Payment Log'!$D$5:$D$173),2)</x:f>
        <x:v>1589.8</x:v>
      </x:c>
      <x:c r="N151" s="184" t="n">
        <x:f>ROUND(MAX(0,J151-M151),2)</x:f>
        <x:v>0</x:v>
      </x:c>
      <x:c r="O151" s="185" t="n">
        <x:f>IF(N151=0,0,MAX(0,'Checks'!$B$3-F151))</x:f>
        <x:v>0</x:v>
      </x:c>
      <x:c r="P151" s="186" t="str">
        <x:f>IF(N151=0,"Paid",IF(O151&gt;0,IF(M151&gt;0,"Partially Paid - Overdue","Overdue"),IF(M151&gt;0,"Partially Paid","Open")))</x:f>
        <x:v>Paid</x:v>
      </x:c>
      <x:c r="Q151" s="187" t="str">
        <x:f>IF(N151=0,"Paid",IF(O151=0,"Current",IF(O151&lt;=30,"1-30 days",IF(O151&lt;=60,"31-60 days",IF(O151&lt;=90,"61-90 days","90+ days")))))</x:f>
        <x:v>Paid</x:v>
      </x:c>
    </x:row>
    <x:row r="152">
      <x:c r="A152" s="179" t="str">
        <x:v>INV-0148</x:v>
      </x:c>
      <x:c r="B152" s="180" t="str">
        <x:v>C004</x:v>
      </x:c>
      <x:c r="C152" s="180" t="str">
        <x:v>Harbor Legal Partners</x:v>
      </x:c>
      <x:c r="D152" s="180" t="str">
        <x:v>Automation setup</x:v>
      </x:c>
      <x:c r="E152" s="181" t="n">
        <x:v>46171</x:v>
      </x:c>
      <x:c r="F152" s="181" t="n">
        <x:v>46201</x:v>
      </x:c>
      <x:c r="G152" s="182" t="n">
        <x:v>2061.9</x:v>
      </x:c>
      <x:c r="H152" s="183" t="n">
        <x:v>0</x:v>
      </x:c>
      <x:c r="I152" s="182" t="n">
        <x:v>0</x:v>
      </x:c>
      <x:c r="J152" s="182" t="n">
        <x:v>2061.9</x:v>
      </x:c>
      <x:c r="K152" s="182" t="str">
        <x:v>Owen Brooks</x:v>
      </x:c>
      <x:c r="L152" s="182" t="str">
        <x:v>owen@harbor.example</x:v>
      </x:c>
      <x:c r="M152" s="184" t="n">
        <x:f>ROUND(SUMIF('Payment Log'!$B$5:$B$173,A152,'Payment Log'!$D$5:$D$173),2)</x:f>
        <x:v>0</x:v>
      </x:c>
      <x:c r="N152" s="184" t="n">
        <x:f>ROUND(MAX(0,J152-M152),2)</x:f>
        <x:v>2061.9</x:v>
      </x:c>
      <x:c r="O152" s="185" t="n">
        <x:f>IF(N152=0,0,MAX(0,'Checks'!$B$3-F152))</x:f>
        <x:v>41</x:v>
      </x:c>
      <x:c r="P152" s="186" t="str">
        <x:f>IF(N152=0,"Paid",IF(O152&gt;0,IF(M152&gt;0,"Partially Paid - Overdue","Overdue"),IF(M152&gt;0,"Partially Paid","Open")))</x:f>
        <x:v>Overdue</x:v>
      </x:c>
      <x:c r="Q152" s="187" t="str">
        <x:f>IF(N152=0,"Paid",IF(O152=0,"Current",IF(O152&lt;=30,"1-30 days",IF(O152&lt;=60,"31-60 days",IF(O152&lt;=90,"61-90 days","90+ days")))))</x:f>
        <x:v>31-60 days</x:v>
      </x:c>
    </x:row>
    <x:row r="153">
      <x:c r="A153" s="179" t="str">
        <x:v>INV-0149</x:v>
      </x:c>
      <x:c r="B153" s="180" t="str">
        <x:v>C005</x:v>
      </x:c>
      <x:c r="C153" s="180" t="str">
        <x:v>Atlas Property Group</x:v>
      </x:c>
      <x:c r="D153" s="180" t="str">
        <x:v>KPI analysis</x:v>
      </x:c>
      <x:c r="E153" s="181" t="n">
        <x:v>46173</x:v>
      </x:c>
      <x:c r="F153" s="181" t="n">
        <x:v>46194</x:v>
      </x:c>
      <x:c r="G153" s="182" t="n">
        <x:v>1822.94</x:v>
      </x:c>
      <x:c r="H153" s="183" t="n">
        <x:v>0</x:v>
      </x:c>
      <x:c r="I153" s="182" t="n">
        <x:v>0</x:v>
      </x:c>
      <x:c r="J153" s="182" t="n">
        <x:v>1822.94</x:v>
      </x:c>
      <x:c r="K153" s="182" t="str">
        <x:v>Sara Lin</x:v>
      </x:c>
      <x:c r="L153" s="182" t="str">
        <x:v>sara@atlas.example</x:v>
      </x:c>
      <x:c r="M153" s="184" t="n">
        <x:f>ROUND(SUMIF('Payment Log'!$B$5:$B$173,A153,'Payment Log'!$D$5:$D$173),2)</x:f>
        <x:v>0</x:v>
      </x:c>
      <x:c r="N153" s="184" t="n">
        <x:f>ROUND(MAX(0,J153-M153),2)</x:f>
        <x:v>1822.94</x:v>
      </x:c>
      <x:c r="O153" s="185" t="n">
        <x:f>IF(N153=0,0,MAX(0,'Checks'!$B$3-F153))</x:f>
        <x:v>48</x:v>
      </x:c>
      <x:c r="P153" s="186" t="str">
        <x:f>IF(N153=0,"Paid",IF(O153&gt;0,IF(M153&gt;0,"Partially Paid - Overdue","Overdue"),IF(M153&gt;0,"Partially Paid","Open")))</x:f>
        <x:v>Overdue</x:v>
      </x:c>
      <x:c r="Q153" s="187" t="str">
        <x:f>IF(N153=0,"Paid",IF(O153=0,"Current",IF(O153&lt;=30,"1-30 days",IF(O153&lt;=60,"31-60 days",IF(O153&lt;=90,"61-90 days","90+ days")))))</x:f>
        <x:v>31-60 days</x:v>
      </x:c>
    </x:row>
    <x:row r="154">
      <x:c r="A154" s="179" t="str">
        <x:v>INV-0150</x:v>
      </x:c>
      <x:c r="B154" s="180" t="str">
        <x:v>C006</x:v>
      </x:c>
      <x:c r="C154" s="180" t="str">
        <x:v>BrightPath Learning</x:v>
      </x:c>
      <x:c r="D154" s="180" t="str">
        <x:v>Advisory retainer</x:v>
      </x:c>
      <x:c r="E154" s="181" t="n">
        <x:v>46175</x:v>
      </x:c>
      <x:c r="F154" s="181" t="n">
        <x:v>46190</x:v>
      </x:c>
      <x:c r="G154" s="182" t="n">
        <x:v>729.13</x:v>
      </x:c>
      <x:c r="H154" s="183" t="n">
        <x:v>0</x:v>
      </x:c>
      <x:c r="I154" s="182" t="n">
        <x:v>0</x:v>
      </x:c>
      <x:c r="J154" s="182" t="n">
        <x:v>729.13</x:v>
      </x:c>
      <x:c r="K154" s="182" t="str">
        <x:v>Lina Costa</x:v>
      </x:c>
      <x:c r="L154" s="182" t="str">
        <x:v>lina@brightpath.example</x:v>
      </x:c>
      <x:c r="M154" s="184" t="n">
        <x:f>ROUND(SUMIF('Payment Log'!$B$5:$B$173,A154,'Payment Log'!$D$5:$D$173),2)</x:f>
        <x:v>729.13</x:v>
      </x:c>
      <x:c r="N154" s="184" t="n">
        <x:f>ROUND(MAX(0,J154-M154),2)</x:f>
        <x:v>0</x:v>
      </x:c>
      <x:c r="O154" s="185" t="n">
        <x:f>IF(N154=0,0,MAX(0,'Checks'!$B$3-F154))</x:f>
        <x:v>0</x:v>
      </x:c>
      <x:c r="P154" s="186" t="str">
        <x:f>IF(N154=0,"Paid",IF(O154&gt;0,IF(M154&gt;0,"Partially Paid - Overdue","Overdue"),IF(M154&gt;0,"Partially Paid","Open")))</x:f>
        <x:v>Paid</x:v>
      </x:c>
      <x:c r="Q154" s="187" t="str">
        <x:f>IF(N154=0,"Paid",IF(O154=0,"Current",IF(O154&lt;=30,"1-30 days",IF(O154&lt;=60,"31-60 days",IF(O154&lt;=90,"61-90 days","90+ days")))))</x:f>
        <x:v>Paid</x:v>
      </x:c>
    </x:row>
    <x:row r="155">
      <x:c r="A155" s="179" t="str">
        <x:v>INV-0151</x:v>
      </x:c>
      <x:c r="B155" s="180" t="str">
        <x:v>C007</x:v>
      </x:c>
      <x:c r="C155" s="180" t="str">
        <x:v>PeakFit Clubs</x:v>
      </x:c>
      <x:c r="D155" s="180" t="str">
        <x:v>Dashboard build</x:v>
      </x:c>
      <x:c r="E155" s="181" t="n">
        <x:v>46177</x:v>
      </x:c>
      <x:c r="F155" s="181" t="n">
        <x:v>46207</x:v>
      </x:c>
      <x:c r="G155" s="182" t="n">
        <x:v>940.07</x:v>
      </x:c>
      <x:c r="H155" s="183" t="n">
        <x:v>0.1</x:v>
      </x:c>
      <x:c r="I155" s="182" t="n">
        <x:v>94.01</x:v>
      </x:c>
      <x:c r="J155" s="182" t="n">
        <x:v>1034.08</x:v>
      </x:c>
      <x:c r="K155" s="182" t="str">
        <x:v>Noah Reed</x:v>
      </x:c>
      <x:c r="L155" s="182" t="str">
        <x:v>noah@peakfit.example</x:v>
      </x:c>
      <x:c r="M155" s="184" t="n">
        <x:f>ROUND(SUMIF('Payment Log'!$B$5:$B$173,A155,'Payment Log'!$D$5:$D$173),2)</x:f>
        <x:v>1034.08</x:v>
      </x:c>
      <x:c r="N155" s="184" t="n">
        <x:f>ROUND(MAX(0,J155-M155),2)</x:f>
        <x:v>0</x:v>
      </x:c>
      <x:c r="O155" s="185" t="n">
        <x:f>IF(N155=0,0,MAX(0,'Checks'!$B$3-F155))</x:f>
        <x:v>0</x:v>
      </x:c>
      <x:c r="P155" s="186" t="str">
        <x:f>IF(N155=0,"Paid",IF(O155&gt;0,IF(M155&gt;0,"Partially Paid - Overdue","Overdue"),IF(M155&gt;0,"Partially Paid","Open")))</x:f>
        <x:v>Paid</x:v>
      </x:c>
      <x:c r="Q155" s="187" t="str">
        <x:f>IF(N155=0,"Paid",IF(O155=0,"Current",IF(O155&lt;=30,"1-30 days",IF(O155&lt;=60,"31-60 days",IF(O155&lt;=90,"61-90 days","90+ days")))))</x:f>
        <x:v>Paid</x:v>
      </x:c>
    </x:row>
    <x:row r="156">
      <x:c r="A156" s="179" t="str">
        <x:v>INV-0152</x:v>
      </x:c>
      <x:c r="B156" s="180" t="str">
        <x:v>C008</x:v>
      </x:c>
      <x:c r="C156" s="180" t="str">
        <x:v>GreenFork Catering</x:v>
      </x:c>
      <x:c r="D156" s="180" t="str">
        <x:v>Monthly reporting</x:v>
      </x:c>
      <x:c r="E156" s="181" t="n">
        <x:v>46179</x:v>
      </x:c>
      <x:c r="F156" s="181" t="n">
        <x:v>46193</x:v>
      </x:c>
      <x:c r="G156" s="182" t="n">
        <x:v>851.81</x:v>
      </x:c>
      <x:c r="H156" s="183" t="n">
        <x:v>0</x:v>
      </x:c>
      <x:c r="I156" s="182" t="n">
        <x:v>0</x:v>
      </x:c>
      <x:c r="J156" s="182" t="n">
        <x:v>851.81</x:v>
      </x:c>
      <x:c r="K156" s="182" t="str">
        <x:v>Ava Stone</x:v>
      </x:c>
      <x:c r="L156" s="182" t="str">
        <x:v>ava@greenfork.example</x:v>
      </x:c>
      <x:c r="M156" s="184" t="n">
        <x:f>ROUND(SUMIF('Payment Log'!$B$5:$B$173,A156,'Payment Log'!$D$5:$D$173),2)</x:f>
        <x:v>851.81</x:v>
      </x:c>
      <x:c r="N156" s="184" t="n">
        <x:f>ROUND(MAX(0,J156-M156),2)</x:f>
        <x:v>0</x:v>
      </x:c>
      <x:c r="O156" s="185" t="n">
        <x:f>IF(N156=0,0,MAX(0,'Checks'!$B$3-F156))</x:f>
        <x:v>0</x:v>
      </x:c>
      <x:c r="P156" s="186" t="str">
        <x:f>IF(N156=0,"Paid",IF(O156&gt;0,IF(M156&gt;0,"Partially Paid - Overdue","Overdue"),IF(M156&gt;0,"Partially Paid","Open")))</x:f>
        <x:v>Paid</x:v>
      </x:c>
      <x:c r="Q156" s="187" t="str">
        <x:f>IF(N156=0,"Paid",IF(O156=0,"Current",IF(O156&lt;=30,"1-30 days",IF(O156&lt;=60,"31-60 days",IF(O156&lt;=90,"61-90 days","90+ days")))))</x:f>
        <x:v>Paid</x:v>
      </x:c>
    </x:row>
    <x:row r="157">
      <x:c r="A157" s="179" t="str">
        <x:v>INV-0153</x:v>
      </x:c>
      <x:c r="B157" s="180" t="str">
        <x:v>C009</x:v>
      </x:c>
      <x:c r="C157" s="180" t="str">
        <x:v>Orbit SaaS Labs</x:v>
      </x:c>
      <x:c r="D157" s="180" t="str">
        <x:v>Data cleanup</x:v>
      </x:c>
      <x:c r="E157" s="181" t="n">
        <x:v>46181</x:v>
      </x:c>
      <x:c r="F157" s="181" t="n">
        <x:v>46211</x:v>
      </x:c>
      <x:c r="G157" s="182" t="n">
        <x:v>2899.88</x:v>
      </x:c>
      <x:c r="H157" s="183" t="n">
        <x:v>0</x:v>
      </x:c>
      <x:c r="I157" s="182" t="n">
        <x:v>0</x:v>
      </x:c>
      <x:c r="J157" s="182" t="n">
        <x:v>2899.88</x:v>
      </x:c>
      <x:c r="K157" s="182" t="str">
        <x:v>Leo Martin</x:v>
      </x:c>
      <x:c r="L157" s="182" t="str">
        <x:v>leo@orbit.example</x:v>
      </x:c>
      <x:c r="M157" s="184" t="n">
        <x:f>ROUND(SUMIF('Payment Log'!$B$5:$B$173,A157,'Payment Log'!$D$5:$D$173),2)</x:f>
        <x:v>0</x:v>
      </x:c>
      <x:c r="N157" s="184" t="n">
        <x:f>ROUND(MAX(0,J157-M157),2)</x:f>
        <x:v>2899.88</x:v>
      </x:c>
      <x:c r="O157" s="185" t="n">
        <x:f>IF(N157=0,0,MAX(0,'Checks'!$B$3-F157))</x:f>
        <x:v>31</x:v>
      </x:c>
      <x:c r="P157" s="186" t="str">
        <x:f>IF(N157=0,"Paid",IF(O157&gt;0,IF(M157&gt;0,"Partially Paid - Overdue","Overdue"),IF(M157&gt;0,"Partially Paid","Open")))</x:f>
        <x:v>Overdue</x:v>
      </x:c>
      <x:c r="Q157" s="187" t="str">
        <x:f>IF(N157=0,"Paid",IF(O157=0,"Current",IF(O157&lt;=30,"1-30 days",IF(O157&lt;=60,"31-60 days",IF(O157&lt;=90,"61-90 days","90+ days")))))</x:f>
        <x:v>31-60 days</x:v>
      </x:c>
    </x:row>
    <x:row r="158">
      <x:c r="A158" s="179" t="str">
        <x:v>INV-0154</x:v>
      </x:c>
      <x:c r="B158" s="180" t="str">
        <x:v>C010</x:v>
      </x:c>
      <x:c r="C158" s="180" t="str">
        <x:v>Willow Events</x:v>
      </x:c>
      <x:c r="D158" s="180" t="str">
        <x:v>Automation setup</x:v>
      </x:c>
      <x:c r="E158" s="181" t="n">
        <x:v>46183</x:v>
      </x:c>
      <x:c r="F158" s="181" t="n">
        <x:v>46198</x:v>
      </x:c>
      <x:c r="G158" s="182" t="n">
        <x:v>2284.55</x:v>
      </x:c>
      <x:c r="H158" s="183" t="n">
        <x:v>0</x:v>
      </x:c>
      <x:c r="I158" s="182" t="n">
        <x:v>0</x:v>
      </x:c>
      <x:c r="J158" s="182" t="n">
        <x:v>2284.55</x:v>
      </x:c>
      <x:c r="K158" s="182" t="str">
        <x:v>Emma Hayes</x:v>
      </x:c>
      <x:c r="L158" s="182" t="str">
        <x:v>emma@willow.example</x:v>
      </x:c>
      <x:c r="M158" s="184" t="n">
        <x:f>ROUND(SUMIF('Payment Log'!$B$5:$B$173,A158,'Payment Log'!$D$5:$D$173),2)</x:f>
        <x:v>2284.55</x:v>
      </x:c>
      <x:c r="N158" s="184" t="n">
        <x:f>ROUND(MAX(0,J158-M158),2)</x:f>
        <x:v>0</x:v>
      </x:c>
      <x:c r="O158" s="185" t="n">
        <x:f>IF(N158=0,0,MAX(0,'Checks'!$B$3-F158))</x:f>
        <x:v>0</x:v>
      </x:c>
      <x:c r="P158" s="186" t="str">
        <x:f>IF(N158=0,"Paid",IF(O158&gt;0,IF(M158&gt;0,"Partially Paid - Overdue","Overdue"),IF(M158&gt;0,"Partially Paid","Open")))</x:f>
        <x:v>Paid</x:v>
      </x:c>
      <x:c r="Q158" s="187" t="str">
        <x:f>IF(N158=0,"Paid",IF(O158=0,"Current",IF(O158&lt;=30,"1-30 days",IF(O158&lt;=60,"31-60 days",IF(O158&lt;=90,"61-90 days","90+ days")))))</x:f>
        <x:v>Paid</x:v>
      </x:c>
    </x:row>
    <x:row r="159">
      <x:c r="A159" s="179" t="str">
        <x:v>INV-0155</x:v>
      </x:c>
      <x:c r="B159" s="180" t="str">
        <x:v>C011</x:v>
      </x:c>
      <x:c r="C159" s="180" t="str">
        <x:v>Copperline Consulting</x:v>
      </x:c>
      <x:c r="D159" s="180" t="str">
        <x:v>KPI analysis</x:v>
      </x:c>
      <x:c r="E159" s="181" t="n">
        <x:v>46185</x:v>
      </x:c>
      <x:c r="F159" s="181" t="n">
        <x:v>46215</x:v>
      </x:c>
      <x:c r="G159" s="182" t="n">
        <x:v>1189.17</x:v>
      </x:c>
      <x:c r="H159" s="183" t="n">
        <x:v>0</x:v>
      </x:c>
      <x:c r="I159" s="182" t="n">
        <x:v>0</x:v>
      </x:c>
      <x:c r="J159" s="182" t="n">
        <x:v>1189.17</x:v>
      </x:c>
      <x:c r="K159" s="182" t="str">
        <x:v>Iris Young</x:v>
      </x:c>
      <x:c r="L159" s="182" t="str">
        <x:v>iris@copperline.example</x:v>
      </x:c>
      <x:c r="M159" s="184" t="n">
        <x:f>ROUND(SUMIF('Payment Log'!$B$5:$B$173,A159,'Payment Log'!$D$5:$D$173),2)</x:f>
        <x:v>1189.17</x:v>
      </x:c>
      <x:c r="N159" s="184" t="n">
        <x:f>ROUND(MAX(0,J159-M159),2)</x:f>
        <x:v>0</x:v>
      </x:c>
      <x:c r="O159" s="185" t="n">
        <x:f>IF(N159=0,0,MAX(0,'Checks'!$B$3-F159))</x:f>
        <x:v>0</x:v>
      </x:c>
      <x:c r="P159" s="186" t="str">
        <x:f>IF(N159=0,"Paid",IF(O159&gt;0,IF(M159&gt;0,"Partially Paid - Overdue","Overdue"),IF(M159&gt;0,"Partially Paid","Open")))</x:f>
        <x:v>Paid</x:v>
      </x:c>
      <x:c r="Q159" s="187" t="str">
        <x:f>IF(N159=0,"Paid",IF(O159=0,"Current",IF(O159&lt;=30,"1-30 days",IF(O159&lt;=60,"31-60 days",IF(O159&lt;=90,"61-90 days","90+ days")))))</x:f>
        <x:v>Paid</x:v>
      </x:c>
    </x:row>
    <x:row r="160">
      <x:c r="A160" s="179" t="str">
        <x:v>INV-0156</x:v>
      </x:c>
      <x:c r="B160" s="180" t="str">
        <x:v>C012</x:v>
      </x:c>
      <x:c r="C160" s="180" t="str">
        <x:v>Bluebird Media</x:v>
      </x:c>
      <x:c r="D160" s="180" t="str">
        <x:v>Advisory retainer</x:v>
      </x:c>
      <x:c r="E160" s="181" t="n">
        <x:v>46187</x:v>
      </x:c>
      <x:c r="F160" s="181" t="n">
        <x:v>46208</x:v>
      </x:c>
      <x:c r="G160" s="182" t="n">
        <x:v>1319.97</x:v>
      </x:c>
      <x:c r="H160" s="183" t="n">
        <x:v>0.1</x:v>
      </x:c>
      <x:c r="I160" s="182" t="n">
        <x:v>132</x:v>
      </x:c>
      <x:c r="J160" s="182" t="n">
        <x:v>1451.97</x:v>
      </x:c>
      <x:c r="K160" s="182" t="str">
        <x:v>Theo King</x:v>
      </x:c>
      <x:c r="L160" s="182" t="str">
        <x:v>theo@bluebird.example</x:v>
      </x:c>
      <x:c r="M160" s="184" t="n">
        <x:f>ROUND(SUMIF('Payment Log'!$B$5:$B$173,A160,'Payment Log'!$D$5:$D$173),2)</x:f>
        <x:v>0</x:v>
      </x:c>
      <x:c r="N160" s="184" t="n">
        <x:f>ROUND(MAX(0,J160-M160),2)</x:f>
        <x:v>1451.97</x:v>
      </x:c>
      <x:c r="O160" s="185" t="n">
        <x:f>IF(N160=0,0,MAX(0,'Checks'!$B$3-F160))</x:f>
        <x:v>34</x:v>
      </x:c>
      <x:c r="P160" s="186" t="str">
        <x:f>IF(N160=0,"Paid",IF(O160&gt;0,IF(M160&gt;0,"Partially Paid - Overdue","Overdue"),IF(M160&gt;0,"Partially Paid","Open")))</x:f>
        <x:v>Overdue</x:v>
      </x:c>
      <x:c r="Q160" s="187" t="str">
        <x:f>IF(N160=0,"Paid",IF(O160=0,"Current",IF(O160&lt;=30,"1-30 days",IF(O160&lt;=60,"31-60 days",IF(O160&lt;=90,"61-90 days","90+ days")))))</x:f>
        <x:v>31-60 days</x:v>
      </x:c>
    </x:row>
    <x:row r="161">
      <x:c r="A161" s="179" t="str">
        <x:v>INV-0157</x:v>
      </x:c>
      <x:c r="B161" s="180" t="str">
        <x:v>C001</x:v>
      </x:c>
      <x:c r="C161" s="180" t="str">
        <x:v>Northstar Creative</x:v>
      </x:c>
      <x:c r="D161" s="180" t="str">
        <x:v>Dashboard build</x:v>
      </x:c>
      <x:c r="E161" s="181" t="n">
        <x:v>46189</x:v>
      </x:c>
      <x:c r="F161" s="181" t="n">
        <x:v>46219</x:v>
      </x:c>
      <x:c r="G161" s="182" t="n">
        <x:v>1455.38</x:v>
      </x:c>
      <x:c r="H161" s="183" t="n">
        <x:v>0</x:v>
      </x:c>
      <x:c r="I161" s="182" t="n">
        <x:v>0</x:v>
      </x:c>
      <x:c r="J161" s="182" t="n">
        <x:v>1455.38</x:v>
      </x:c>
      <x:c r="K161" s="182" t="str">
        <x:v>Maya Chen</x:v>
      </x:c>
      <x:c r="L161" s="182" t="str">
        <x:v>maya@northstar.example</x:v>
      </x:c>
      <x:c r="M161" s="184" t="n">
        <x:f>ROUND(SUMIF('Payment Log'!$B$5:$B$173,A161,'Payment Log'!$D$5:$D$173),2)</x:f>
        <x:v>0</x:v>
      </x:c>
      <x:c r="N161" s="184" t="n">
        <x:f>ROUND(MAX(0,J161-M161),2)</x:f>
        <x:v>1455.38</x:v>
      </x:c>
      <x:c r="O161" s="185" t="n">
        <x:f>IF(N161=0,0,MAX(0,'Checks'!$B$3-F161))</x:f>
        <x:v>23</x:v>
      </x:c>
      <x:c r="P161" s="186" t="str">
        <x:f>IF(N161=0,"Paid",IF(O161&gt;0,IF(M161&gt;0,"Partially Paid - Overdue","Overdue"),IF(M161&gt;0,"Partially Paid","Open")))</x:f>
        <x:v>Overdue</x:v>
      </x:c>
      <x:c r="Q161" s="187" t="str">
        <x:f>IF(N161=0,"Paid",IF(O161=0,"Current",IF(O161&lt;=30,"1-30 days",IF(O161&lt;=60,"31-60 days",IF(O161&lt;=90,"61-90 days","90+ days")))))</x:f>
        <x:v>1-30 days</x:v>
      </x:c>
    </x:row>
    <x:row r="162">
      <x:c r="A162" s="179" t="str">
        <x:v>INV-0158</x:v>
      </x:c>
      <x:c r="B162" s="180" t="str">
        <x:v>C002</x:v>
      </x:c>
      <x:c r="C162" s="180" t="str">
        <x:v>Lumen Health Studio</x:v>
      </x:c>
      <x:c r="D162" s="180" t="str">
        <x:v>Monthly reporting</x:v>
      </x:c>
      <x:c r="E162" s="181" t="n">
        <x:v>46191</x:v>
      </x:c>
      <x:c r="F162" s="181" t="n">
        <x:v>46206</x:v>
      </x:c>
      <x:c r="G162" s="182" t="n">
        <x:v>783.61</x:v>
      </x:c>
      <x:c r="H162" s="183" t="n">
        <x:v>0</x:v>
      </x:c>
      <x:c r="I162" s="182" t="n">
        <x:v>0</x:v>
      </x:c>
      <x:c r="J162" s="182" t="n">
        <x:v>783.61</x:v>
      </x:c>
      <x:c r="K162" s="182" t="str">
        <x:v>Elias Ward</x:v>
      </x:c>
      <x:c r="L162" s="182" t="str">
        <x:v>elias@lumen.example</x:v>
      </x:c>
      <x:c r="M162" s="184" t="n">
        <x:f>ROUND(SUMIF('Payment Log'!$B$5:$B$173,A162,'Payment Log'!$D$5:$D$173),2)</x:f>
        <x:v>783.61</x:v>
      </x:c>
      <x:c r="N162" s="184" t="n">
        <x:f>ROUND(MAX(0,J162-M162),2)</x:f>
        <x:v>0</x:v>
      </x:c>
      <x:c r="O162" s="185" t="n">
        <x:f>IF(N162=0,0,MAX(0,'Checks'!$B$3-F162))</x:f>
        <x:v>0</x:v>
      </x:c>
      <x:c r="P162" s="186" t="str">
        <x:f>IF(N162=0,"Paid",IF(O162&gt;0,IF(M162&gt;0,"Partially Paid - Overdue","Overdue"),IF(M162&gt;0,"Partially Paid","Open")))</x:f>
        <x:v>Paid</x:v>
      </x:c>
      <x:c r="Q162" s="187" t="str">
        <x:f>IF(N162=0,"Paid",IF(O162=0,"Current",IF(O162&lt;=30,"1-30 days",IF(O162&lt;=60,"31-60 days",IF(O162&lt;=90,"61-90 days","90+ days")))))</x:f>
        <x:v>Paid</x:v>
      </x:c>
    </x:row>
    <x:row r="163">
      <x:c r="A163" s="179" t="str">
        <x:v>INV-0159</x:v>
      </x:c>
      <x:c r="B163" s="180" t="str">
        <x:v>C003</x:v>
      </x:c>
      <x:c r="C163" s="180" t="str">
        <x:v>Cedar &amp; Co. Retail</x:v>
      </x:c>
      <x:c r="D163" s="180" t="str">
        <x:v>Data cleanup</x:v>
      </x:c>
      <x:c r="E163" s="181" t="n">
        <x:v>46193</x:v>
      </x:c>
      <x:c r="F163" s="181" t="n">
        <x:v>46223</x:v>
      </x:c>
      <x:c r="G163" s="182" t="n">
        <x:v>2774.34</x:v>
      </x:c>
      <x:c r="H163" s="183" t="n">
        <x:v>0</x:v>
      </x:c>
      <x:c r="I163" s="182" t="n">
        <x:v>0</x:v>
      </x:c>
      <x:c r="J163" s="182" t="n">
        <x:v>2774.34</x:v>
      </x:c>
      <x:c r="K163" s="182" t="str">
        <x:v>Nora Patel</x:v>
      </x:c>
      <x:c r="L163" s="182" t="str">
        <x:v>nora@cedar.example</x:v>
      </x:c>
      <x:c r="M163" s="184" t="n">
        <x:f>ROUND(SUMIF('Payment Log'!$B$5:$B$173,A163,'Payment Log'!$D$5:$D$173),2)</x:f>
        <x:v>2774.34</x:v>
      </x:c>
      <x:c r="N163" s="184" t="n">
        <x:f>ROUND(MAX(0,J163-M163),2)</x:f>
        <x:v>0</x:v>
      </x:c>
      <x:c r="O163" s="185" t="n">
        <x:f>IF(N163=0,0,MAX(0,'Checks'!$B$3-F163))</x:f>
        <x:v>0</x:v>
      </x:c>
      <x:c r="P163" s="186" t="str">
        <x:f>IF(N163=0,"Paid",IF(O163&gt;0,IF(M163&gt;0,"Partially Paid - Overdue","Overdue"),IF(M163&gt;0,"Partially Paid","Open")))</x:f>
        <x:v>Paid</x:v>
      </x:c>
      <x:c r="Q163" s="187" t="str">
        <x:f>IF(N163=0,"Paid",IF(O163=0,"Current",IF(O163&lt;=30,"1-30 days",IF(O163&lt;=60,"31-60 days",IF(O163&lt;=90,"61-90 days","90+ days")))))</x:f>
        <x:v>Paid</x:v>
      </x:c>
    </x:row>
    <x:row r="164">
      <x:c r="A164" s="179" t="str">
        <x:v>INV-0160</x:v>
      </x:c>
      <x:c r="B164" s="180" t="str">
        <x:v>C004</x:v>
      </x:c>
      <x:c r="C164" s="180" t="str">
        <x:v>Harbor Legal Partners</x:v>
      </x:c>
      <x:c r="D164" s="180" t="str">
        <x:v>Automation setup</x:v>
      </x:c>
      <x:c r="E164" s="181" t="n">
        <x:v>46195</x:v>
      </x:c>
      <x:c r="F164" s="181" t="n">
        <x:v>46225</x:v>
      </x:c>
      <x:c r="G164" s="182" t="n">
        <x:v>2647.2</x:v>
      </x:c>
      <x:c r="H164" s="183" t="n">
        <x:v>0</x:v>
      </x:c>
      <x:c r="I164" s="182" t="n">
        <x:v>0</x:v>
      </x:c>
      <x:c r="J164" s="182" t="n">
        <x:v>2647.2</x:v>
      </x:c>
      <x:c r="K164" s="182" t="str">
        <x:v>Owen Brooks</x:v>
      </x:c>
      <x:c r="L164" s="182" t="str">
        <x:v>owen@harbor.example</x:v>
      </x:c>
      <x:c r="M164" s="184" t="n">
        <x:f>ROUND(SUMIF('Payment Log'!$B$5:$B$173,A164,'Payment Log'!$D$5:$D$173),2)</x:f>
        <x:v>2647.2</x:v>
      </x:c>
      <x:c r="N164" s="184" t="n">
        <x:f>ROUND(MAX(0,J164-M164),2)</x:f>
        <x:v>0</x:v>
      </x:c>
      <x:c r="O164" s="185" t="n">
        <x:f>IF(N164=0,0,MAX(0,'Checks'!$B$3-F164))</x:f>
        <x:v>0</x:v>
      </x:c>
      <x:c r="P164" s="186" t="str">
        <x:f>IF(N164=0,"Paid",IF(O164&gt;0,IF(M164&gt;0,"Partially Paid - Overdue","Overdue"),IF(M164&gt;0,"Partially Paid","Open")))</x:f>
        <x:v>Paid</x:v>
      </x:c>
      <x:c r="Q164" s="187" t="str">
        <x:f>IF(N164=0,"Paid",IF(O164=0,"Current",IF(O164&lt;=30,"1-30 days",IF(O164&lt;=60,"31-60 days",IF(O164&lt;=90,"61-90 days","90+ days")))))</x:f>
        <x:v>Paid</x:v>
      </x:c>
    </x:row>
    <x:row r="165">
      <x:c r="A165" s="179" t="str">
        <x:v>INV-0161</x:v>
      </x:c>
      <x:c r="B165" s="180" t="str">
        <x:v>C005</x:v>
      </x:c>
      <x:c r="C165" s="180" t="str">
        <x:v>Atlas Property Group</x:v>
      </x:c>
      <x:c r="D165" s="180" t="str">
        <x:v>KPI analysis</x:v>
      </x:c>
      <x:c r="E165" s="181" t="n">
        <x:v>46197</x:v>
      </x:c>
      <x:c r="F165" s="181" t="n">
        <x:v>46218</x:v>
      </x:c>
      <x:c r="G165" s="182" t="n">
        <x:v>931.6</x:v>
      </x:c>
      <x:c r="H165" s="183" t="n">
        <x:v>0.1</x:v>
      </x:c>
      <x:c r="I165" s="182" t="n">
        <x:v>93.16</x:v>
      </x:c>
      <x:c r="J165" s="182" t="n">
        <x:v>1024.76</x:v>
      </x:c>
      <x:c r="K165" s="182" t="str">
        <x:v>Sara Lin</x:v>
      </x:c>
      <x:c r="L165" s="182" t="str">
        <x:v>sara@atlas.example</x:v>
      </x:c>
      <x:c r="M165" s="184" t="n">
        <x:f>ROUND(SUMIF('Payment Log'!$B$5:$B$173,A165,'Payment Log'!$D$5:$D$173),2)</x:f>
        <x:v>1024.76</x:v>
      </x:c>
      <x:c r="N165" s="184" t="n">
        <x:f>ROUND(MAX(0,J165-M165),2)</x:f>
        <x:v>0</x:v>
      </x:c>
      <x:c r="O165" s="185" t="n">
        <x:f>IF(N165=0,0,MAX(0,'Checks'!$B$3-F165))</x:f>
        <x:v>0</x:v>
      </x:c>
      <x:c r="P165" s="186" t="str">
        <x:f>IF(N165=0,"Paid",IF(O165&gt;0,IF(M165&gt;0,"Partially Paid - Overdue","Overdue"),IF(M165&gt;0,"Partially Paid","Open")))</x:f>
        <x:v>Paid</x:v>
      </x:c>
      <x:c r="Q165" s="187" t="str">
        <x:f>IF(N165=0,"Paid",IF(O165=0,"Current",IF(O165&lt;=30,"1-30 days",IF(O165&lt;=60,"31-60 days",IF(O165&lt;=90,"61-90 days","90+ days")))))</x:f>
        <x:v>Paid</x:v>
      </x:c>
    </x:row>
    <x:row r="166">
      <x:c r="A166" s="179" t="str">
        <x:v>INV-0162</x:v>
      </x:c>
      <x:c r="B166" s="180" t="str">
        <x:v>C006</x:v>
      </x:c>
      <x:c r="C166" s="180" t="str">
        <x:v>BrightPath Learning</x:v>
      </x:c>
      <x:c r="D166" s="180" t="str">
        <x:v>Advisory retainer</x:v>
      </x:c>
      <x:c r="E166" s="181" t="n">
        <x:v>46199</x:v>
      </x:c>
      <x:c r="F166" s="181" t="n">
        <x:v>46214</x:v>
      </x:c>
      <x:c r="G166" s="182" t="n">
        <x:v>728.31</x:v>
      </x:c>
      <x:c r="H166" s="183" t="n">
        <x:v>0</x:v>
      </x:c>
      <x:c r="I166" s="182" t="n">
        <x:v>0</x:v>
      </x:c>
      <x:c r="J166" s="182" t="n">
        <x:v>728.31</x:v>
      </x:c>
      <x:c r="K166" s="182" t="str">
        <x:v>Lina Costa</x:v>
      </x:c>
      <x:c r="L166" s="182" t="str">
        <x:v>lina@brightpath.example</x:v>
      </x:c>
      <x:c r="M166" s="184" t="n">
        <x:f>ROUND(SUMIF('Payment Log'!$B$5:$B$173,A166,'Payment Log'!$D$5:$D$173),2)</x:f>
        <x:v>0</x:v>
      </x:c>
      <x:c r="N166" s="184" t="n">
        <x:f>ROUND(MAX(0,J166-M166),2)</x:f>
        <x:v>728.31</x:v>
      </x:c>
      <x:c r="O166" s="185" t="n">
        <x:f>IF(N166=0,0,MAX(0,'Checks'!$B$3-F166))</x:f>
        <x:v>28</x:v>
      </x:c>
      <x:c r="P166" s="186" t="str">
        <x:f>IF(N166=0,"Paid",IF(O166&gt;0,IF(M166&gt;0,"Partially Paid - Overdue","Overdue"),IF(M166&gt;0,"Partially Paid","Open")))</x:f>
        <x:v>Overdue</x:v>
      </x:c>
      <x:c r="Q166" s="187" t="str">
        <x:f>IF(N166=0,"Paid",IF(O166=0,"Current",IF(O166&lt;=30,"1-30 days",IF(O166&lt;=60,"31-60 days",IF(O166&lt;=90,"61-90 days","90+ days")))))</x:f>
        <x:v>1-30 days</x:v>
      </x:c>
    </x:row>
    <x:row r="167">
      <x:c r="A167" s="179" t="str">
        <x:v>INV-0163</x:v>
      </x:c>
      <x:c r="B167" s="180" t="str">
        <x:v>C007</x:v>
      </x:c>
      <x:c r="C167" s="180" t="str">
        <x:v>PeakFit Clubs</x:v>
      </x:c>
      <x:c r="D167" s="180" t="str">
        <x:v>Dashboard build</x:v>
      </x:c>
      <x:c r="E167" s="181" t="n">
        <x:v>46201</x:v>
      </x:c>
      <x:c r="F167" s="181" t="n">
        <x:v>46231</x:v>
      </x:c>
      <x:c r="G167" s="182" t="n">
        <x:v>2117.48</x:v>
      </x:c>
      <x:c r="H167" s="183" t="n">
        <x:v>0</x:v>
      </x:c>
      <x:c r="I167" s="182" t="n">
        <x:v>0</x:v>
      </x:c>
      <x:c r="J167" s="182" t="n">
        <x:v>2117.48</x:v>
      </x:c>
      <x:c r="K167" s="182" t="str">
        <x:v>Noah Reed</x:v>
      </x:c>
      <x:c r="L167" s="182" t="str">
        <x:v>noah@peakfit.example</x:v>
      </x:c>
      <x:c r="M167" s="184" t="n">
        <x:f>ROUND(SUMIF('Payment Log'!$B$5:$B$173,A167,'Payment Log'!$D$5:$D$173),2)</x:f>
        <x:v>2117.48</x:v>
      </x:c>
      <x:c r="N167" s="184" t="n">
        <x:f>ROUND(MAX(0,J167-M167),2)</x:f>
        <x:v>0</x:v>
      </x:c>
      <x:c r="O167" s="185" t="n">
        <x:f>IF(N167=0,0,MAX(0,'Checks'!$B$3-F167))</x:f>
        <x:v>0</x:v>
      </x:c>
      <x:c r="P167" s="186" t="str">
        <x:f>IF(N167=0,"Paid",IF(O167&gt;0,IF(M167&gt;0,"Partially Paid - Overdue","Overdue"),IF(M167&gt;0,"Partially Paid","Open")))</x:f>
        <x:v>Paid</x:v>
      </x:c>
      <x:c r="Q167" s="187" t="str">
        <x:f>IF(N167=0,"Paid",IF(O167=0,"Current",IF(O167&lt;=30,"1-30 days",IF(O167&lt;=60,"31-60 days",IF(O167&lt;=90,"61-90 days","90+ days")))))</x:f>
        <x:v>Paid</x:v>
      </x:c>
    </x:row>
    <x:row r="168">
      <x:c r="A168" s="179" t="str">
        <x:v>INV-0164</x:v>
      </x:c>
      <x:c r="B168" s="180" t="str">
        <x:v>C008</x:v>
      </x:c>
      <x:c r="C168" s="180" t="str">
        <x:v>GreenFork Catering</x:v>
      </x:c>
      <x:c r="D168" s="180" t="str">
        <x:v>Monthly reporting</x:v>
      </x:c>
      <x:c r="E168" s="181" t="n">
        <x:v>46203</x:v>
      </x:c>
      <x:c r="F168" s="181" t="n">
        <x:v>46217</x:v>
      </x:c>
      <x:c r="G168" s="182" t="n">
        <x:v>663.3</x:v>
      </x:c>
      <x:c r="H168" s="183" t="n">
        <x:v>0</x:v>
      </x:c>
      <x:c r="I168" s="182" t="n">
        <x:v>0</x:v>
      </x:c>
      <x:c r="J168" s="182" t="n">
        <x:v>663.3</x:v>
      </x:c>
      <x:c r="K168" s="182" t="str">
        <x:v>Ava Stone</x:v>
      </x:c>
      <x:c r="L168" s="182" t="str">
        <x:v>ava@greenfork.example</x:v>
      </x:c>
      <x:c r="M168" s="184" t="n">
        <x:f>ROUND(SUMIF('Payment Log'!$B$5:$B$173,A168,'Payment Log'!$D$5:$D$173),2)</x:f>
        <x:v>663.3</x:v>
      </x:c>
      <x:c r="N168" s="184" t="n">
        <x:f>ROUND(MAX(0,J168-M168),2)</x:f>
        <x:v>0</x:v>
      </x:c>
      <x:c r="O168" s="185" t="n">
        <x:f>IF(N168=0,0,MAX(0,'Checks'!$B$3-F168))</x:f>
        <x:v>0</x:v>
      </x:c>
      <x:c r="P168" s="186" t="str">
        <x:f>IF(N168=0,"Paid",IF(O168&gt;0,IF(M168&gt;0,"Partially Paid - Overdue","Overdue"),IF(M168&gt;0,"Partially Paid","Open")))</x:f>
        <x:v>Paid</x:v>
      </x:c>
      <x:c r="Q168" s="187" t="str">
        <x:f>IF(N168=0,"Paid",IF(O168=0,"Current",IF(O168&lt;=30,"1-30 days",IF(O168&lt;=60,"31-60 days",IF(O168&lt;=90,"61-90 days","90+ days")))))</x:f>
        <x:v>Paid</x:v>
      </x:c>
    </x:row>
    <x:row r="169">
      <x:c r="A169" s="179" t="str">
        <x:v>INV-0165</x:v>
      </x:c>
      <x:c r="B169" s="180" t="str">
        <x:v>C009</x:v>
      </x:c>
      <x:c r="C169" s="180" t="str">
        <x:v>Orbit SaaS Labs</x:v>
      </x:c>
      <x:c r="D169" s="180" t="str">
        <x:v>Data cleanup</x:v>
      </x:c>
      <x:c r="E169" s="181" t="n">
        <x:v>46205</x:v>
      </x:c>
      <x:c r="F169" s="181" t="n">
        <x:v>46235</x:v>
      </x:c>
      <x:c r="G169" s="182" t="n">
        <x:v>2545.59</x:v>
      </x:c>
      <x:c r="H169" s="183" t="n">
        <x:v>0</x:v>
      </x:c>
      <x:c r="I169" s="182" t="n">
        <x:v>0</x:v>
      </x:c>
      <x:c r="J169" s="182" t="n">
        <x:v>2545.59</x:v>
      </x:c>
      <x:c r="K169" s="182" t="str">
        <x:v>Leo Martin</x:v>
      </x:c>
      <x:c r="L169" s="182" t="str">
        <x:v>leo@orbit.example</x:v>
      </x:c>
      <x:c r="M169" s="184" t="n">
        <x:f>ROUND(SUMIF('Payment Log'!$B$5:$B$173,A169,'Payment Log'!$D$5:$D$173),2)</x:f>
        <x:v>1641.78</x:v>
      </x:c>
      <x:c r="N169" s="184" t="n">
        <x:f>ROUND(MAX(0,J169-M169),2)</x:f>
        <x:v>903.81</x:v>
      </x:c>
      <x:c r="O169" s="185" t="n">
        <x:f>IF(N169=0,0,MAX(0,'Checks'!$B$3-F169))</x:f>
        <x:v>7</x:v>
      </x:c>
      <x:c r="P169" s="186" t="str">
        <x:f>IF(N169=0,"Paid",IF(O169&gt;0,IF(M169&gt;0,"Partially Paid - Overdue","Overdue"),IF(M169&gt;0,"Partially Paid","Open")))</x:f>
        <x:v>Partially Paid - Overdue</x:v>
      </x:c>
      <x:c r="Q169" s="187" t="str">
        <x:f>IF(N169=0,"Paid",IF(O169=0,"Current",IF(O169&lt;=30,"1-30 days",IF(O169&lt;=60,"31-60 days",IF(O169&lt;=90,"61-90 days","90+ days")))))</x:f>
        <x:v>1-30 days</x:v>
      </x:c>
    </x:row>
    <x:row r="170">
      <x:c r="A170" s="179" t="str">
        <x:v>INV-0166</x:v>
      </x:c>
      <x:c r="B170" s="180" t="str">
        <x:v>C010</x:v>
      </x:c>
      <x:c r="C170" s="180" t="str">
        <x:v>Willow Events</x:v>
      </x:c>
      <x:c r="D170" s="180" t="str">
        <x:v>Automation setup</x:v>
      </x:c>
      <x:c r="E170" s="181" t="n">
        <x:v>46207</x:v>
      </x:c>
      <x:c r="F170" s="181" t="n">
        <x:v>46222</x:v>
      </x:c>
      <x:c r="G170" s="182" t="n">
        <x:v>1052.26</x:v>
      </x:c>
      <x:c r="H170" s="183" t="n">
        <x:v>0.1</x:v>
      </x:c>
      <x:c r="I170" s="182" t="n">
        <x:v>105.23</x:v>
      </x:c>
      <x:c r="J170" s="182" t="n">
        <x:v>1157.49</x:v>
      </x:c>
      <x:c r="K170" s="182" t="str">
        <x:v>Emma Hayes</x:v>
      </x:c>
      <x:c r="L170" s="182" t="str">
        <x:v>emma@willow.example</x:v>
      </x:c>
      <x:c r="M170" s="184" t="n">
        <x:f>ROUND(SUMIF('Payment Log'!$B$5:$B$173,A170,'Payment Log'!$D$5:$D$173),2)</x:f>
        <x:v>1157.49</x:v>
      </x:c>
      <x:c r="N170" s="184" t="n">
        <x:f>ROUND(MAX(0,J170-M170),2)</x:f>
        <x:v>0</x:v>
      </x:c>
      <x:c r="O170" s="185" t="n">
        <x:f>IF(N170=0,0,MAX(0,'Checks'!$B$3-F170))</x:f>
        <x:v>0</x:v>
      </x:c>
      <x:c r="P170" s="186" t="str">
        <x:f>IF(N170=0,"Paid",IF(O170&gt;0,IF(M170&gt;0,"Partially Paid - Overdue","Overdue"),IF(M170&gt;0,"Partially Paid","Open")))</x:f>
        <x:v>Paid</x:v>
      </x:c>
      <x:c r="Q170" s="187" t="str">
        <x:f>IF(N170=0,"Paid",IF(O170=0,"Current",IF(O170&lt;=30,"1-30 days",IF(O170&lt;=60,"31-60 days",IF(O170&lt;=90,"61-90 days","90+ days")))))</x:f>
        <x:v>Paid</x:v>
      </x:c>
    </x:row>
    <x:row r="171">
      <x:c r="A171" s="179" t="str">
        <x:v>INV-0167</x:v>
      </x:c>
      <x:c r="B171" s="180" t="str">
        <x:v>C011</x:v>
      </x:c>
      <x:c r="C171" s="180" t="str">
        <x:v>Copperline Consulting</x:v>
      </x:c>
      <x:c r="D171" s="180" t="str">
        <x:v>KPI analysis</x:v>
      </x:c>
      <x:c r="E171" s="181" t="n">
        <x:v>46209</x:v>
      </x:c>
      <x:c r="F171" s="181" t="n">
        <x:v>46239</x:v>
      </x:c>
      <x:c r="G171" s="182" t="n">
        <x:v>2872.76</x:v>
      </x:c>
      <x:c r="H171" s="183" t="n">
        <x:v>0</x:v>
      </x:c>
      <x:c r="I171" s="182" t="n">
        <x:v>0</x:v>
      </x:c>
      <x:c r="J171" s="182" t="n">
        <x:v>2872.76</x:v>
      </x:c>
      <x:c r="K171" s="182" t="str">
        <x:v>Iris Young</x:v>
      </x:c>
      <x:c r="L171" s="182" t="str">
        <x:v>iris@copperline.example</x:v>
      </x:c>
      <x:c r="M171" s="184" t="n">
        <x:f>ROUND(SUMIF('Payment Log'!$B$5:$B$173,A171,'Payment Log'!$D$5:$D$173),2)</x:f>
        <x:v>2872.76</x:v>
      </x:c>
      <x:c r="N171" s="184" t="n">
        <x:f>ROUND(MAX(0,J171-M171),2)</x:f>
        <x:v>0</x:v>
      </x:c>
      <x:c r="O171" s="185" t="n">
        <x:f>IF(N171=0,0,MAX(0,'Checks'!$B$3-F171))</x:f>
        <x:v>0</x:v>
      </x:c>
      <x:c r="P171" s="186" t="str">
        <x:f>IF(N171=0,"Paid",IF(O171&gt;0,IF(M171&gt;0,"Partially Paid - Overdue","Overdue"),IF(M171&gt;0,"Partially Paid","Open")))</x:f>
        <x:v>Paid</x:v>
      </x:c>
      <x:c r="Q171" s="187" t="str">
        <x:f>IF(N171=0,"Paid",IF(O171=0,"Current",IF(O171&lt;=30,"1-30 days",IF(O171&lt;=60,"31-60 days",IF(O171&lt;=90,"61-90 days","90+ days")))))</x:f>
        <x:v>Paid</x:v>
      </x:c>
    </x:row>
    <x:row r="172">
      <x:c r="A172" s="179" t="str">
        <x:v>INV-0168</x:v>
      </x:c>
      <x:c r="B172" s="180" t="str">
        <x:v>C012</x:v>
      </x:c>
      <x:c r="C172" s="180" t="str">
        <x:v>Bluebird Media</x:v>
      </x:c>
      <x:c r="D172" s="180" t="str">
        <x:v>Advisory retainer</x:v>
      </x:c>
      <x:c r="E172" s="181" t="n">
        <x:v>46211</x:v>
      </x:c>
      <x:c r="F172" s="181" t="n">
        <x:v>46232</x:v>
      </x:c>
      <x:c r="G172" s="182" t="n">
        <x:v>2876.01</x:v>
      </x:c>
      <x:c r="H172" s="183" t="n">
        <x:v>0</x:v>
      </x:c>
      <x:c r="I172" s="182" t="n">
        <x:v>0</x:v>
      </x:c>
      <x:c r="J172" s="182" t="n">
        <x:v>2876.01</x:v>
      </x:c>
      <x:c r="K172" s="182" t="str">
        <x:v>Theo King</x:v>
      </x:c>
      <x:c r="L172" s="182" t="str">
        <x:v>theo@bluebird.example</x:v>
      </x:c>
      <x:c r="M172" s="184" t="n">
        <x:f>ROUND(SUMIF('Payment Log'!$B$5:$B$173,A172,'Payment Log'!$D$5:$D$173),2)</x:f>
        <x:v>1793.03</x:v>
      </x:c>
      <x:c r="N172" s="184" t="n">
        <x:f>ROUND(MAX(0,J172-M172),2)</x:f>
        <x:v>1082.98</x:v>
      </x:c>
      <x:c r="O172" s="185" t="n">
        <x:f>IF(N172=0,0,MAX(0,'Checks'!$B$3-F172))</x:f>
        <x:v>10</x:v>
      </x:c>
      <x:c r="P172" s="186" t="str">
        <x:f>IF(N172=0,"Paid",IF(O172&gt;0,IF(M172&gt;0,"Partially Paid - Overdue","Overdue"),IF(M172&gt;0,"Partially Paid","Open")))</x:f>
        <x:v>Partially Paid - Overdue</x:v>
      </x:c>
      <x:c r="Q172" s="187" t="str">
        <x:f>IF(N172=0,"Paid",IF(O172=0,"Current",IF(O172&lt;=30,"1-30 days",IF(O172&lt;=60,"31-60 days",IF(O172&lt;=90,"61-90 days","90+ days")))))</x:f>
        <x:v>1-30 days</x:v>
      </x:c>
    </x:row>
    <x:row r="173">
      <x:c r="A173" s="179" t="str">
        <x:v>INV-0169</x:v>
      </x:c>
      <x:c r="B173" s="180" t="str">
        <x:v>C001</x:v>
      </x:c>
      <x:c r="C173" s="180" t="str">
        <x:v>Northstar Creative</x:v>
      </x:c>
      <x:c r="D173" s="180" t="str">
        <x:v>Dashboard build</x:v>
      </x:c>
      <x:c r="E173" s="181" t="n">
        <x:v>46213</x:v>
      </x:c>
      <x:c r="F173" s="181" t="n">
        <x:v>46243</x:v>
      </x:c>
      <x:c r="G173" s="182" t="n">
        <x:v>1354.15</x:v>
      </x:c>
      <x:c r="H173" s="183" t="n">
        <x:v>0</x:v>
      </x:c>
      <x:c r="I173" s="182" t="n">
        <x:v>0</x:v>
      </x:c>
      <x:c r="J173" s="182" t="n">
        <x:v>1354.15</x:v>
      </x:c>
      <x:c r="K173" s="182" t="str">
        <x:v>Maya Chen</x:v>
      </x:c>
      <x:c r="L173" s="182" t="str">
        <x:v>maya@northstar.example</x:v>
      </x:c>
      <x:c r="M173" s="184" t="n">
        <x:f>ROUND(SUMIF('Payment Log'!$B$5:$B$173,A173,'Payment Log'!$D$5:$D$173),2)</x:f>
        <x:v>1354.15</x:v>
      </x:c>
      <x:c r="N173" s="184" t="n">
        <x:f>ROUND(MAX(0,J173-M173),2)</x:f>
        <x:v>0</x:v>
      </x:c>
      <x:c r="O173" s="185" t="n">
        <x:f>IF(N173=0,0,MAX(0,'Checks'!$B$3-F173))</x:f>
        <x:v>0</x:v>
      </x:c>
      <x:c r="P173" s="186" t="str">
        <x:f>IF(N173=0,"Paid",IF(O173&gt;0,IF(M173&gt;0,"Partially Paid - Overdue","Overdue"),IF(M173&gt;0,"Partially Paid","Open")))</x:f>
        <x:v>Paid</x:v>
      </x:c>
      <x:c r="Q173" s="187" t="str">
        <x:f>IF(N173=0,"Paid",IF(O173=0,"Current",IF(O173&lt;=30,"1-30 days",IF(O173&lt;=60,"31-60 days",IF(O173&lt;=90,"61-90 days","90+ days")))))</x:f>
        <x:v>Paid</x:v>
      </x:c>
    </x:row>
    <x:row r="174">
      <x:c r="A174" s="179" t="str">
        <x:v>INV-0170</x:v>
      </x:c>
      <x:c r="B174" s="180" t="str">
        <x:v>C002</x:v>
      </x:c>
      <x:c r="C174" s="180" t="str">
        <x:v>Lumen Health Studio</x:v>
      </x:c>
      <x:c r="D174" s="180" t="str">
        <x:v>Monthly reporting</x:v>
      </x:c>
      <x:c r="E174" s="181" t="n">
        <x:v>46215</x:v>
      </x:c>
      <x:c r="F174" s="181" t="n">
        <x:v>46230</x:v>
      </x:c>
      <x:c r="G174" s="182" t="n">
        <x:v>1291.34</x:v>
      </x:c>
      <x:c r="H174" s="183" t="n">
        <x:v>0</x:v>
      </x:c>
      <x:c r="I174" s="182" t="n">
        <x:v>0</x:v>
      </x:c>
      <x:c r="J174" s="182" t="n">
        <x:v>1291.34</x:v>
      </x:c>
      <x:c r="K174" s="182" t="str">
        <x:v>Elias Ward</x:v>
      </x:c>
      <x:c r="L174" s="182" t="str">
        <x:v>elias@lumen.example</x:v>
      </x:c>
      <x:c r="M174" s="184" t="n">
        <x:f>ROUND(SUMIF('Payment Log'!$B$5:$B$173,A174,'Payment Log'!$D$5:$D$173),2)</x:f>
        <x:v>1291.34</x:v>
      </x:c>
      <x:c r="N174" s="184" t="n">
        <x:f>ROUND(MAX(0,J174-M174),2)</x:f>
        <x:v>0</x:v>
      </x:c>
      <x:c r="O174" s="185" t="n">
        <x:f>IF(N174=0,0,MAX(0,'Checks'!$B$3-F174))</x:f>
        <x:v>0</x:v>
      </x:c>
      <x:c r="P174" s="186" t="str">
        <x:f>IF(N174=0,"Paid",IF(O174&gt;0,IF(M174&gt;0,"Partially Paid - Overdue","Overdue"),IF(M174&gt;0,"Partially Paid","Open")))</x:f>
        <x:v>Paid</x:v>
      </x:c>
      <x:c r="Q174" s="187" t="str">
        <x:f>IF(N174=0,"Paid",IF(O174=0,"Current",IF(O174&lt;=30,"1-30 days",IF(O174&lt;=60,"31-60 days",IF(O174&lt;=90,"61-90 days","90+ days")))))</x:f>
        <x:v>Paid</x:v>
      </x:c>
    </x:row>
    <x:row r="175">
      <x:c r="A175" s="179" t="str">
        <x:v>INV-0171</x:v>
      </x:c>
      <x:c r="B175" s="180" t="str">
        <x:v>C003</x:v>
      </x:c>
      <x:c r="C175" s="180" t="str">
        <x:v>Cedar &amp; Co. Retail</x:v>
      </x:c>
      <x:c r="D175" s="180" t="str">
        <x:v>Data cleanup</x:v>
      </x:c>
      <x:c r="E175" s="181" t="n">
        <x:v>46217</x:v>
      </x:c>
      <x:c r="F175" s="181" t="n">
        <x:v>46247</x:v>
      </x:c>
      <x:c r="G175" s="182" t="n">
        <x:v>2420.4</x:v>
      </x:c>
      <x:c r="H175" s="183" t="n">
        <x:v>0.1</x:v>
      </x:c>
      <x:c r="I175" s="182" t="n">
        <x:v>242.04</x:v>
      </x:c>
      <x:c r="J175" s="182" t="n">
        <x:v>2662.44</x:v>
      </x:c>
      <x:c r="K175" s="182" t="str">
        <x:v>Nora Patel</x:v>
      </x:c>
      <x:c r="L175" s="182" t="str">
        <x:v>nora@cedar.example</x:v>
      </x:c>
      <x:c r="M175" s="184" t="n">
        <x:f>ROUND(SUMIF('Payment Log'!$B$5:$B$173,A175,'Payment Log'!$D$5:$D$173),2)</x:f>
        <x:v>2662.44</x:v>
      </x:c>
      <x:c r="N175" s="184" t="n">
        <x:f>ROUND(MAX(0,J175-M175),2)</x:f>
        <x:v>0</x:v>
      </x:c>
      <x:c r="O175" s="185" t="n">
        <x:f>IF(N175=0,0,MAX(0,'Checks'!$B$3-F175))</x:f>
        <x:v>0</x:v>
      </x:c>
      <x:c r="P175" s="186" t="str">
        <x:f>IF(N175=0,"Paid",IF(O175&gt;0,IF(M175&gt;0,"Partially Paid - Overdue","Overdue"),IF(M175&gt;0,"Partially Paid","Open")))</x:f>
        <x:v>Paid</x:v>
      </x:c>
      <x:c r="Q175" s="187" t="str">
        <x:f>IF(N175=0,"Paid",IF(O175=0,"Current",IF(O175&lt;=30,"1-30 days",IF(O175&lt;=60,"31-60 days",IF(O175&lt;=90,"61-90 days","90+ days")))))</x:f>
        <x:v>Paid</x:v>
      </x:c>
    </x:row>
    <x:row r="176">
      <x:c r="A176" s="179" t="str">
        <x:v>INV-0172</x:v>
      </x:c>
      <x:c r="B176" s="180" t="str">
        <x:v>C004</x:v>
      </x:c>
      <x:c r="C176" s="180" t="str">
        <x:v>Harbor Legal Partners</x:v>
      </x:c>
      <x:c r="D176" s="180" t="str">
        <x:v>Automation setup</x:v>
      </x:c>
      <x:c r="E176" s="181" t="n">
        <x:v>46219</x:v>
      </x:c>
      <x:c r="F176" s="181" t="n">
        <x:v>46249</x:v>
      </x:c>
      <x:c r="G176" s="182" t="n">
        <x:v>1924.95</x:v>
      </x:c>
      <x:c r="H176" s="183" t="n">
        <x:v>0</x:v>
      </x:c>
      <x:c r="I176" s="182" t="n">
        <x:v>0</x:v>
      </x:c>
      <x:c r="J176" s="182" t="n">
        <x:v>1924.95</x:v>
      </x:c>
      <x:c r="K176" s="182" t="str">
        <x:v>Owen Brooks</x:v>
      </x:c>
      <x:c r="L176" s="182" t="str">
        <x:v>owen@harbor.example</x:v>
      </x:c>
      <x:c r="M176" s="184" t="n">
        <x:f>ROUND(SUMIF('Payment Log'!$B$5:$B$173,A176,'Payment Log'!$D$5:$D$173),2)</x:f>
        <x:v>1924.95</x:v>
      </x:c>
      <x:c r="N176" s="184" t="n">
        <x:f>ROUND(MAX(0,J176-M176),2)</x:f>
        <x:v>0</x:v>
      </x:c>
      <x:c r="O176" s="185" t="n">
        <x:f>IF(N176=0,0,MAX(0,'Checks'!$B$3-F176))</x:f>
        <x:v>0</x:v>
      </x:c>
      <x:c r="P176" s="186" t="str">
        <x:f>IF(N176=0,"Paid",IF(O176&gt;0,IF(M176&gt;0,"Partially Paid - Overdue","Overdue"),IF(M176&gt;0,"Partially Paid","Open")))</x:f>
        <x:v>Paid</x:v>
      </x:c>
      <x:c r="Q176" s="187" t="str">
        <x:f>IF(N176=0,"Paid",IF(O176=0,"Current",IF(O176&lt;=30,"1-30 days",IF(O176&lt;=60,"31-60 days",IF(O176&lt;=90,"61-90 days","90+ days")))))</x:f>
        <x:v>Paid</x:v>
      </x:c>
    </x:row>
    <x:row r="177">
      <x:c r="A177" s="179" t="str">
        <x:v>INV-0173</x:v>
      </x:c>
      <x:c r="B177" s="180" t="str">
        <x:v>C005</x:v>
      </x:c>
      <x:c r="C177" s="180" t="str">
        <x:v>Atlas Property Group</x:v>
      </x:c>
      <x:c r="D177" s="180" t="str">
        <x:v>KPI analysis</x:v>
      </x:c>
      <x:c r="E177" s="181" t="n">
        <x:v>46221</x:v>
      </x:c>
      <x:c r="F177" s="181" t="n">
        <x:v>46242</x:v>
      </x:c>
      <x:c r="G177" s="182" t="n">
        <x:v>1592.68</x:v>
      </x:c>
      <x:c r="H177" s="183" t="n">
        <x:v>0</x:v>
      </x:c>
      <x:c r="I177" s="182" t="n">
        <x:v>0</x:v>
      </x:c>
      <x:c r="J177" s="182" t="n">
        <x:v>1592.68</x:v>
      </x:c>
      <x:c r="K177" s="182" t="str">
        <x:v>Sara Lin</x:v>
      </x:c>
      <x:c r="L177" s="182" t="str">
        <x:v>sara@atlas.example</x:v>
      </x:c>
      <x:c r="M177" s="184" t="n">
        <x:f>ROUND(SUMIF('Payment Log'!$B$5:$B$173,A177,'Payment Log'!$D$5:$D$173),2)</x:f>
        <x:v>1592.68</x:v>
      </x:c>
      <x:c r="N177" s="184" t="n">
        <x:f>ROUND(MAX(0,J177-M177),2)</x:f>
        <x:v>0</x:v>
      </x:c>
      <x:c r="O177" s="185" t="n">
        <x:f>IF(N177=0,0,MAX(0,'Checks'!$B$3-F177))</x:f>
        <x:v>0</x:v>
      </x:c>
      <x:c r="P177" s="186" t="str">
        <x:f>IF(N177=0,"Paid",IF(O177&gt;0,IF(M177&gt;0,"Partially Paid - Overdue","Overdue"),IF(M177&gt;0,"Partially Paid","Open")))</x:f>
        <x:v>Paid</x:v>
      </x:c>
      <x:c r="Q177" s="187" t="str">
        <x:f>IF(N177=0,"Paid",IF(O177=0,"Current",IF(O177&lt;=30,"1-30 days",IF(O177&lt;=60,"31-60 days",IF(O177&lt;=90,"61-90 days","90+ days")))))</x:f>
        <x:v>Paid</x:v>
      </x:c>
    </x:row>
    <x:row r="178">
      <x:c r="A178" s="179" t="str">
        <x:v>INV-0174</x:v>
      </x:c>
      <x:c r="B178" s="180" t="str">
        <x:v>C006</x:v>
      </x:c>
      <x:c r="C178" s="180" t="str">
        <x:v>BrightPath Learning</x:v>
      </x:c>
      <x:c r="D178" s="180" t="str">
        <x:v>Advisory retainer</x:v>
      </x:c>
      <x:c r="E178" s="181" t="n">
        <x:v>46223</x:v>
      </x:c>
      <x:c r="F178" s="181" t="n">
        <x:v>46238</x:v>
      </x:c>
      <x:c r="G178" s="182" t="n">
        <x:v>548.73</x:v>
      </x:c>
      <x:c r="H178" s="183" t="n">
        <x:v>0</x:v>
      </x:c>
      <x:c r="I178" s="182" t="n">
        <x:v>0</x:v>
      </x:c>
      <x:c r="J178" s="182" t="n">
        <x:v>548.73</x:v>
      </x:c>
      <x:c r="K178" s="182" t="str">
        <x:v>Lina Costa</x:v>
      </x:c>
      <x:c r="L178" s="182" t="str">
        <x:v>lina@brightpath.example</x:v>
      </x:c>
      <x:c r="M178" s="184" t="n">
        <x:f>ROUND(SUMIF('Payment Log'!$B$5:$B$173,A178,'Payment Log'!$D$5:$D$173),2)</x:f>
        <x:v>548.73</x:v>
      </x:c>
      <x:c r="N178" s="184" t="n">
        <x:f>ROUND(MAX(0,J178-M178),2)</x:f>
        <x:v>0</x:v>
      </x:c>
      <x:c r="O178" s="185" t="n">
        <x:f>IF(N178=0,0,MAX(0,'Checks'!$B$3-F178))</x:f>
        <x:v>0</x:v>
      </x:c>
      <x:c r="P178" s="186" t="str">
        <x:f>IF(N178=0,"Paid",IF(O178&gt;0,IF(M178&gt;0,"Partially Paid - Overdue","Overdue"),IF(M178&gt;0,"Partially Paid","Open")))</x:f>
        <x:v>Paid</x:v>
      </x:c>
      <x:c r="Q178" s="187" t="str">
        <x:f>IF(N178=0,"Paid",IF(O178=0,"Current",IF(O178&lt;=30,"1-30 days",IF(O178&lt;=60,"31-60 days",IF(O178&lt;=90,"61-90 days","90+ days")))))</x:f>
        <x:v>Paid</x:v>
      </x:c>
    </x:row>
    <x:row r="179">
      <x:c r="A179" s="179" t="str">
        <x:v>INV-0175</x:v>
      </x:c>
      <x:c r="B179" s="180" t="str">
        <x:v>C007</x:v>
      </x:c>
      <x:c r="C179" s="180" t="str">
        <x:v>PeakFit Clubs</x:v>
      </x:c>
      <x:c r="D179" s="180" t="str">
        <x:v>Dashboard build</x:v>
      </x:c>
      <x:c r="E179" s="181" t="n">
        <x:v>46225</x:v>
      </x:c>
      <x:c r="F179" s="181" t="n">
        <x:v>46255</x:v>
      </x:c>
      <x:c r="G179" s="182" t="n">
        <x:v>1016.49</x:v>
      </x:c>
      <x:c r="H179" s="183" t="n">
        <x:v>0</x:v>
      </x:c>
      <x:c r="I179" s="182" t="n">
        <x:v>0</x:v>
      </x:c>
      <x:c r="J179" s="182" t="n">
        <x:v>1016.49</x:v>
      </x:c>
      <x:c r="K179" s="182" t="str">
        <x:v>Noah Reed</x:v>
      </x:c>
      <x:c r="L179" s="182" t="str">
        <x:v>noah@peakfit.example</x:v>
      </x:c>
      <x:c r="M179" s="184" t="n">
        <x:f>ROUND(SUMIF('Payment Log'!$B$5:$B$173,A179,'Payment Log'!$D$5:$D$173),2)</x:f>
        <x:v>1016.49</x:v>
      </x:c>
      <x:c r="N179" s="184" t="n">
        <x:f>ROUND(MAX(0,J179-M179),2)</x:f>
        <x:v>0</x:v>
      </x:c>
      <x:c r="O179" s="185" t="n">
        <x:f>IF(N179=0,0,MAX(0,'Checks'!$B$3-F179))</x:f>
        <x:v>0</x:v>
      </x:c>
      <x:c r="P179" s="186" t="str">
        <x:f>IF(N179=0,"Paid",IF(O179&gt;0,IF(M179&gt;0,"Partially Paid - Overdue","Overdue"),IF(M179&gt;0,"Partially Paid","Open")))</x:f>
        <x:v>Paid</x:v>
      </x:c>
      <x:c r="Q179" s="187" t="str">
        <x:f>IF(N179=0,"Paid",IF(O179=0,"Current",IF(O179&lt;=30,"1-30 days",IF(O179&lt;=60,"31-60 days",IF(O179&lt;=90,"61-90 days","90+ days")))))</x:f>
        <x:v>Paid</x:v>
      </x:c>
    </x:row>
    <x:row r="180">
      <x:c r="A180" s="179" t="str">
        <x:v>INV-0176</x:v>
      </x:c>
      <x:c r="B180" s="180" t="str">
        <x:v>C008</x:v>
      </x:c>
      <x:c r="C180" s="180" t="str">
        <x:v>GreenFork Catering</x:v>
      </x:c>
      <x:c r="D180" s="180" t="str">
        <x:v>Monthly reporting</x:v>
      </x:c>
      <x:c r="E180" s="181" t="n">
        <x:v>46227</x:v>
      </x:c>
      <x:c r="F180" s="181" t="n">
        <x:v>46241</x:v>
      </x:c>
      <x:c r="G180" s="182" t="n">
        <x:v>1266.27</x:v>
      </x:c>
      <x:c r="H180" s="183" t="n">
        <x:v>0.1</x:v>
      </x:c>
      <x:c r="I180" s="182" t="n">
        <x:v>126.63</x:v>
      </x:c>
      <x:c r="J180" s="182" t="n">
        <x:v>1392.9</x:v>
      </x:c>
      <x:c r="K180" s="182" t="str">
        <x:v>Ava Stone</x:v>
      </x:c>
      <x:c r="L180" s="182" t="str">
        <x:v>ava@greenfork.example</x:v>
      </x:c>
      <x:c r="M180" s="184" t="n">
        <x:f>ROUND(SUMIF('Payment Log'!$B$5:$B$173,A180,'Payment Log'!$D$5:$D$173),2)</x:f>
        <x:v>1392.9</x:v>
      </x:c>
      <x:c r="N180" s="184" t="n">
        <x:f>ROUND(MAX(0,J180-M180),2)</x:f>
        <x:v>0</x:v>
      </x:c>
      <x:c r="O180" s="185" t="n">
        <x:f>IF(N180=0,0,MAX(0,'Checks'!$B$3-F180))</x:f>
        <x:v>0</x:v>
      </x:c>
      <x:c r="P180" s="186" t="str">
        <x:f>IF(N180=0,"Paid",IF(O180&gt;0,IF(M180&gt;0,"Partially Paid - Overdue","Overdue"),IF(M180&gt;0,"Partially Paid","Open")))</x:f>
        <x:v>Paid</x:v>
      </x:c>
      <x:c r="Q180" s="187" t="str">
        <x:f>IF(N180=0,"Paid",IF(O180=0,"Current",IF(O180&lt;=30,"1-30 days",IF(O180&lt;=60,"31-60 days",IF(O180&lt;=90,"61-90 days","90+ days")))))</x:f>
        <x:v>Paid</x:v>
      </x:c>
    </x:row>
    <x:row r="181">
      <x:c r="A181" s="179" t="str">
        <x:v>INV-0177</x:v>
      </x:c>
      <x:c r="B181" s="180" t="str">
        <x:v>C009</x:v>
      </x:c>
      <x:c r="C181" s="180" t="str">
        <x:v>Orbit SaaS Labs</x:v>
      </x:c>
      <x:c r="D181" s="180" t="str">
        <x:v>Data cleanup</x:v>
      </x:c>
      <x:c r="E181" s="181" t="n">
        <x:v>46229</x:v>
      </x:c>
      <x:c r="F181" s="181" t="n">
        <x:v>46259</x:v>
      </x:c>
      <x:c r="G181" s="182" t="n">
        <x:v>1974.33</x:v>
      </x:c>
      <x:c r="H181" s="183" t="n">
        <x:v>0</x:v>
      </x:c>
      <x:c r="I181" s="182" t="n">
        <x:v>0</x:v>
      </x:c>
      <x:c r="J181" s="182" t="n">
        <x:v>1974.33</x:v>
      </x:c>
      <x:c r="K181" s="182" t="str">
        <x:v>Leo Martin</x:v>
      </x:c>
      <x:c r="L181" s="182" t="str">
        <x:v>leo@orbit.example</x:v>
      </x:c>
      <x:c r="M181" s="184" t="n">
        <x:f>ROUND(SUMIF('Payment Log'!$B$5:$B$173,A181,'Payment Log'!$D$5:$D$173),2)</x:f>
        <x:v>1560.96</x:v>
      </x:c>
      <x:c r="N181" s="184" t="n">
        <x:f>ROUND(MAX(0,J181-M181),2)</x:f>
        <x:v>413.37</x:v>
      </x:c>
      <x:c r="O181" s="185" t="n">
        <x:f>IF(N181=0,0,MAX(0,'Checks'!$B$3-F181))</x:f>
        <x:v>0</x:v>
      </x:c>
      <x:c r="P181" s="186" t="str">
        <x:f>IF(N181=0,"Paid",IF(O181&gt;0,IF(M181&gt;0,"Partially Paid - Overdue","Overdue"),IF(M181&gt;0,"Partially Paid","Open")))</x:f>
        <x:v>Partially Paid</x:v>
      </x:c>
      <x:c r="Q181" s="187" t="str">
        <x:f>IF(N181=0,"Paid",IF(O181=0,"Current",IF(O181&lt;=30,"1-30 days",IF(O181&lt;=60,"31-60 days",IF(O181&lt;=90,"61-90 days","90+ days")))))</x:f>
        <x:v>Current</x:v>
      </x:c>
    </x:row>
    <x:row r="182">
      <x:c r="A182" s="179" t="str">
        <x:v>INV-0178</x:v>
      </x:c>
      <x:c r="B182" s="180" t="str">
        <x:v>C010</x:v>
      </x:c>
      <x:c r="C182" s="180" t="str">
        <x:v>Willow Events</x:v>
      </x:c>
      <x:c r="D182" s="180" t="str">
        <x:v>Automation setup</x:v>
      </x:c>
      <x:c r="E182" s="181" t="n">
        <x:v>46231</x:v>
      </x:c>
      <x:c r="F182" s="181" t="n">
        <x:v>46246</x:v>
      </x:c>
      <x:c r="G182" s="182" t="n">
        <x:v>1377.43</x:v>
      </x:c>
      <x:c r="H182" s="183" t="n">
        <x:v>0</x:v>
      </x:c>
      <x:c r="I182" s="182" t="n">
        <x:v>0</x:v>
      </x:c>
      <x:c r="J182" s="182" t="n">
        <x:v>1377.43</x:v>
      </x:c>
      <x:c r="K182" s="182" t="str">
        <x:v>Emma Hayes</x:v>
      </x:c>
      <x:c r="L182" s="182" t="str">
        <x:v>emma@willow.example</x:v>
      </x:c>
      <x:c r="M182" s="184" t="n">
        <x:f>ROUND(SUMIF('Payment Log'!$B$5:$B$173,A182,'Payment Log'!$D$5:$D$173),2)</x:f>
        <x:v>0</x:v>
      </x:c>
      <x:c r="N182" s="184" t="n">
        <x:f>ROUND(MAX(0,J182-M182),2)</x:f>
        <x:v>1377.43</x:v>
      </x:c>
      <x:c r="O182" s="185" t="n">
        <x:f>IF(N182=0,0,MAX(0,'Checks'!$B$3-F182))</x:f>
        <x:v>0</x:v>
      </x:c>
      <x:c r="P182" s="186" t="str">
        <x:f>IF(N182=0,"Paid",IF(O182&gt;0,IF(M182&gt;0,"Partially Paid - Overdue","Overdue"),IF(M182&gt;0,"Partially Paid","Open")))</x:f>
        <x:v>Open</x:v>
      </x:c>
      <x:c r="Q182" s="187" t="str">
        <x:f>IF(N182=0,"Paid",IF(O182=0,"Current",IF(O182&lt;=30,"1-30 days",IF(O182&lt;=60,"31-60 days",IF(O182&lt;=90,"61-90 days","90+ days")))))</x:f>
        <x:v>Current</x:v>
      </x:c>
    </x:row>
    <x:row r="183">
      <x:c r="A183" s="179" t="str">
        <x:v>INV-0179</x:v>
      </x:c>
      <x:c r="B183" s="180" t="str">
        <x:v>C011</x:v>
      </x:c>
      <x:c r="C183" s="180" t="str">
        <x:v>Copperline Consulting</x:v>
      </x:c>
      <x:c r="D183" s="180" t="str">
        <x:v>KPI analysis</x:v>
      </x:c>
      <x:c r="E183" s="181" t="n">
        <x:v>46233</x:v>
      </x:c>
      <x:c r="F183" s="181" t="n">
        <x:v>46263</x:v>
      </x:c>
      <x:c r="G183" s="182" t="n">
        <x:v>1941.65</x:v>
      </x:c>
      <x:c r="H183" s="183" t="n">
        <x:v>0</x:v>
      </x:c>
      <x:c r="I183" s="182" t="n">
        <x:v>0</x:v>
      </x:c>
      <x:c r="J183" s="182" t="n">
        <x:v>1941.65</x:v>
      </x:c>
      <x:c r="K183" s="182" t="str">
        <x:v>Iris Young</x:v>
      </x:c>
      <x:c r="L183" s="182" t="str">
        <x:v>iris@copperline.example</x:v>
      </x:c>
      <x:c r="M183" s="184" t="n">
        <x:f>ROUND(SUMIF('Payment Log'!$B$5:$B$173,A183,'Payment Log'!$D$5:$D$173),2)</x:f>
        <x:v>1941.65</x:v>
      </x:c>
      <x:c r="N183" s="184" t="n">
        <x:f>ROUND(MAX(0,J183-M183),2)</x:f>
        <x:v>0</x:v>
      </x:c>
      <x:c r="O183" s="185" t="n">
        <x:f>IF(N183=0,0,MAX(0,'Checks'!$B$3-F183))</x:f>
        <x:v>0</x:v>
      </x:c>
      <x:c r="P183" s="186" t="str">
        <x:f>IF(N183=0,"Paid",IF(O183&gt;0,IF(M183&gt;0,"Partially Paid - Overdue","Overdue"),IF(M183&gt;0,"Partially Paid","Open")))</x:f>
        <x:v>Paid</x:v>
      </x:c>
      <x:c r="Q183" s="187" t="str">
        <x:f>IF(N183=0,"Paid",IF(O183=0,"Current",IF(O183&lt;=30,"1-30 days",IF(O183&lt;=60,"31-60 days",IF(O183&lt;=90,"61-90 days","90+ days")))))</x:f>
        <x:v>Paid</x:v>
      </x:c>
    </x:row>
    <x:row r="184">
      <x:c r="A184" s="188" t="str">
        <x:v>INV-0180</x:v>
      </x:c>
      <x:c r="B184" s="189" t="str">
        <x:v>C012</x:v>
      </x:c>
      <x:c r="C184" s="189" t="str">
        <x:v>Bluebird Media</x:v>
      </x:c>
      <x:c r="D184" s="189" t="str">
        <x:v>Advisory retainer</x:v>
      </x:c>
      <x:c r="E184" s="190" t="n">
        <x:v>46235</x:v>
      </x:c>
      <x:c r="F184" s="190" t="n">
        <x:v>46256</x:v>
      </x:c>
      <x:c r="G184" s="191" t="n">
        <x:v>2303.63</x:v>
      </x:c>
      <x:c r="H184" s="192" t="n">
        <x:v>0</x:v>
      </x:c>
      <x:c r="I184" s="191" t="n">
        <x:v>0</x:v>
      </x:c>
      <x:c r="J184" s="191" t="n">
        <x:v>2303.63</x:v>
      </x:c>
      <x:c r="K184" s="191" t="str">
        <x:v>Theo King</x:v>
      </x:c>
      <x:c r="L184" s="191" t="str">
        <x:v>theo@bluebird.example</x:v>
      </x:c>
      <x:c r="M184" s="193" t="n">
        <x:f>ROUND(SUMIF('Payment Log'!$B$5:$B$173,A184,'Payment Log'!$D$5:$D$173),2)</x:f>
        <x:v>1254.13</x:v>
      </x:c>
      <x:c r="N184" s="193" t="n">
        <x:f>ROUND(MAX(0,J184-M184),2)</x:f>
        <x:v>1049.5</x:v>
      </x:c>
      <x:c r="O184" s="194" t="n">
        <x:f>IF(N184=0,0,MAX(0,'Checks'!$B$3-F184))</x:f>
        <x:v>0</x:v>
      </x:c>
      <x:c r="P184" s="195" t="str">
        <x:f>IF(N184=0,"Paid",IF(O184&gt;0,IF(M184&gt;0,"Partially Paid - Overdue","Overdue"),IF(M184&gt;0,"Partially Paid","Open")))</x:f>
        <x:v>Partially Paid</x:v>
      </x:c>
      <x:c r="Q184" s="196" t="str">
        <x:f>IF(N184=0,"Paid",IF(O184=0,"Current",IF(O184&lt;=30,"1-30 days",IF(O184&lt;=60,"31-60 days",IF(O184&lt;=90,"61-90 days","90+ days")))))</x:f>
        <x:v>Current</x:v>
      </x:c>
    </x:row>
  </x:sheetData>
  <x:mergeCells>
    <x:mergeCell ref="A1:Q1"/>
    <x:mergeCell ref="A2:L2"/>
  </x:mergeCells>
  <x:conditionalFormatting sqref="P5:P184">
    <x:cfRule type="containsText" dxfId="0" priority="1" operator="containsText" text="Overdu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8" hidden="0" customWidth="1"/>
    <x:col min="6" max="6" width="18" hidden="0" customWidth="1"/>
    <x:col min="7" max="7" width="18" hidden="0" customWidth="1"/>
  </x:cols>
  <x:sheetData>
    <x:row r="1" ht="25" customHeight="1">
      <x:c r="A1" s="3" t="str">
        <x:v>Payment Log</x:v>
      </x:c>
      <x:c r="B1" s="3"/>
      <x:c r="C1" s="3"/>
      <x:c r="D1" s="3"/>
      <x:c r="E1" s="3"/>
      <x:c r="F1" s="3"/>
      <x:c r="G1" s="3"/>
      <x:c r="H1" s="140"/>
      <x:c r="I1" s="140"/>
      <x:c r="J1" s="140"/>
      <x:c r="K1" s="140"/>
      <x:c r="L1" s="140"/>
    </x:row>
    <x:row r="2" ht="25" customHeight="1">
      <x:c r="A2" s="139" t="str">
        <x:v>One row per receipt | Use Invoice ID to allocate cash to the correct invoice</x:v>
      </x:c>
      <x:c r="B2" s="139"/>
      <x:c r="C2" s="139"/>
      <x:c r="D2" s="139"/>
      <x:c r="E2" s="139"/>
      <x:c r="F2" s="139"/>
      <x:c r="G2" s="139"/>
      <x:c r="H2" s="139"/>
      <x:c r="I2" s="139"/>
      <x:c r="J2" s="139"/>
      <x:c r="K2" s="139"/>
      <x:c r="L2" s="139"/>
    </x:row>
    <x:row r="3">
      <x:c r="A3" s="140"/>
      <x:c r="B3" s="140"/>
      <x:c r="C3" s="140"/>
      <x:c r="D3" s="140"/>
      <x:c r="E3" s="140"/>
      <x:c r="F3" s="140"/>
      <x:c r="G3" s="140"/>
      <x:c r="H3" s="140"/>
      <x:c r="I3" s="140"/>
      <x:c r="J3" s="140"/>
      <x:c r="K3" s="140"/>
      <x:c r="L3" s="140"/>
    </x:row>
    <x:row r="4">
      <x:c r="A4" s="197" t="str">
        <x:v>Payment ID</x:v>
      </x:c>
      <x:c r="B4" s="198" t="str">
        <x:v>Invoice ID</x:v>
      </x:c>
      <x:c r="C4" s="198" t="str">
        <x:v>Payment Date</x:v>
      </x:c>
      <x:c r="D4" s="198" t="str">
        <x:v>Amount</x:v>
      </x:c>
      <x:c r="E4" s="198" t="str">
        <x:v>Method</x:v>
      </x:c>
      <x:c r="F4" s="198" t="str">
        <x:v>Reference</x:v>
      </x:c>
      <x:c r="G4" s="199" t="str">
        <x:v>Allocation Check</x:v>
      </x:c>
      <x:c r="H4" s="140"/>
      <x:c r="I4" s="140"/>
      <x:c r="J4" s="140"/>
      <x:c r="K4" s="140"/>
      <x:c r="L4" s="140"/>
    </x:row>
    <x:row r="5">
      <x:c r="A5" s="179" t="str">
        <x:v>PAY-0001</x:v>
      </x:c>
      <x:c r="B5" s="180" t="str">
        <x:v>INV-0001</x:v>
      </x:c>
      <x:c r="C5" s="181" t="n">
        <x:v>45891</x:v>
      </x:c>
      <x:c r="D5" s="182" t="n">
        <x:v>1165.15</x:v>
      </x:c>
      <x:c r="E5" s="180" t="str">
        <x:v>Bank transfer</x:v>
      </x:c>
      <x:c r="F5" s="180" t="str">
        <x:v>RCPT-1A</x:v>
      </x:c>
      <x:c r="G5" s="187" t="str">
        <x:f>IF(COUNTIF('Invoice Register'!$A$5:$A$184,B5)=1,"MATCHED","UNMATCHED")</x:f>
        <x:v>MATCHED</x:v>
      </x:c>
      <x:c r="H5" s="140"/>
      <x:c r="I5" s="140"/>
      <x:c r="J5" s="140"/>
      <x:c r="K5" s="140"/>
      <x:c r="L5" s="140"/>
    </x:row>
    <x:row r="6">
      <x:c r="A6" s="179" t="str">
        <x:v>PAY-0002</x:v>
      </x:c>
      <x:c r="B6" s="180" t="str">
        <x:v>INV-0001</x:v>
      </x:c>
      <x:c r="C6" s="181" t="n">
        <x:v>45912</x:v>
      </x:c>
      <x:c r="D6" s="182" t="n">
        <x:v>953.31</x:v>
      </x:c>
      <x:c r="E6" s="180" t="str">
        <x:v>Card</x:v>
      </x:c>
      <x:c r="F6" s="180" t="str">
        <x:v>RCPT-1B</x:v>
      </x:c>
      <x:c r="G6" s="187" t="str">
        <x:f>IF(COUNTIF('Invoice Register'!$A$5:$A$184,B6)=1,"MATCHED","UNMATCHED")</x:f>
        <x:v>MATCHED</x:v>
      </x:c>
      <x:c r="H6" s="140"/>
      <x:c r="I6" s="140"/>
      <x:c r="J6" s="140"/>
      <x:c r="K6" s="140"/>
      <x:c r="L6" s="140"/>
    </x:row>
    <x:row r="7">
      <x:c r="A7" s="179" t="str">
        <x:v>PAY-0003</x:v>
      </x:c>
      <x:c r="B7" s="180" t="str">
        <x:v>INV-0002</x:v>
      </x:c>
      <x:c r="C7" s="181" t="n">
        <x:v>45908</x:v>
      </x:c>
      <x:c r="D7" s="182" t="n">
        <x:v>700.44</x:v>
      </x:c>
      <x:c r="E7" s="180" t="str">
        <x:v>Card</x:v>
      </x:c>
      <x:c r="F7" s="180" t="str">
        <x:v>RCPT-2</x:v>
      </x:c>
      <x:c r="G7" s="187" t="str">
        <x:f>IF(COUNTIF('Invoice Register'!$A$5:$A$184,B7)=1,"MATCHED","UNMATCHED")</x:f>
        <x:v>MATCHED</x:v>
      </x:c>
      <x:c r="H7" s="140"/>
      <x:c r="I7" s="140"/>
      <x:c r="J7" s="140"/>
      <x:c r="K7" s="140"/>
      <x:c r="L7" s="140"/>
    </x:row>
    <x:row r="8">
      <x:c r="A8" s="179" t="str">
        <x:v>PAY-0004</x:v>
      </x:c>
      <x:c r="B8" s="180" t="str">
        <x:v>INV-0003</x:v>
      </x:c>
      <x:c r="C8" s="181" t="n">
        <x:v>45890</x:v>
      </x:c>
      <x:c r="D8" s="182" t="n">
        <x:v>705.59</x:v>
      </x:c>
      <x:c r="E8" s="180" t="str">
        <x:v>PayPal</x:v>
      </x:c>
      <x:c r="F8" s="180" t="str">
        <x:v>RCPT-3</x:v>
      </x:c>
      <x:c r="G8" s="187" t="str">
        <x:f>IF(COUNTIF('Invoice Register'!$A$5:$A$184,B8)=1,"MATCHED","UNMATCHED")</x:f>
        <x:v>MATCHED</x:v>
      </x:c>
      <x:c r="H8" s="140"/>
      <x:c r="I8" s="140"/>
      <x:c r="J8" s="140"/>
      <x:c r="K8" s="140"/>
      <x:c r="L8" s="140"/>
    </x:row>
    <x:row r="9">
      <x:c r="A9" s="179" t="str">
        <x:v>PAY-0005</x:v>
      </x:c>
      <x:c r="B9" s="180" t="str">
        <x:v>INV-0004</x:v>
      </x:c>
      <x:c r="C9" s="181" t="n">
        <x:v>45891</x:v>
      </x:c>
      <x:c r="D9" s="182" t="n">
        <x:v>731.38</x:v>
      </x:c>
      <x:c r="E9" s="180" t="str">
        <x:v>Bank transfer</x:v>
      </x:c>
      <x:c r="F9" s="180" t="str">
        <x:v>RCPT-4</x:v>
      </x:c>
      <x:c r="G9" s="187" t="str">
        <x:f>IF(COUNTIF('Invoice Register'!$A$5:$A$184,B9)=1,"MATCHED","UNMATCHED")</x:f>
        <x:v>MATCHED</x:v>
      </x:c>
      <x:c r="H9" s="140"/>
      <x:c r="I9" s="140"/>
      <x:c r="J9" s="140"/>
      <x:c r="K9" s="140"/>
      <x:c r="L9" s="140"/>
    </x:row>
    <x:row r="10">
      <x:c r="A10" s="179" t="str">
        <x:v>PAY-0006</x:v>
      </x:c>
      <x:c r="B10" s="180" t="str">
        <x:v>INV-0005</x:v>
      </x:c>
      <x:c r="C10" s="181" t="n">
        <x:v>45924</x:v>
      </x:c>
      <x:c r="D10" s="182" t="n">
        <x:v>1023.76</x:v>
      </x:c>
      <x:c r="E10" s="180" t="str">
        <x:v>Card</x:v>
      </x:c>
      <x:c r="F10" s="180" t="str">
        <x:v>RCPT-5</x:v>
      </x:c>
      <x:c r="G10" s="187" t="str">
        <x:f>IF(COUNTIF('Invoice Register'!$A$5:$A$184,B10)=1,"MATCHED","UNMATCHED")</x:f>
        <x:v>MATCHED</x:v>
      </x:c>
      <x:c r="H10" s="140"/>
      <x:c r="I10" s="140"/>
      <x:c r="J10" s="140"/>
      <x:c r="K10" s="140"/>
      <x:c r="L10" s="140"/>
    </x:row>
    <x:row r="11">
      <x:c r="A11" s="179" t="str">
        <x:v>PAY-0007</x:v>
      </x:c>
      <x:c r="B11" s="180" t="str">
        <x:v>INV-0006</x:v>
      </x:c>
      <x:c r="C11" s="181" t="n">
        <x:v>45894</x:v>
      </x:c>
      <x:c r="D11" s="182" t="n">
        <x:v>543.66</x:v>
      </x:c>
      <x:c r="E11" s="180" t="str">
        <x:v>PayPal</x:v>
      </x:c>
      <x:c r="F11" s="180" t="str">
        <x:v>RCPT-6</x:v>
      </x:c>
      <x:c r="G11" s="187" t="str">
        <x:f>IF(COUNTIF('Invoice Register'!$A$5:$A$184,B11)=1,"MATCHED","UNMATCHED")</x:f>
        <x:v>MATCHED</x:v>
      </x:c>
      <x:c r="H11" s="140"/>
      <x:c r="I11" s="140"/>
      <x:c r="J11" s="140"/>
      <x:c r="K11" s="140"/>
      <x:c r="L11" s="140"/>
    </x:row>
    <x:row r="12">
      <x:c r="A12" s="179" t="str">
        <x:v>PAY-0008</x:v>
      </x:c>
      <x:c r="B12" s="180" t="str">
        <x:v>INV-0007</x:v>
      </x:c>
      <x:c r="C12" s="181" t="n">
        <x:v>45911</x:v>
      </x:c>
      <x:c r="D12" s="182" t="n">
        <x:v>744.94</x:v>
      </x:c>
      <x:c r="E12" s="180" t="str">
        <x:v>Bank transfer</x:v>
      </x:c>
      <x:c r="F12" s="180" t="str">
        <x:v>RCPT-7</x:v>
      </x:c>
      <x:c r="G12" s="187" t="str">
        <x:f>IF(COUNTIF('Invoice Register'!$A$5:$A$184,B12)=1,"MATCHED","UNMATCHED")</x:f>
        <x:v>MATCHED</x:v>
      </x:c>
      <x:c r="H12" s="140"/>
      <x:c r="I12" s="140"/>
      <x:c r="J12" s="140"/>
      <x:c r="K12" s="140"/>
      <x:c r="L12" s="140"/>
    </x:row>
    <x:row r="13">
      <x:c r="A13" s="179" t="str">
        <x:v>PAY-0009</x:v>
      </x:c>
      <x:c r="B13" s="180" t="str">
        <x:v>INV-0008</x:v>
      </x:c>
      <x:c r="C13" s="181" t="n">
        <x:v>45918</x:v>
      </x:c>
      <x:c r="D13" s="182" t="n">
        <x:v>1418.77</x:v>
      </x:c>
      <x:c r="E13" s="180" t="str">
        <x:v>Card</x:v>
      </x:c>
      <x:c r="F13" s="180" t="str">
        <x:v>RCPT-8</x:v>
      </x:c>
      <x:c r="G13" s="187" t="str">
        <x:f>IF(COUNTIF('Invoice Register'!$A$5:$A$184,B13)=1,"MATCHED","UNMATCHED")</x:f>
        <x:v>MATCHED</x:v>
      </x:c>
      <x:c r="H13" s="140"/>
      <x:c r="I13" s="140"/>
      <x:c r="J13" s="140"/>
      <x:c r="K13" s="140"/>
      <x:c r="L13" s="140"/>
    </x:row>
    <x:row r="14">
      <x:c r="A14" s="179" t="str">
        <x:v>PAY-0010</x:v>
      </x:c>
      <x:c r="B14" s="180" t="str">
        <x:v>INV-0009</x:v>
      </x:c>
      <x:c r="C14" s="181" t="n">
        <x:v>45912</x:v>
      </x:c>
      <x:c r="D14" s="182" t="n">
        <x:v>911.35</x:v>
      </x:c>
      <x:c r="E14" s="180" t="str">
        <x:v>PayPal</x:v>
      </x:c>
      <x:c r="F14" s="180" t="str">
        <x:v>RCPT-9</x:v>
      </x:c>
      <x:c r="G14" s="187" t="str">
        <x:f>IF(COUNTIF('Invoice Register'!$A$5:$A$184,B14)=1,"MATCHED","UNMATCHED")</x:f>
        <x:v>MATCHED</x:v>
      </x:c>
      <x:c r="H14" s="140"/>
      <x:c r="I14" s="140"/>
      <x:c r="J14" s="140"/>
      <x:c r="K14" s="140"/>
      <x:c r="L14" s="140"/>
    </x:row>
    <x:row r="15">
      <x:c r="A15" s="179" t="str">
        <x:v>PAY-0011</x:v>
      </x:c>
      <x:c r="B15" s="180" t="str">
        <x:v>INV-0010</x:v>
      </x:c>
      <x:c r="C15" s="181" t="n">
        <x:v>45905</x:v>
      </x:c>
      <x:c r="D15" s="182" t="n">
        <x:v>2176.78</x:v>
      </x:c>
      <x:c r="E15" s="180" t="str">
        <x:v>Bank transfer</x:v>
      </x:c>
      <x:c r="F15" s="180" t="str">
        <x:v>RCPT-10</x:v>
      </x:c>
      <x:c r="G15" s="187" t="str">
        <x:f>IF(COUNTIF('Invoice Register'!$A$5:$A$184,B15)=1,"MATCHED","UNMATCHED")</x:f>
        <x:v>MATCHED</x:v>
      </x:c>
      <x:c r="H15" s="140"/>
      <x:c r="I15" s="140"/>
      <x:c r="J15" s="140"/>
      <x:c r="K15" s="140"/>
      <x:c r="L15" s="140"/>
    </x:row>
    <x:row r="16">
      <x:c r="A16" s="179" t="str">
        <x:v>PAY-0012</x:v>
      </x:c>
      <x:c r="B16" s="180" t="str">
        <x:v>INV-0012</x:v>
      </x:c>
      <x:c r="C16" s="181" t="n">
        <x:v>45935</x:v>
      </x:c>
      <x:c r="D16" s="182" t="n">
        <x:v>966.46</x:v>
      </x:c>
      <x:c r="E16" s="180" t="str">
        <x:v>PayPal</x:v>
      </x:c>
      <x:c r="F16" s="180" t="str">
        <x:v>RCPT-12</x:v>
      </x:c>
      <x:c r="G16" s="187" t="str">
        <x:f>IF(COUNTIF('Invoice Register'!$A$5:$A$184,B16)=1,"MATCHED","UNMATCHED")</x:f>
        <x:v>MATCHED</x:v>
      </x:c>
      <x:c r="H16" s="140"/>
      <x:c r="I16" s="140"/>
      <x:c r="J16" s="140"/>
      <x:c r="K16" s="140"/>
      <x:c r="L16" s="140"/>
    </x:row>
    <x:row r="17">
      <x:c r="A17" s="179" t="str">
        <x:v>PAY-0013</x:v>
      </x:c>
      <x:c r="B17" s="180" t="str">
        <x:v>INV-0013</x:v>
      </x:c>
      <x:c r="C17" s="181" t="n">
        <x:v>45925</x:v>
      </x:c>
      <x:c r="D17" s="182" t="n">
        <x:v>2778.8</x:v>
      </x:c>
      <x:c r="E17" s="180" t="str">
        <x:v>Bank transfer</x:v>
      </x:c>
      <x:c r="F17" s="180" t="str">
        <x:v>RCPT-13</x:v>
      </x:c>
      <x:c r="G17" s="187" t="str">
        <x:f>IF(COUNTIF('Invoice Register'!$A$5:$A$184,B17)=1,"MATCHED","UNMATCHED")</x:f>
        <x:v>MATCHED</x:v>
      </x:c>
      <x:c r="H17" s="140"/>
      <x:c r="I17" s="140"/>
      <x:c r="J17" s="140"/>
      <x:c r="K17" s="140"/>
      <x:c r="L17" s="140"/>
    </x:row>
    <x:row r="18">
      <x:c r="A18" s="179" t="str">
        <x:v>PAY-0014</x:v>
      </x:c>
      <x:c r="B18" s="180" t="str">
        <x:v>INV-0014</x:v>
      </x:c>
      <x:c r="C18" s="181" t="n">
        <x:v>45941</x:v>
      </x:c>
      <x:c r="D18" s="182" t="n">
        <x:v>1042.53</x:v>
      </x:c>
      <x:c r="E18" s="180" t="str">
        <x:v>Card</x:v>
      </x:c>
      <x:c r="F18" s="180" t="str">
        <x:v>RCPT-14</x:v>
      </x:c>
      <x:c r="G18" s="187" t="str">
        <x:f>IF(COUNTIF('Invoice Register'!$A$5:$A$184,B18)=1,"MATCHED","UNMATCHED")</x:f>
        <x:v>MATCHED</x:v>
      </x:c>
      <x:c r="H18" s="140"/>
      <x:c r="I18" s="140"/>
      <x:c r="J18" s="140"/>
      <x:c r="K18" s="140"/>
      <x:c r="L18" s="140"/>
    </x:row>
    <x:row r="19">
      <x:c r="A19" s="179" t="str">
        <x:v>PAY-0015</x:v>
      </x:c>
      <x:c r="B19" s="180" t="str">
        <x:v>INV-0015</x:v>
      </x:c>
      <x:c r="C19" s="181" t="n">
        <x:v>45918</x:v>
      </x:c>
      <x:c r="D19" s="182" t="n">
        <x:v>1709.14</x:v>
      </x:c>
      <x:c r="E19" s="180" t="str">
        <x:v>PayPal</x:v>
      </x:c>
      <x:c r="F19" s="180" t="str">
        <x:v>RCPT-15</x:v>
      </x:c>
      <x:c r="G19" s="187" t="str">
        <x:f>IF(COUNTIF('Invoice Register'!$A$5:$A$184,B19)=1,"MATCHED","UNMATCHED")</x:f>
        <x:v>MATCHED</x:v>
      </x:c>
      <x:c r="H19" s="140"/>
      <x:c r="I19" s="140"/>
      <x:c r="J19" s="140"/>
      <x:c r="K19" s="140"/>
      <x:c r="L19" s="140"/>
    </x:row>
    <x:row r="20">
      <x:c r="A20" s="179" t="str">
        <x:v>PAY-0016</x:v>
      </x:c>
      <x:c r="B20" s="180" t="str">
        <x:v>INV-0016</x:v>
      </x:c>
      <x:c r="C20" s="181" t="n">
        <x:v>45933</x:v>
      </x:c>
      <x:c r="D20" s="182" t="n">
        <x:v>2800.97</x:v>
      </x:c>
      <x:c r="E20" s="180" t="str">
        <x:v>Bank transfer</x:v>
      </x:c>
      <x:c r="F20" s="180" t="str">
        <x:v>RCPT-16</x:v>
      </x:c>
      <x:c r="G20" s="187" t="str">
        <x:f>IF(COUNTIF('Invoice Register'!$A$5:$A$184,B20)=1,"MATCHED","UNMATCHED")</x:f>
        <x:v>MATCHED</x:v>
      </x:c>
      <x:c r="H20" s="140"/>
      <x:c r="I20" s="140"/>
      <x:c r="J20" s="140"/>
      <x:c r="K20" s="140"/>
      <x:c r="L20" s="140"/>
    </x:row>
    <x:row r="21">
      <x:c r="A21" s="179" t="str">
        <x:v>PAY-0017</x:v>
      </x:c>
      <x:c r="B21" s="180" t="str">
        <x:v>INV-0017</x:v>
      </x:c>
      <x:c r="C21" s="181" t="n">
        <x:v>45914</x:v>
      </x:c>
      <x:c r="D21" s="182" t="n">
        <x:v>361.85</x:v>
      </x:c>
      <x:c r="E21" s="180" t="str">
        <x:v>Card</x:v>
      </x:c>
      <x:c r="F21" s="180" t="str">
        <x:v>RCPT-17</x:v>
      </x:c>
      <x:c r="G21" s="187" t="str">
        <x:f>IF(COUNTIF('Invoice Register'!$A$5:$A$184,B21)=1,"MATCHED","UNMATCHED")</x:f>
        <x:v>MATCHED</x:v>
      </x:c>
      <x:c r="H21" s="140"/>
      <x:c r="I21" s="140"/>
      <x:c r="J21" s="140"/>
      <x:c r="K21" s="140"/>
      <x:c r="L21" s="140"/>
    </x:row>
    <x:row r="22">
      <x:c r="A22" s="179" t="str">
        <x:v>PAY-0018</x:v>
      </x:c>
      <x:c r="B22" s="180" t="str">
        <x:v>INV-0018</x:v>
      </x:c>
      <x:c r="C22" s="181" t="n">
        <x:v>45919</x:v>
      </x:c>
      <x:c r="D22" s="182" t="n">
        <x:v>552.13</x:v>
      </x:c>
      <x:c r="E22" s="180" t="str">
        <x:v>PayPal</x:v>
      </x:c>
      <x:c r="F22" s="180" t="str">
        <x:v>RCPT-18</x:v>
      </x:c>
      <x:c r="G22" s="187" t="str">
        <x:f>IF(COUNTIF('Invoice Register'!$A$5:$A$184,B22)=1,"MATCHED","UNMATCHED")</x:f>
        <x:v>MATCHED</x:v>
      </x:c>
      <x:c r="H22" s="140"/>
      <x:c r="I22" s="140"/>
      <x:c r="J22" s="140"/>
      <x:c r="K22" s="140"/>
      <x:c r="L22" s="140"/>
    </x:row>
    <x:row r="23">
      <x:c r="A23" s="179" t="str">
        <x:v>PAY-0019</x:v>
      </x:c>
      <x:c r="B23" s="180" t="str">
        <x:v>INV-0019</x:v>
      </x:c>
      <x:c r="C23" s="181" t="n">
        <x:v>45934</x:v>
      </x:c>
      <x:c r="D23" s="182" t="n">
        <x:v>2689.14</x:v>
      </x:c>
      <x:c r="E23" s="180" t="str">
        <x:v>Bank transfer</x:v>
      </x:c>
      <x:c r="F23" s="180" t="str">
        <x:v>RCPT-19</x:v>
      </x:c>
      <x:c r="G23" s="187" t="str">
        <x:f>IF(COUNTIF('Invoice Register'!$A$5:$A$184,B23)=1,"MATCHED","UNMATCHED")</x:f>
        <x:v>MATCHED</x:v>
      </x:c>
      <x:c r="H23" s="140"/>
      <x:c r="I23" s="140"/>
      <x:c r="J23" s="140"/>
      <x:c r="K23" s="140"/>
      <x:c r="L23" s="140"/>
    </x:row>
    <x:row r="24">
      <x:c r="A24" s="179" t="str">
        <x:v>PAY-0020</x:v>
      </x:c>
      <x:c r="B24" s="180" t="str">
        <x:v>INV-0020</x:v>
      </x:c>
      <x:c r="C24" s="181" t="n">
        <x:v>45924</x:v>
      </x:c>
      <x:c r="D24" s="182" t="n">
        <x:v>999.04</x:v>
      </x:c>
      <x:c r="E24" s="180" t="str">
        <x:v>Card</x:v>
      </x:c>
      <x:c r="F24" s="180" t="str">
        <x:v>RCPT-20</x:v>
      </x:c>
      <x:c r="G24" s="187" t="str">
        <x:f>IF(COUNTIF('Invoice Register'!$A$5:$A$184,B24)=1,"MATCHED","UNMATCHED")</x:f>
        <x:v>MATCHED</x:v>
      </x:c>
      <x:c r="H24" s="140"/>
      <x:c r="I24" s="140"/>
      <x:c r="J24" s="140"/>
      <x:c r="K24" s="140"/>
      <x:c r="L24" s="140"/>
    </x:row>
    <x:row r="25">
      <x:c r="A25" s="179" t="str">
        <x:v>PAY-0021</x:v>
      </x:c>
      <x:c r="B25" s="180" t="str">
        <x:v>INV-0021</x:v>
      </x:c>
      <x:c r="C25" s="181" t="n">
        <x:v>45964</x:v>
      </x:c>
      <x:c r="D25" s="182" t="n">
        <x:v>1526.72</x:v>
      </x:c>
      <x:c r="E25" s="180" t="str">
        <x:v>PayPal</x:v>
      </x:c>
      <x:c r="F25" s="180" t="str">
        <x:v>RCPT-21</x:v>
      </x:c>
      <x:c r="G25" s="187" t="str">
        <x:f>IF(COUNTIF('Invoice Register'!$A$5:$A$184,B25)=1,"MATCHED","UNMATCHED")</x:f>
        <x:v>MATCHED</x:v>
      </x:c>
      <x:c r="H25" s="140"/>
      <x:c r="I25" s="140"/>
      <x:c r="J25" s="140"/>
      <x:c r="K25" s="140"/>
      <x:c r="L25" s="140"/>
    </x:row>
    <x:row r="26">
      <x:c r="A26" s="179" t="str">
        <x:v>PAY-0022</x:v>
      </x:c>
      <x:c r="B26" s="180" t="str">
        <x:v>INV-0022</x:v>
      </x:c>
      <x:c r="C26" s="181" t="n">
        <x:v>45937</x:v>
      </x:c>
      <x:c r="D26" s="182" t="n">
        <x:v>1172.78</x:v>
      </x:c>
      <x:c r="E26" s="180" t="str">
        <x:v>Bank transfer</x:v>
      </x:c>
      <x:c r="F26" s="180" t="str">
        <x:v>RCPT-22</x:v>
      </x:c>
      <x:c r="G26" s="187" t="str">
        <x:f>IF(COUNTIF('Invoice Register'!$A$5:$A$184,B26)=1,"MATCHED","UNMATCHED")</x:f>
        <x:v>MATCHED</x:v>
      </x:c>
      <x:c r="H26" s="140"/>
      <x:c r="I26" s="140"/>
      <x:c r="J26" s="140"/>
      <x:c r="K26" s="140"/>
      <x:c r="L26" s="140"/>
    </x:row>
    <x:row r="27">
      <x:c r="A27" s="179" t="str">
        <x:v>PAY-0023</x:v>
      </x:c>
      <x:c r="B27" s="180" t="str">
        <x:v>INV-0023</x:v>
      </x:c>
      <x:c r="C27" s="181" t="n">
        <x:v>45960</x:v>
      </x:c>
      <x:c r="D27" s="182" t="n">
        <x:v>667.83</x:v>
      </x:c>
      <x:c r="E27" s="180" t="str">
        <x:v>Card</x:v>
      </x:c>
      <x:c r="F27" s="180" t="str">
        <x:v>RCPT-23</x:v>
      </x:c>
      <x:c r="G27" s="187" t="str">
        <x:f>IF(COUNTIF('Invoice Register'!$A$5:$A$184,B27)=1,"MATCHED","UNMATCHED")</x:f>
        <x:v>MATCHED</x:v>
      </x:c>
      <x:c r="H27" s="140"/>
      <x:c r="I27" s="140"/>
      <x:c r="J27" s="140"/>
      <x:c r="K27" s="140"/>
      <x:c r="L27" s="140"/>
    </x:row>
    <x:row r="28">
      <x:c r="A28" s="179" t="str">
        <x:v>PAY-0024</x:v>
      </x:c>
      <x:c r="B28" s="180" t="str">
        <x:v>INV-0024</x:v>
      </x:c>
      <x:c r="C28" s="181" t="n">
        <x:v>45925</x:v>
      </x:c>
      <x:c r="D28" s="182" t="n">
        <x:v>846.35</x:v>
      </x:c>
      <x:c r="E28" s="180" t="str">
        <x:v>PayPal</x:v>
      </x:c>
      <x:c r="F28" s="180" t="str">
        <x:v>RCPT-24</x:v>
      </x:c>
      <x:c r="G28" s="187" t="str">
        <x:f>IF(COUNTIF('Invoice Register'!$A$5:$A$184,B28)=1,"MATCHED","UNMATCHED")</x:f>
        <x:v>MATCHED</x:v>
      </x:c>
      <x:c r="H28" s="140"/>
      <x:c r="I28" s="140"/>
      <x:c r="J28" s="140"/>
      <x:c r="K28" s="140"/>
      <x:c r="L28" s="140"/>
    </x:row>
    <x:row r="29">
      <x:c r="A29" s="179" t="str">
        <x:v>PAY-0025</x:v>
      </x:c>
      <x:c r="B29" s="180" t="str">
        <x:v>INV-0025</x:v>
      </x:c>
      <x:c r="C29" s="181" t="n">
        <x:v>45929</x:v>
      </x:c>
      <x:c r="D29" s="182" t="n">
        <x:v>2504.99</x:v>
      </x:c>
      <x:c r="E29" s="180" t="str">
        <x:v>Bank transfer</x:v>
      </x:c>
      <x:c r="F29" s="180" t="str">
        <x:v>RCPT-25</x:v>
      </x:c>
      <x:c r="G29" s="187" t="str">
        <x:f>IF(COUNTIF('Invoice Register'!$A$5:$A$184,B29)=1,"MATCHED","UNMATCHED")</x:f>
        <x:v>MATCHED</x:v>
      </x:c>
      <x:c r="H29" s="140"/>
      <x:c r="I29" s="140"/>
      <x:c r="J29" s="140"/>
      <x:c r="K29" s="140"/>
      <x:c r="L29" s="140"/>
    </x:row>
    <x:row r="30">
      <x:c r="A30" s="179" t="str">
        <x:v>PAY-0026</x:v>
      </x:c>
      <x:c r="B30" s="180" t="str">
        <x:v>INV-0026</x:v>
      </x:c>
      <x:c r="C30" s="181" t="n">
        <x:v>45958</x:v>
      </x:c>
      <x:c r="D30" s="182" t="n">
        <x:v>736.69</x:v>
      </x:c>
      <x:c r="E30" s="180" t="str">
        <x:v>Card</x:v>
      </x:c>
      <x:c r="F30" s="180" t="str">
        <x:v>RCPT-26</x:v>
      </x:c>
      <x:c r="G30" s="187" t="str">
        <x:f>IF(COUNTIF('Invoice Register'!$A$5:$A$184,B30)=1,"MATCHED","UNMATCHED")</x:f>
        <x:v>MATCHED</x:v>
      </x:c>
      <x:c r="H30" s="140"/>
      <x:c r="I30" s="140"/>
      <x:c r="J30" s="140"/>
      <x:c r="K30" s="140"/>
      <x:c r="L30" s="140"/>
    </x:row>
    <x:row r="31">
      <x:c r="A31" s="179" t="str">
        <x:v>PAY-0027</x:v>
      </x:c>
      <x:c r="B31" s="180" t="str">
        <x:v>INV-0027</x:v>
      </x:c>
      <x:c r="C31" s="181" t="n">
        <x:v>45953</x:v>
      </x:c>
      <x:c r="D31" s="182" t="n">
        <x:v>1556.54</x:v>
      </x:c>
      <x:c r="E31" s="180" t="str">
        <x:v>PayPal</x:v>
      </x:c>
      <x:c r="F31" s="180" t="str">
        <x:v>RCPT-27</x:v>
      </x:c>
      <x:c r="G31" s="187" t="str">
        <x:f>IF(COUNTIF('Invoice Register'!$A$5:$A$184,B31)=1,"MATCHED","UNMATCHED")</x:f>
        <x:v>MATCHED</x:v>
      </x:c>
      <x:c r="H31" s="140"/>
      <x:c r="I31" s="140"/>
      <x:c r="J31" s="140"/>
      <x:c r="K31" s="140"/>
      <x:c r="L31" s="140"/>
    </x:row>
    <x:row r="32">
      <x:c r="A32" s="179" t="str">
        <x:v>PAY-0028</x:v>
      </x:c>
      <x:c r="B32" s="180" t="str">
        <x:v>INV-0028</x:v>
      </x:c>
      <x:c r="C32" s="181" t="n">
        <x:v>45933</x:v>
      </x:c>
      <x:c r="D32" s="182" t="n">
        <x:v>195.33</x:v>
      </x:c>
      <x:c r="E32" s="180" t="str">
        <x:v>Bank transfer</x:v>
      </x:c>
      <x:c r="F32" s="180" t="str">
        <x:v>RCPT-28</x:v>
      </x:c>
      <x:c r="G32" s="187" t="str">
        <x:f>IF(COUNTIF('Invoice Register'!$A$5:$A$184,B32)=1,"MATCHED","UNMATCHED")</x:f>
        <x:v>MATCHED</x:v>
      </x:c>
      <x:c r="H32" s="140"/>
      <x:c r="I32" s="140"/>
      <x:c r="J32" s="140"/>
      <x:c r="K32" s="140"/>
      <x:c r="L32" s="140"/>
    </x:row>
    <x:row r="33">
      <x:c r="A33" s="179" t="str">
        <x:v>PAY-0029</x:v>
      </x:c>
      <x:c r="B33" s="180" t="str">
        <x:v>INV-0031</x:v>
      </x:c>
      <x:c r="C33" s="181" t="n">
        <x:v>45980</x:v>
      </x:c>
      <x:c r="D33" s="182" t="n">
        <x:v>2887.48</x:v>
      </x:c>
      <x:c r="E33" s="180" t="str">
        <x:v>Bank transfer</x:v>
      </x:c>
      <x:c r="F33" s="180" t="str">
        <x:v>RCPT-31</x:v>
      </x:c>
      <x:c r="G33" s="187" t="str">
        <x:f>IF(COUNTIF('Invoice Register'!$A$5:$A$184,B33)=1,"MATCHED","UNMATCHED")</x:f>
        <x:v>MATCHED</x:v>
      </x:c>
      <x:c r="H33" s="140"/>
      <x:c r="I33" s="140"/>
      <x:c r="J33" s="140"/>
      <x:c r="K33" s="140"/>
      <x:c r="L33" s="140"/>
    </x:row>
    <x:row r="34">
      <x:c r="A34" s="179" t="str">
        <x:v>PAY-0030</x:v>
      </x:c>
      <x:c r="B34" s="180" t="str">
        <x:v>INV-0032</x:v>
      </x:c>
      <x:c r="C34" s="181" t="n">
        <x:v>45952</x:v>
      </x:c>
      <x:c r="D34" s="182" t="n">
        <x:v>2733.22</x:v>
      </x:c>
      <x:c r="E34" s="180" t="str">
        <x:v>Card</x:v>
      </x:c>
      <x:c r="F34" s="180" t="str">
        <x:v>RCPT-32</x:v>
      </x:c>
      <x:c r="G34" s="187" t="str">
        <x:f>IF(COUNTIF('Invoice Register'!$A$5:$A$184,B34)=1,"MATCHED","UNMATCHED")</x:f>
        <x:v>MATCHED</x:v>
      </x:c>
      <x:c r="H34" s="140"/>
      <x:c r="I34" s="140"/>
      <x:c r="J34" s="140"/>
      <x:c r="K34" s="140"/>
      <x:c r="L34" s="140"/>
    </x:row>
    <x:row r="35">
      <x:c r="A35" s="179" t="str">
        <x:v>PAY-0031</x:v>
      </x:c>
      <x:c r="B35" s="180" t="str">
        <x:v>INV-0033</x:v>
      </x:c>
      <x:c r="C35" s="181" t="n">
        <x:v>45954</x:v>
      </x:c>
      <x:c r="D35" s="182" t="n">
        <x:v>896.98</x:v>
      </x:c>
      <x:c r="E35" s="180" t="str">
        <x:v>PayPal</x:v>
      </x:c>
      <x:c r="F35" s="180" t="str">
        <x:v>RCPT-33</x:v>
      </x:c>
      <x:c r="G35" s="187" t="str">
        <x:f>IF(COUNTIF('Invoice Register'!$A$5:$A$184,B35)=1,"MATCHED","UNMATCHED")</x:f>
        <x:v>MATCHED</x:v>
      </x:c>
      <x:c r="H35" s="140"/>
      <x:c r="I35" s="140"/>
      <x:c r="J35" s="140"/>
      <x:c r="K35" s="140"/>
      <x:c r="L35" s="140"/>
    </x:row>
    <x:row r="36">
      <x:c r="A36" s="179" t="str">
        <x:v>PAY-0032</x:v>
      </x:c>
      <x:c r="B36" s="180" t="str">
        <x:v>INV-0035</x:v>
      </x:c>
      <x:c r="C36" s="181" t="n">
        <x:v>45970</x:v>
      </x:c>
      <x:c r="D36" s="182" t="n">
        <x:v>559.45</x:v>
      </x:c>
      <x:c r="E36" s="180" t="str">
        <x:v>Card</x:v>
      </x:c>
      <x:c r="F36" s="180" t="str">
        <x:v>RCPT-35A</x:v>
      </x:c>
      <x:c r="G36" s="187" t="str">
        <x:f>IF(COUNTIF('Invoice Register'!$A$5:$A$184,B36)=1,"MATCHED","UNMATCHED")</x:f>
        <x:v>MATCHED</x:v>
      </x:c>
      <x:c r="H36" s="140"/>
      <x:c r="I36" s="140"/>
      <x:c r="J36" s="140"/>
      <x:c r="K36" s="140"/>
      <x:c r="L36" s="140"/>
    </x:row>
    <x:row r="37">
      <x:c r="A37" s="179" t="str">
        <x:v>PAY-0033</x:v>
      </x:c>
      <x:c r="B37" s="180" t="str">
        <x:v>INV-0035</x:v>
      </x:c>
      <x:c r="C37" s="181" t="n">
        <x:v>45973</x:v>
      </x:c>
      <x:c r="D37" s="182" t="n">
        <x:v>457.73</x:v>
      </x:c>
      <x:c r="E37" s="180" t="str">
        <x:v>PayPal</x:v>
      </x:c>
      <x:c r="F37" s="180" t="str">
        <x:v>RCPT-35B</x:v>
      </x:c>
      <x:c r="G37" s="187" t="str">
        <x:f>IF(COUNTIF('Invoice Register'!$A$5:$A$184,B37)=1,"MATCHED","UNMATCHED")</x:f>
        <x:v>MATCHED</x:v>
      </x:c>
      <x:c r="H37" s="140"/>
      <x:c r="I37" s="140"/>
      <x:c r="J37" s="140"/>
      <x:c r="K37" s="140"/>
      <x:c r="L37" s="140"/>
    </x:row>
    <x:row r="38">
      <x:c r="A38" s="179" t="str">
        <x:v>PAY-0034</x:v>
      </x:c>
      <x:c r="B38" s="180" t="str">
        <x:v>INV-0036</x:v>
      </x:c>
      <x:c r="C38" s="181" t="n">
        <x:v>45978</x:v>
      </x:c>
      <x:c r="D38" s="182" t="n">
        <x:v>1671.11</x:v>
      </x:c>
      <x:c r="E38" s="180" t="str">
        <x:v>PayPal</x:v>
      </x:c>
      <x:c r="F38" s="180" t="str">
        <x:v>RCPT-36</x:v>
      </x:c>
      <x:c r="G38" s="187" t="str">
        <x:f>IF(COUNTIF('Invoice Register'!$A$5:$A$184,B38)=1,"MATCHED","UNMATCHED")</x:f>
        <x:v>MATCHED</x:v>
      </x:c>
      <x:c r="H38" s="140"/>
      <x:c r="I38" s="140"/>
      <x:c r="J38" s="140"/>
      <x:c r="K38" s="140"/>
      <x:c r="L38" s="140"/>
    </x:row>
    <x:row r="39">
      <x:c r="A39" s="179" t="str">
        <x:v>PAY-0035</x:v>
      </x:c>
      <x:c r="B39" s="180" t="str">
        <x:v>INV-0037</x:v>
      </x:c>
      <x:c r="C39" s="181" t="n">
        <x:v>45993</x:v>
      </x:c>
      <x:c r="D39" s="182" t="n">
        <x:v>2101.44</x:v>
      </x:c>
      <x:c r="E39" s="180" t="str">
        <x:v>Bank transfer</x:v>
      </x:c>
      <x:c r="F39" s="180" t="str">
        <x:v>RCPT-37</x:v>
      </x:c>
      <x:c r="G39" s="187" t="str">
        <x:f>IF(COUNTIF('Invoice Register'!$A$5:$A$184,B39)=1,"MATCHED","UNMATCHED")</x:f>
        <x:v>MATCHED</x:v>
      </x:c>
      <x:c r="H39" s="140"/>
      <x:c r="I39" s="140"/>
      <x:c r="J39" s="140"/>
      <x:c r="K39" s="140"/>
      <x:c r="L39" s="140"/>
    </x:row>
    <x:row r="40">
      <x:c r="A40" s="179" t="str">
        <x:v>PAY-0036</x:v>
      </x:c>
      <x:c r="B40" s="180" t="str">
        <x:v>INV-0038</x:v>
      </x:c>
      <x:c r="C40" s="181" t="n">
        <x:v>45955</x:v>
      </x:c>
      <x:c r="D40" s="182" t="n">
        <x:v>1668.74</x:v>
      </x:c>
      <x:c r="E40" s="180" t="str">
        <x:v>Card</x:v>
      </x:c>
      <x:c r="F40" s="180" t="str">
        <x:v>RCPT-38</x:v>
      </x:c>
      <x:c r="G40" s="187" t="str">
        <x:f>IF(COUNTIF('Invoice Register'!$A$5:$A$184,B40)=1,"MATCHED","UNMATCHED")</x:f>
        <x:v>MATCHED</x:v>
      </x:c>
      <x:c r="H40" s="140"/>
      <x:c r="I40" s="140"/>
      <x:c r="J40" s="140"/>
      <x:c r="K40" s="140"/>
      <x:c r="L40" s="140"/>
    </x:row>
    <x:row r="41">
      <x:c r="A41" s="179" t="str">
        <x:v>PAY-0037</x:v>
      </x:c>
      <x:c r="B41" s="180" t="str">
        <x:v>INV-0039</x:v>
      </x:c>
      <x:c r="C41" s="181" t="n">
        <x:v>45988</x:v>
      </x:c>
      <x:c r="D41" s="182" t="n">
        <x:v>1701.23</x:v>
      </x:c>
      <x:c r="E41" s="180" t="str">
        <x:v>PayPal</x:v>
      </x:c>
      <x:c r="F41" s="180" t="str">
        <x:v>RCPT-39</x:v>
      </x:c>
      <x:c r="G41" s="187" t="str">
        <x:f>IF(COUNTIF('Invoice Register'!$A$5:$A$184,B41)=1,"MATCHED","UNMATCHED")</x:f>
        <x:v>MATCHED</x:v>
      </x:c>
      <x:c r="H41" s="140"/>
      <x:c r="I41" s="140"/>
      <x:c r="J41" s="140"/>
      <x:c r="K41" s="140"/>
      <x:c r="L41" s="140"/>
    </x:row>
    <x:row r="42">
      <x:c r="A42" s="179" t="str">
        <x:v>PAY-0038</x:v>
      </x:c>
      <x:c r="B42" s="180" t="str">
        <x:v>INV-0042</x:v>
      </x:c>
      <x:c r="C42" s="181" t="n">
        <x:v>45975</x:v>
      </x:c>
      <x:c r="D42" s="182" t="n">
        <x:v>1823.29</x:v>
      </x:c>
      <x:c r="E42" s="180" t="str">
        <x:v>PayPal</x:v>
      </x:c>
      <x:c r="F42" s="180" t="str">
        <x:v>RCPT-42</x:v>
      </x:c>
      <x:c r="G42" s="187" t="str">
        <x:f>IF(COUNTIF('Invoice Register'!$A$5:$A$184,B42)=1,"MATCHED","UNMATCHED")</x:f>
        <x:v>MATCHED</x:v>
      </x:c>
      <x:c r="H42" s="140"/>
      <x:c r="I42" s="140"/>
      <x:c r="J42" s="140"/>
      <x:c r="K42" s="140"/>
      <x:c r="L42" s="140"/>
    </x:row>
    <x:row r="43">
      <x:c r="A43" s="179" t="str">
        <x:v>PAY-0039</x:v>
      </x:c>
      <x:c r="B43" s="180" t="str">
        <x:v>INV-0043</x:v>
      </x:c>
      <x:c r="C43" s="181" t="n">
        <x:v>46001</x:v>
      </x:c>
      <x:c r="D43" s="182" t="n">
        <x:v>629.18</x:v>
      </x:c>
      <x:c r="E43" s="180" t="str">
        <x:v>Bank transfer</x:v>
      </x:c>
      <x:c r="F43" s="180" t="str">
        <x:v>RCPT-43</x:v>
      </x:c>
      <x:c r="G43" s="187" t="str">
        <x:f>IF(COUNTIF('Invoice Register'!$A$5:$A$184,B43)=1,"MATCHED","UNMATCHED")</x:f>
        <x:v>MATCHED</x:v>
      </x:c>
      <x:c r="H43" s="140"/>
      <x:c r="I43" s="140"/>
      <x:c r="J43" s="140"/>
      <x:c r="K43" s="140"/>
      <x:c r="L43" s="140"/>
    </x:row>
    <x:row r="44">
      <x:c r="A44" s="179" t="str">
        <x:v>PAY-0040</x:v>
      </x:c>
      <x:c r="B44" s="180" t="str">
        <x:v>INV-0044</x:v>
      </x:c>
      <x:c r="C44" s="181" t="n">
        <x:v>45968</x:v>
      </x:c>
      <x:c r="D44" s="182" t="n">
        <x:v>845.8</x:v>
      </x:c>
      <x:c r="E44" s="180" t="str">
        <x:v>Card</x:v>
      </x:c>
      <x:c r="F44" s="180" t="str">
        <x:v>RCPT-44A</x:v>
      </x:c>
      <x:c r="G44" s="187" t="str">
        <x:f>IF(COUNTIF('Invoice Register'!$A$5:$A$184,B44)=1,"MATCHED","UNMATCHED")</x:f>
        <x:v>MATCHED</x:v>
      </x:c>
      <x:c r="H44" s="140"/>
      <x:c r="I44" s="140"/>
      <x:c r="J44" s="140"/>
      <x:c r="K44" s="140"/>
      <x:c r="L44" s="140"/>
    </x:row>
    <x:row r="45">
      <x:c r="A45" s="179" t="str">
        <x:v>PAY-0041</x:v>
      </x:c>
      <x:c r="B45" s="180" t="str">
        <x:v>INV-0044</x:v>
      </x:c>
      <x:c r="C45" s="181" t="n">
        <x:v>45975</x:v>
      </x:c>
      <x:c r="D45" s="182" t="n">
        <x:v>692.02</x:v>
      </x:c>
      <x:c r="E45" s="180" t="str">
        <x:v>PayPal</x:v>
      </x:c>
      <x:c r="F45" s="180" t="str">
        <x:v>RCPT-44B</x:v>
      </x:c>
      <x:c r="G45" s="187" t="str">
        <x:f>IF(COUNTIF('Invoice Register'!$A$5:$A$184,B45)=1,"MATCHED","UNMATCHED")</x:f>
        <x:v>MATCHED</x:v>
      </x:c>
      <x:c r="H45" s="140"/>
      <x:c r="I45" s="140"/>
      <x:c r="J45" s="140"/>
      <x:c r="K45" s="140"/>
      <x:c r="L45" s="140"/>
    </x:row>
    <x:row r="46">
      <x:c r="A46" s="179" t="str">
        <x:v>PAY-0042</x:v>
      </x:c>
      <x:c r="B46" s="180" t="str">
        <x:v>INV-0045</x:v>
      </x:c>
      <x:c r="C46" s="181" t="n">
        <x:v>46002</x:v>
      </x:c>
      <x:c r="D46" s="182" t="n">
        <x:v>277.26</x:v>
      </x:c>
      <x:c r="E46" s="180" t="str">
        <x:v>PayPal</x:v>
      </x:c>
      <x:c r="F46" s="180" t="str">
        <x:v>RCPT-45</x:v>
      </x:c>
      <x:c r="G46" s="187" t="str">
        <x:f>IF(COUNTIF('Invoice Register'!$A$5:$A$184,B46)=1,"MATCHED","UNMATCHED")</x:f>
        <x:v>MATCHED</x:v>
      </x:c>
      <x:c r="H46" s="140"/>
      <x:c r="I46" s="140"/>
      <x:c r="J46" s="140"/>
      <x:c r="K46" s="140"/>
      <x:c r="L46" s="140"/>
    </x:row>
    <x:row r="47">
      <x:c r="A47" s="179" t="str">
        <x:v>PAY-0043</x:v>
      </x:c>
      <x:c r="B47" s="180" t="str">
        <x:v>INV-0046</x:v>
      </x:c>
      <x:c r="C47" s="181" t="n">
        <x:v>45972</x:v>
      </x:c>
      <x:c r="D47" s="182" t="n">
        <x:v>544.53</x:v>
      </x:c>
      <x:c r="E47" s="180" t="str">
        <x:v>Bank transfer</x:v>
      </x:c>
      <x:c r="F47" s="180" t="str">
        <x:v>RCPT-46</x:v>
      </x:c>
      <x:c r="G47" s="187" t="str">
        <x:f>IF(COUNTIF('Invoice Register'!$A$5:$A$184,B47)=1,"MATCHED","UNMATCHED")</x:f>
        <x:v>MATCHED</x:v>
      </x:c>
      <x:c r="H47" s="140"/>
      <x:c r="I47" s="140"/>
      <x:c r="J47" s="140"/>
      <x:c r="K47" s="140"/>
      <x:c r="L47" s="140"/>
    </x:row>
    <x:row r="48">
      <x:c r="A48" s="179" t="str">
        <x:v>PAY-0044</x:v>
      </x:c>
      <x:c r="B48" s="180" t="str">
        <x:v>INV-0047</x:v>
      </x:c>
      <x:c r="C48" s="181" t="n">
        <x:v>46000</x:v>
      </x:c>
      <x:c r="D48" s="182" t="n">
        <x:v>1266.63</x:v>
      </x:c>
      <x:c r="E48" s="180" t="str">
        <x:v>Card</x:v>
      </x:c>
      <x:c r="F48" s="180" t="str">
        <x:v>RCPT-47A</x:v>
      </x:c>
      <x:c r="G48" s="187" t="str">
        <x:f>IF(COUNTIF('Invoice Register'!$A$5:$A$184,B48)=1,"MATCHED","UNMATCHED")</x:f>
        <x:v>MATCHED</x:v>
      </x:c>
      <x:c r="H48" s="140"/>
      <x:c r="I48" s="140"/>
      <x:c r="J48" s="140"/>
      <x:c r="K48" s="140"/>
      <x:c r="L48" s="140"/>
    </x:row>
    <x:row r="49">
      <x:c r="A49" s="179" t="str">
        <x:v>PAY-0045</x:v>
      </x:c>
      <x:c r="B49" s="180" t="str">
        <x:v>INV-0047</x:v>
      </x:c>
      <x:c r="C49" s="181" t="n">
        <x:v>46005</x:v>
      </x:c>
      <x:c r="D49" s="182" t="n">
        <x:v>1036.33</x:v>
      </x:c>
      <x:c r="E49" s="180" t="str">
        <x:v>PayPal</x:v>
      </x:c>
      <x:c r="F49" s="180" t="str">
        <x:v>RCPT-47B</x:v>
      </x:c>
      <x:c r="G49" s="187" t="str">
        <x:f>IF(COUNTIF('Invoice Register'!$A$5:$A$184,B49)=1,"MATCHED","UNMATCHED")</x:f>
        <x:v>MATCHED</x:v>
      </x:c>
      <x:c r="H49" s="140"/>
      <x:c r="I49" s="140"/>
      <x:c r="J49" s="140"/>
      <x:c r="K49" s="140"/>
      <x:c r="L49" s="140"/>
    </x:row>
    <x:row r="50">
      <x:c r="A50" s="179" t="str">
        <x:v>PAY-0046</x:v>
      </x:c>
      <x:c r="B50" s="180" t="str">
        <x:v>INV-0048</x:v>
      </x:c>
      <x:c r="C50" s="181" t="n">
        <x:v>45991</x:v>
      </x:c>
      <x:c r="D50" s="182" t="n">
        <x:v>1789.51</x:v>
      </x:c>
      <x:c r="E50" s="180" t="str">
        <x:v>PayPal</x:v>
      </x:c>
      <x:c r="F50" s="180" t="str">
        <x:v>RCPT-48</x:v>
      </x:c>
      <x:c r="G50" s="187" t="str">
        <x:f>IF(COUNTIF('Invoice Register'!$A$5:$A$184,B50)=1,"MATCHED","UNMATCHED")</x:f>
        <x:v>MATCHED</x:v>
      </x:c>
      <x:c r="H50" s="140"/>
      <x:c r="I50" s="140"/>
      <x:c r="J50" s="140"/>
      <x:c r="K50" s="140"/>
      <x:c r="L50" s="140"/>
    </x:row>
    <x:row r="51">
      <x:c r="A51" s="179" t="str">
        <x:v>PAY-0047</x:v>
      </x:c>
      <x:c r="B51" s="180" t="str">
        <x:v>INV-0049</x:v>
      </x:c>
      <x:c r="C51" s="181" t="n">
        <x:v>46027</x:v>
      </x:c>
      <x:c r="D51" s="182" t="n">
        <x:v>1383.53</x:v>
      </x:c>
      <x:c r="E51" s="180" t="str">
        <x:v>Bank transfer</x:v>
      </x:c>
      <x:c r="F51" s="180" t="str">
        <x:v>RCPT-49</x:v>
      </x:c>
      <x:c r="G51" s="187" t="str">
        <x:f>IF(COUNTIF('Invoice Register'!$A$5:$A$184,B51)=1,"MATCHED","UNMATCHED")</x:f>
        <x:v>MATCHED</x:v>
      </x:c>
      <x:c r="H51" s="140"/>
      <x:c r="I51" s="140"/>
      <x:c r="J51" s="140"/>
      <x:c r="K51" s="140"/>
      <x:c r="L51" s="140"/>
    </x:row>
    <x:row r="52">
      <x:c r="A52" s="179" t="str">
        <x:v>PAY-0048</x:v>
      </x:c>
      <x:c r="B52" s="180" t="str">
        <x:v>INV-0050</x:v>
      </x:c>
      <x:c r="C52" s="181" t="n">
        <x:v>45988</x:v>
      </x:c>
      <x:c r="D52" s="182" t="n">
        <x:v>2849.58</x:v>
      </x:c>
      <x:c r="E52" s="180" t="str">
        <x:v>Card</x:v>
      </x:c>
      <x:c r="F52" s="180" t="str">
        <x:v>RCPT-50</x:v>
      </x:c>
      <x:c r="G52" s="187" t="str">
        <x:f>IF(COUNTIF('Invoice Register'!$A$5:$A$184,B52)=1,"MATCHED","UNMATCHED")</x:f>
        <x:v>MATCHED</x:v>
      </x:c>
      <x:c r="H52" s="140"/>
      <x:c r="I52" s="140"/>
      <x:c r="J52" s="140"/>
      <x:c r="K52" s="140"/>
      <x:c r="L52" s="140"/>
    </x:row>
    <x:row r="53">
      <x:c r="A53" s="179" t="str">
        <x:v>PAY-0049</x:v>
      </x:c>
      <x:c r="B53" s="180" t="str">
        <x:v>INV-0051</x:v>
      </x:c>
      <x:c r="C53" s="181" t="n">
        <x:v>46004</x:v>
      </x:c>
      <x:c r="D53" s="182" t="n">
        <x:v>529.56</x:v>
      </x:c>
      <x:c r="E53" s="180" t="str">
        <x:v>PayPal</x:v>
      </x:c>
      <x:c r="F53" s="180" t="str">
        <x:v>RCPT-51A</x:v>
      </x:c>
      <x:c r="G53" s="187" t="str">
        <x:f>IF(COUNTIF('Invoice Register'!$A$5:$A$184,B53)=1,"MATCHED","UNMATCHED")</x:f>
        <x:v>MATCHED</x:v>
      </x:c>
      <x:c r="H53" s="140"/>
      <x:c r="I53" s="140"/>
      <x:c r="J53" s="140"/>
      <x:c r="K53" s="140"/>
      <x:c r="L53" s="140"/>
    </x:row>
    <x:row r="54">
      <x:c r="A54" s="179" t="str">
        <x:v>PAY-0050</x:v>
      </x:c>
      <x:c r="B54" s="180" t="str">
        <x:v>INV-0051</x:v>
      </x:c>
      <x:c r="C54" s="181" t="n">
        <x:v>46009</x:v>
      </x:c>
      <x:c r="D54" s="182" t="n">
        <x:v>433.28</x:v>
      </x:c>
      <x:c r="E54" s="180" t="str">
        <x:v>Bank transfer</x:v>
      </x:c>
      <x:c r="F54" s="180" t="str">
        <x:v>RCPT-51B</x:v>
      </x:c>
      <x:c r="G54" s="187" t="str">
        <x:f>IF(COUNTIF('Invoice Register'!$A$5:$A$184,B54)=1,"MATCHED","UNMATCHED")</x:f>
        <x:v>MATCHED</x:v>
      </x:c>
      <x:c r="H54" s="140"/>
      <x:c r="I54" s="140"/>
      <x:c r="J54" s="140"/>
      <x:c r="K54" s="140"/>
      <x:c r="L54" s="140"/>
    </x:row>
    <x:row r="55">
      <x:c r="A55" s="179" t="str">
        <x:v>PAY-0051</x:v>
      </x:c>
      <x:c r="B55" s="180" t="str">
        <x:v>INV-0052</x:v>
      </x:c>
      <x:c r="C55" s="181" t="n">
        <x:v>46023</x:v>
      </x:c>
      <x:c r="D55" s="182" t="n">
        <x:v>985.05</x:v>
      </x:c>
      <x:c r="E55" s="180" t="str">
        <x:v>Bank transfer</x:v>
      </x:c>
      <x:c r="F55" s="180" t="str">
        <x:v>RCPT-52</x:v>
      </x:c>
      <x:c r="G55" s="187" t="str">
        <x:f>IF(COUNTIF('Invoice Register'!$A$5:$A$184,B55)=1,"MATCHED","UNMATCHED")</x:f>
        <x:v>MATCHED</x:v>
      </x:c>
      <x:c r="H55" s="140"/>
      <x:c r="I55" s="140"/>
      <x:c r="J55" s="140"/>
      <x:c r="K55" s="140"/>
      <x:c r="L55" s="140"/>
    </x:row>
    <x:row r="56">
      <x:c r="A56" s="179" t="str">
        <x:v>PAY-0052</x:v>
      </x:c>
      <x:c r="B56" s="180" t="str">
        <x:v>INV-0055</x:v>
      </x:c>
      <x:c r="C56" s="181" t="n">
        <x:v>45987</x:v>
      </x:c>
      <x:c r="D56" s="182" t="n">
        <x:v>1405.95</x:v>
      </x:c>
      <x:c r="E56" s="180" t="str">
        <x:v>Bank transfer</x:v>
      </x:c>
      <x:c r="F56" s="180" t="str">
        <x:v>RCPT-55</x:v>
      </x:c>
      <x:c r="G56" s="187" t="str">
        <x:f>IF(COUNTIF('Invoice Register'!$A$5:$A$184,B56)=1,"MATCHED","UNMATCHED")</x:f>
        <x:v>MATCHED</x:v>
      </x:c>
      <x:c r="H56" s="140"/>
      <x:c r="I56" s="140"/>
      <x:c r="J56" s="140"/>
      <x:c r="K56" s="140"/>
      <x:c r="L56" s="140"/>
    </x:row>
    <x:row r="57">
      <x:c r="A57" s="179" t="str">
        <x:v>PAY-0053</x:v>
      </x:c>
      <x:c r="B57" s="180" t="str">
        <x:v>INV-0056</x:v>
      </x:c>
      <x:c r="C57" s="181" t="n">
        <x:v>46015</x:v>
      </x:c>
      <x:c r="D57" s="182" t="n">
        <x:v>2580.15</x:v>
      </x:c>
      <x:c r="E57" s="180" t="str">
        <x:v>Card</x:v>
      </x:c>
      <x:c r="F57" s="180" t="str">
        <x:v>RCPT-56</x:v>
      </x:c>
      <x:c r="G57" s="187" t="str">
        <x:f>IF(COUNTIF('Invoice Register'!$A$5:$A$184,B57)=1,"MATCHED","UNMATCHED")</x:f>
        <x:v>MATCHED</x:v>
      </x:c>
      <x:c r="H57" s="140"/>
      <x:c r="I57" s="140"/>
      <x:c r="J57" s="140"/>
      <x:c r="K57" s="140"/>
      <x:c r="L57" s="140"/>
    </x:row>
    <x:row r="58">
      <x:c r="A58" s="179" t="str">
        <x:v>PAY-0054</x:v>
      </x:c>
      <x:c r="B58" s="180" t="str">
        <x:v>INV-0057</x:v>
      </x:c>
      <x:c r="C58" s="181" t="n">
        <x:v>46007</x:v>
      </x:c>
      <x:c r="D58" s="182" t="n">
        <x:v>1726.76</x:v>
      </x:c>
      <x:c r="E58" s="180" t="str">
        <x:v>PayPal</x:v>
      </x:c>
      <x:c r="F58" s="180" t="str">
        <x:v>RCPT-57</x:v>
      </x:c>
      <x:c r="G58" s="187" t="str">
        <x:f>IF(COUNTIF('Invoice Register'!$A$5:$A$184,B58)=1,"MATCHED","UNMATCHED")</x:f>
        <x:v>MATCHED</x:v>
      </x:c>
      <x:c r="H58" s="140"/>
      <x:c r="I58" s="140"/>
      <x:c r="J58" s="140"/>
      <x:c r="K58" s="140"/>
      <x:c r="L58" s="140"/>
    </x:row>
    <x:row r="59">
      <x:c r="A59" s="179" t="str">
        <x:v>PAY-0055</x:v>
      </x:c>
      <x:c r="B59" s="180" t="str">
        <x:v>INV-0058</x:v>
      </x:c>
      <x:c r="C59" s="181" t="n">
        <x:v>46004</x:v>
      </x:c>
      <x:c r="D59" s="182" t="n">
        <x:v>2014.52</x:v>
      </x:c>
      <x:c r="E59" s="180" t="str">
        <x:v>Bank transfer</x:v>
      </x:c>
      <x:c r="F59" s="180" t="str">
        <x:v>RCPT-58</x:v>
      </x:c>
      <x:c r="G59" s="187" t="str">
        <x:f>IF(COUNTIF('Invoice Register'!$A$5:$A$184,B59)=1,"MATCHED","UNMATCHED")</x:f>
        <x:v>MATCHED</x:v>
      </x:c>
      <x:c r="H59" s="140"/>
      <x:c r="I59" s="140"/>
      <x:c r="J59" s="140"/>
      <x:c r="K59" s="140"/>
      <x:c r="L59" s="140"/>
    </x:row>
    <x:row r="60">
      <x:c r="A60" s="179" t="str">
        <x:v>PAY-0056</x:v>
      </x:c>
      <x:c r="B60" s="180" t="str">
        <x:v>INV-0061</x:v>
      </x:c>
      <x:c r="C60" s="181" t="n">
        <x:v>46050</x:v>
      </x:c>
      <x:c r="D60" s="182" t="n">
        <x:v>2775.91</x:v>
      </x:c>
      <x:c r="E60" s="180" t="str">
        <x:v>Bank transfer</x:v>
      </x:c>
      <x:c r="F60" s="180" t="str">
        <x:v>RCPT-61</x:v>
      </x:c>
      <x:c r="G60" s="187" t="str">
        <x:f>IF(COUNTIF('Invoice Register'!$A$5:$A$184,B60)=1,"MATCHED","UNMATCHED")</x:f>
        <x:v>MATCHED</x:v>
      </x:c>
      <x:c r="H60" s="140"/>
      <x:c r="I60" s="140"/>
      <x:c r="J60" s="140"/>
      <x:c r="K60" s="140"/>
      <x:c r="L60" s="140"/>
    </x:row>
    <x:row r="61">
      <x:c r="A61" s="179" t="str">
        <x:v>PAY-0057</x:v>
      </x:c>
      <x:c r="B61" s="180" t="str">
        <x:v>INV-0062</x:v>
      </x:c>
      <x:c r="C61" s="181" t="n">
        <x:v>46013</x:v>
      </x:c>
      <x:c r="D61" s="182" t="n">
        <x:v>2296.23</x:v>
      </x:c>
      <x:c r="E61" s="180" t="str">
        <x:v>Card</x:v>
      </x:c>
      <x:c r="F61" s="180" t="str">
        <x:v>RCPT-62</x:v>
      </x:c>
      <x:c r="G61" s="187" t="str">
        <x:f>IF(COUNTIF('Invoice Register'!$A$5:$A$184,B61)=1,"MATCHED","UNMATCHED")</x:f>
        <x:v>MATCHED</x:v>
      </x:c>
      <x:c r="H61" s="140"/>
      <x:c r="I61" s="140"/>
      <x:c r="J61" s="140"/>
      <x:c r="K61" s="140"/>
      <x:c r="L61" s="140"/>
    </x:row>
    <x:row r="62">
      <x:c r="A62" s="179" t="str">
        <x:v>PAY-0058</x:v>
      </x:c>
      <x:c r="B62" s="180" t="str">
        <x:v>INV-0065</x:v>
      </x:c>
      <x:c r="C62" s="181" t="n">
        <x:v>46031</x:v>
      </x:c>
      <x:c r="D62" s="182" t="n">
        <x:v>675.33</x:v>
      </x:c>
      <x:c r="E62" s="180" t="str">
        <x:v>Card</x:v>
      </x:c>
      <x:c r="F62" s="180" t="str">
        <x:v>RCPT-65</x:v>
      </x:c>
      <x:c r="G62" s="187" t="str">
        <x:f>IF(COUNTIF('Invoice Register'!$A$5:$A$184,B62)=1,"MATCHED","UNMATCHED")</x:f>
        <x:v>MATCHED</x:v>
      </x:c>
      <x:c r="H62" s="140"/>
      <x:c r="I62" s="140"/>
      <x:c r="J62" s="140"/>
      <x:c r="K62" s="140"/>
      <x:c r="L62" s="140"/>
    </x:row>
    <x:row r="63">
      <x:c r="A63" s="179" t="str">
        <x:v>PAY-0059</x:v>
      </x:c>
      <x:c r="B63" s="180" t="str">
        <x:v>INV-0066</x:v>
      </x:c>
      <x:c r="C63" s="181" t="n">
        <x:v>46032</x:v>
      </x:c>
      <x:c r="D63" s="182" t="n">
        <x:v>3061.72</x:v>
      </x:c>
      <x:c r="E63" s="180" t="str">
        <x:v>PayPal</x:v>
      </x:c>
      <x:c r="F63" s="180" t="str">
        <x:v>RCPT-66</x:v>
      </x:c>
      <x:c r="G63" s="187" t="str">
        <x:f>IF(COUNTIF('Invoice Register'!$A$5:$A$184,B63)=1,"MATCHED","UNMATCHED")</x:f>
        <x:v>MATCHED</x:v>
      </x:c>
      <x:c r="H63" s="140"/>
      <x:c r="I63" s="140"/>
      <x:c r="J63" s="140"/>
      <x:c r="K63" s="140"/>
      <x:c r="L63" s="140"/>
    </x:row>
    <x:row r="64">
      <x:c r="A64" s="179" t="str">
        <x:v>PAY-0060</x:v>
      </x:c>
      <x:c r="B64" s="180" t="str">
        <x:v>INV-0067</x:v>
      </x:c>
      <x:c r="C64" s="181" t="n">
        <x:v>46049</x:v>
      </x:c>
      <x:c r="D64" s="182" t="n">
        <x:v>1412.52</x:v>
      </x:c>
      <x:c r="E64" s="180" t="str">
        <x:v>Bank transfer</x:v>
      </x:c>
      <x:c r="F64" s="180" t="str">
        <x:v>RCPT-67</x:v>
      </x:c>
      <x:c r="G64" s="187" t="str">
        <x:f>IF(COUNTIF('Invoice Register'!$A$5:$A$184,B64)=1,"MATCHED","UNMATCHED")</x:f>
        <x:v>MATCHED</x:v>
      </x:c>
      <x:c r="H64" s="140"/>
      <x:c r="I64" s="140"/>
      <x:c r="J64" s="140"/>
      <x:c r="K64" s="140"/>
      <x:c r="L64" s="140"/>
    </x:row>
    <x:row r="65">
      <x:c r="A65" s="179" t="str">
        <x:v>PAY-0061</x:v>
      </x:c>
      <x:c r="B65" s="180" t="str">
        <x:v>INV-0068</x:v>
      </x:c>
      <x:c r="C65" s="181" t="n">
        <x:v>46020</x:v>
      </x:c>
      <x:c r="D65" s="182" t="n">
        <x:v>1311.55</x:v>
      </x:c>
      <x:c r="E65" s="180" t="str">
        <x:v>Card</x:v>
      </x:c>
      <x:c r="F65" s="180" t="str">
        <x:v>RCPT-68A</x:v>
      </x:c>
      <x:c r="G65" s="187" t="str">
        <x:f>IF(COUNTIF('Invoice Register'!$A$5:$A$184,B65)=1,"MATCHED","UNMATCHED")</x:f>
        <x:v>MATCHED</x:v>
      </x:c>
      <x:c r="H65" s="140"/>
      <x:c r="I65" s="140"/>
      <x:c r="J65" s="140"/>
      <x:c r="K65" s="140"/>
      <x:c r="L65" s="140"/>
    </x:row>
    <x:row r="66">
      <x:c r="A66" s="179" t="str">
        <x:v>PAY-0062</x:v>
      </x:c>
      <x:c r="B66" s="180" t="str">
        <x:v>INV-0068</x:v>
      </x:c>
      <x:c r="C66" s="181" t="n">
        <x:v>46024</x:v>
      </x:c>
      <x:c r="D66" s="182" t="n">
        <x:v>1073.09</x:v>
      </x:c>
      <x:c r="E66" s="180" t="str">
        <x:v>PayPal</x:v>
      </x:c>
      <x:c r="F66" s="180" t="str">
        <x:v>RCPT-68B</x:v>
      </x:c>
      <x:c r="G66" s="187" t="str">
        <x:f>IF(COUNTIF('Invoice Register'!$A$5:$A$184,B66)=1,"MATCHED","UNMATCHED")</x:f>
        <x:v>MATCHED</x:v>
      </x:c>
      <x:c r="H66" s="140"/>
      <x:c r="I66" s="140"/>
      <x:c r="J66" s="140"/>
      <x:c r="K66" s="140"/>
      <x:c r="L66" s="140"/>
    </x:row>
    <x:row r="67">
      <x:c r="A67" s="179" t="str">
        <x:v>PAY-0063</x:v>
      </x:c>
      <x:c r="B67" s="180" t="str">
        <x:v>INV-0069</x:v>
      </x:c>
      <x:c r="C67" s="181" t="n">
        <x:v>46026</x:v>
      </x:c>
      <x:c r="D67" s="182" t="n">
        <x:v>621.5</x:v>
      </x:c>
      <x:c r="E67" s="180" t="str">
        <x:v>PayPal</x:v>
      </x:c>
      <x:c r="F67" s="180" t="str">
        <x:v>RCPT-69</x:v>
      </x:c>
      <x:c r="G67" s="187" t="str">
        <x:f>IF(COUNTIF('Invoice Register'!$A$5:$A$184,B67)=1,"MATCHED","UNMATCHED")</x:f>
        <x:v>MATCHED</x:v>
      </x:c>
      <x:c r="H67" s="140"/>
      <x:c r="I67" s="140"/>
      <x:c r="J67" s="140"/>
      <x:c r="K67" s="140"/>
      <x:c r="L67" s="140"/>
    </x:row>
    <x:row r="68">
      <x:c r="A68" s="179" t="str">
        <x:v>PAY-0064</x:v>
      </x:c>
      <x:c r="B68" s="180" t="str">
        <x:v>INV-0070</x:v>
      </x:c>
      <x:c r="C68" s="181" t="n">
        <x:v>46031</x:v>
      </x:c>
      <x:c r="D68" s="182" t="n">
        <x:v>2025.55</x:v>
      </x:c>
      <x:c r="E68" s="180" t="str">
        <x:v>Bank transfer</x:v>
      </x:c>
      <x:c r="F68" s="180" t="str">
        <x:v>RCPT-70</x:v>
      </x:c>
      <x:c r="G68" s="187" t="str">
        <x:f>IF(COUNTIF('Invoice Register'!$A$5:$A$184,B68)=1,"MATCHED","UNMATCHED")</x:f>
        <x:v>MATCHED</x:v>
      </x:c>
      <x:c r="H68" s="140"/>
      <x:c r="I68" s="140"/>
      <x:c r="J68" s="140"/>
      <x:c r="K68" s="140"/>
      <x:c r="L68" s="140"/>
    </x:row>
    <x:row r="69">
      <x:c r="A69" s="179" t="str">
        <x:v>PAY-0065</x:v>
      </x:c>
      <x:c r="B69" s="180" t="str">
        <x:v>INV-0071</x:v>
      </x:c>
      <x:c r="C69" s="181" t="n">
        <x:v>46034</x:v>
      </x:c>
      <x:c r="D69" s="182" t="n">
        <x:v>2082.32</x:v>
      </x:c>
      <x:c r="E69" s="180" t="str">
        <x:v>Card</x:v>
      </x:c>
      <x:c r="F69" s="180" t="str">
        <x:v>RCPT-71</x:v>
      </x:c>
      <x:c r="G69" s="187" t="str">
        <x:f>IF(COUNTIF('Invoice Register'!$A$5:$A$184,B69)=1,"MATCHED","UNMATCHED")</x:f>
        <x:v>MATCHED</x:v>
      </x:c>
      <x:c r="H69" s="140"/>
      <x:c r="I69" s="140"/>
      <x:c r="J69" s="140"/>
      <x:c r="K69" s="140"/>
      <x:c r="L69" s="140"/>
    </x:row>
    <x:row r="70">
      <x:c r="A70" s="179" t="str">
        <x:v>PAY-0066</x:v>
      </x:c>
      <x:c r="B70" s="180" t="str">
        <x:v>INV-0073</x:v>
      </x:c>
      <x:c r="C70" s="181" t="n">
        <x:v>46029</x:v>
      </x:c>
      <x:c r="D70" s="182" t="n">
        <x:v>1361.29</x:v>
      </x:c>
      <x:c r="E70" s="180" t="str">
        <x:v>Bank transfer</x:v>
      </x:c>
      <x:c r="F70" s="180" t="str">
        <x:v>RCPT-73</x:v>
      </x:c>
      <x:c r="G70" s="187" t="str">
        <x:f>IF(COUNTIF('Invoice Register'!$A$5:$A$184,B70)=1,"MATCHED","UNMATCHED")</x:f>
        <x:v>MATCHED</x:v>
      </x:c>
      <x:c r="H70" s="140"/>
      <x:c r="I70" s="140"/>
      <x:c r="J70" s="140"/>
      <x:c r="K70" s="140"/>
      <x:c r="L70" s="140"/>
    </x:row>
    <x:row r="71">
      <x:c r="A71" s="179" t="str">
        <x:v>PAY-0067</x:v>
      </x:c>
      <x:c r="B71" s="180" t="str">
        <x:v>INV-0074</x:v>
      </x:c>
      <x:c r="C71" s="181" t="n">
        <x:v>46038</x:v>
      </x:c>
      <x:c r="D71" s="182" t="n">
        <x:v>664.31</x:v>
      </x:c>
      <x:c r="E71" s="180" t="str">
        <x:v>Card</x:v>
      </x:c>
      <x:c r="F71" s="180" t="str">
        <x:v>RCPT-74A</x:v>
      </x:c>
      <x:c r="G71" s="187" t="str">
        <x:f>IF(COUNTIF('Invoice Register'!$A$5:$A$184,B71)=1,"MATCHED","UNMATCHED")</x:f>
        <x:v>MATCHED</x:v>
      </x:c>
      <x:c r="H71" s="140"/>
      <x:c r="I71" s="140"/>
      <x:c r="J71" s="140"/>
      <x:c r="K71" s="140"/>
      <x:c r="L71" s="140"/>
    </x:row>
    <x:row r="72">
      <x:c r="A72" s="179" t="str">
        <x:v>PAY-0068</x:v>
      </x:c>
      <x:c r="B72" s="180" t="str">
        <x:v>INV-0074</x:v>
      </x:c>
      <x:c r="C72" s="181" t="n">
        <x:v>46043</x:v>
      </x:c>
      <x:c r="D72" s="182" t="n">
        <x:v>543.52</x:v>
      </x:c>
      <x:c r="E72" s="180" t="str">
        <x:v>PayPal</x:v>
      </x:c>
      <x:c r="F72" s="180" t="str">
        <x:v>RCPT-74B</x:v>
      </x:c>
      <x:c r="G72" s="187" t="str">
        <x:f>IF(COUNTIF('Invoice Register'!$A$5:$A$184,B72)=1,"MATCHED","UNMATCHED")</x:f>
        <x:v>MATCHED</x:v>
      </x:c>
      <x:c r="H72" s="140"/>
      <x:c r="I72" s="140"/>
      <x:c r="J72" s="140"/>
      <x:c r="K72" s="140"/>
      <x:c r="L72" s="140"/>
    </x:row>
    <x:row r="73">
      <x:c r="A73" s="179" t="str">
        <x:v>PAY-0069</x:v>
      </x:c>
      <x:c r="B73" s="180" t="str">
        <x:v>INV-0075</x:v>
      </x:c>
      <x:c r="C73" s="181" t="n">
        <x:v>46064</x:v>
      </x:c>
      <x:c r="D73" s="182" t="n">
        <x:v>1568.58</x:v>
      </x:c>
      <x:c r="E73" s="180" t="str">
        <x:v>PayPal</x:v>
      </x:c>
      <x:c r="F73" s="180" t="str">
        <x:v>RCPT-75</x:v>
      </x:c>
      <x:c r="G73" s="187" t="str">
        <x:f>IF(COUNTIF('Invoice Register'!$A$5:$A$184,B73)=1,"MATCHED","UNMATCHED")</x:f>
        <x:v>MATCHED</x:v>
      </x:c>
      <x:c r="H73" s="140"/>
      <x:c r="I73" s="140"/>
      <x:c r="J73" s="140"/>
      <x:c r="K73" s="140"/>
      <x:c r="L73" s="140"/>
    </x:row>
    <x:row r="74">
      <x:c r="A74" s="179" t="str">
        <x:v>PAY-0070</x:v>
      </x:c>
      <x:c r="B74" s="180" t="str">
        <x:v>INV-0077</x:v>
      </x:c>
      <x:c r="C74" s="181" t="n">
        <x:v>46058</x:v>
      </x:c>
      <x:c r="D74" s="182" t="n">
        <x:v>702.08</x:v>
      </x:c>
      <x:c r="E74" s="180" t="str">
        <x:v>Card</x:v>
      </x:c>
      <x:c r="F74" s="180" t="str">
        <x:v>RCPT-77</x:v>
      </x:c>
      <x:c r="G74" s="187" t="str">
        <x:f>IF(COUNTIF('Invoice Register'!$A$5:$A$184,B74)=1,"MATCHED","UNMATCHED")</x:f>
        <x:v>MATCHED</x:v>
      </x:c>
      <x:c r="H74" s="140"/>
      <x:c r="I74" s="140"/>
      <x:c r="J74" s="140"/>
      <x:c r="K74" s="140"/>
      <x:c r="L74" s="140"/>
    </x:row>
    <x:row r="75">
      <x:c r="A75" s="179" t="str">
        <x:v>PAY-0071</x:v>
      </x:c>
      <x:c r="B75" s="180" t="str">
        <x:v>INV-0078</x:v>
      </x:c>
      <x:c r="C75" s="181" t="n">
        <x:v>46041</x:v>
      </x:c>
      <x:c r="D75" s="182" t="n">
        <x:v>1436.42</x:v>
      </x:c>
      <x:c r="E75" s="180" t="str">
        <x:v>PayPal</x:v>
      </x:c>
      <x:c r="F75" s="180" t="str">
        <x:v>RCPT-78A</x:v>
      </x:c>
      <x:c r="G75" s="187" t="str">
        <x:f>IF(COUNTIF('Invoice Register'!$A$5:$A$184,B75)=1,"MATCHED","UNMATCHED")</x:f>
        <x:v>MATCHED</x:v>
      </x:c>
      <x:c r="H75" s="140"/>
      <x:c r="I75" s="140"/>
      <x:c r="J75" s="140"/>
      <x:c r="K75" s="140"/>
      <x:c r="L75" s="140"/>
    </x:row>
    <x:row r="76">
      <x:c r="A76" s="179" t="str">
        <x:v>PAY-0072</x:v>
      </x:c>
      <x:c r="B76" s="180" t="str">
        <x:v>INV-0078</x:v>
      </x:c>
      <x:c r="C76" s="181" t="n">
        <x:v>46045</x:v>
      </x:c>
      <x:c r="D76" s="182" t="n">
        <x:v>1175.26</x:v>
      </x:c>
      <x:c r="E76" s="180" t="str">
        <x:v>Bank transfer</x:v>
      </x:c>
      <x:c r="F76" s="180" t="str">
        <x:v>RCPT-78B</x:v>
      </x:c>
      <x:c r="G76" s="187" t="str">
        <x:f>IF(COUNTIF('Invoice Register'!$A$5:$A$184,B76)=1,"MATCHED","UNMATCHED")</x:f>
        <x:v>MATCHED</x:v>
      </x:c>
      <x:c r="H76" s="140"/>
      <x:c r="I76" s="140"/>
      <x:c r="J76" s="140"/>
      <x:c r="K76" s="140"/>
      <x:c r="L76" s="140"/>
    </x:row>
    <x:row r="77">
      <x:c r="A77" s="179" t="str">
        <x:v>PAY-0073</x:v>
      </x:c>
      <x:c r="B77" s="180" t="str">
        <x:v>INV-0079</x:v>
      </x:c>
      <x:c r="C77" s="181" t="n">
        <x:v>46051</x:v>
      </x:c>
      <x:c r="D77" s="182" t="n">
        <x:v>568.79</x:v>
      </x:c>
      <x:c r="E77" s="180" t="str">
        <x:v>Bank transfer</x:v>
      </x:c>
      <x:c r="F77" s="180" t="str">
        <x:v>RCPT-79</x:v>
      </x:c>
      <x:c r="G77" s="187" t="str">
        <x:f>IF(COUNTIF('Invoice Register'!$A$5:$A$184,B77)=1,"MATCHED","UNMATCHED")</x:f>
        <x:v>MATCHED</x:v>
      </x:c>
      <x:c r="H77" s="140"/>
      <x:c r="I77" s="140"/>
      <x:c r="J77" s="140"/>
      <x:c r="K77" s="140"/>
      <x:c r="L77" s="140"/>
    </x:row>
    <x:row r="78">
      <x:c r="A78" s="179" t="str">
        <x:v>PAY-0074</x:v>
      </x:c>
      <x:c r="B78" s="180" t="str">
        <x:v>INV-0080</x:v>
      </x:c>
      <x:c r="C78" s="181" t="n">
        <x:v>46039</x:v>
      </x:c>
      <x:c r="D78" s="182" t="n">
        <x:v>2587.27</x:v>
      </x:c>
      <x:c r="E78" s="180" t="str">
        <x:v>Card</x:v>
      </x:c>
      <x:c r="F78" s="180" t="str">
        <x:v>RCPT-80</x:v>
      </x:c>
      <x:c r="G78" s="187" t="str">
        <x:f>IF(COUNTIF('Invoice Register'!$A$5:$A$184,B78)=1,"MATCHED","UNMATCHED")</x:f>
        <x:v>MATCHED</x:v>
      </x:c>
      <x:c r="H78" s="140"/>
      <x:c r="I78" s="140"/>
      <x:c r="J78" s="140"/>
      <x:c r="K78" s="140"/>
      <x:c r="L78" s="140"/>
    </x:row>
    <x:row r="79">
      <x:c r="A79" s="179" t="str">
        <x:v>PAY-0075</x:v>
      </x:c>
      <x:c r="B79" s="180" t="str">
        <x:v>INV-0081</x:v>
      </x:c>
      <x:c r="C79" s="181" t="n">
        <x:v>46043</x:v>
      </x:c>
      <x:c r="D79" s="182" t="n">
        <x:v>602.24</x:v>
      </x:c>
      <x:c r="E79" s="180" t="str">
        <x:v>PayPal</x:v>
      </x:c>
      <x:c r="F79" s="180" t="str">
        <x:v>RCPT-81</x:v>
      </x:c>
      <x:c r="G79" s="187" t="str">
        <x:f>IF(COUNTIF('Invoice Register'!$A$5:$A$184,B79)=1,"MATCHED","UNMATCHED")</x:f>
        <x:v>MATCHED</x:v>
      </x:c>
      <x:c r="H79" s="140"/>
      <x:c r="I79" s="140"/>
      <x:c r="J79" s="140"/>
      <x:c r="K79" s="140"/>
      <x:c r="L79" s="140"/>
    </x:row>
    <x:row r="80">
      <x:c r="A80" s="179" t="str">
        <x:v>PAY-0076</x:v>
      </x:c>
      <x:c r="B80" s="180" t="str">
        <x:v>INV-0082</x:v>
      </x:c>
      <x:c r="C80" s="181" t="n">
        <x:v>46051</x:v>
      </x:c>
      <x:c r="D80" s="182" t="n">
        <x:v>668.53</x:v>
      </x:c>
      <x:c r="E80" s="180" t="str">
        <x:v>Bank transfer</x:v>
      </x:c>
      <x:c r="F80" s="180" t="str">
        <x:v>RCPT-82</x:v>
      </x:c>
      <x:c r="G80" s="187" t="str">
        <x:f>IF(COUNTIF('Invoice Register'!$A$5:$A$184,B80)=1,"MATCHED","UNMATCHED")</x:f>
        <x:v>MATCHED</x:v>
      </x:c>
      <x:c r="H80" s="140"/>
      <x:c r="I80" s="140"/>
      <x:c r="J80" s="140"/>
      <x:c r="K80" s="140"/>
      <x:c r="L80" s="140"/>
    </x:row>
    <x:row r="81">
      <x:c r="A81" s="179" t="str">
        <x:v>PAY-0077</x:v>
      </x:c>
      <x:c r="B81" s="180" t="str">
        <x:v>INV-0083</x:v>
      </x:c>
      <x:c r="C81" s="181" t="n">
        <x:v>46081</x:v>
      </x:c>
      <x:c r="D81" s="182" t="n">
        <x:v>690.81</x:v>
      </x:c>
      <x:c r="E81" s="180" t="str">
        <x:v>Card</x:v>
      </x:c>
      <x:c r="F81" s="180" t="str">
        <x:v>RCPT-83</x:v>
      </x:c>
      <x:c r="G81" s="187" t="str">
        <x:f>IF(COUNTIF('Invoice Register'!$A$5:$A$184,B81)=1,"MATCHED","UNMATCHED")</x:f>
        <x:v>MATCHED</x:v>
      </x:c>
      <x:c r="H81" s="140"/>
      <x:c r="I81" s="140"/>
      <x:c r="J81" s="140"/>
      <x:c r="K81" s="140"/>
      <x:c r="L81" s="140"/>
    </x:row>
    <x:row r="82">
      <x:c r="A82" s="179" t="str">
        <x:v>PAY-0078</x:v>
      </x:c>
      <x:c r="B82" s="180" t="str">
        <x:v>INV-0085</x:v>
      </x:c>
      <x:c r="C82" s="181" t="n">
        <x:v>46091</x:v>
      </x:c>
      <x:c r="D82" s="182" t="n">
        <x:v>992.32</x:v>
      </x:c>
      <x:c r="E82" s="180" t="str">
        <x:v>Bank transfer</x:v>
      </x:c>
      <x:c r="F82" s="180" t="str">
        <x:v>RCPT-85</x:v>
      </x:c>
      <x:c r="G82" s="187" t="str">
        <x:f>IF(COUNTIF('Invoice Register'!$A$5:$A$184,B82)=1,"MATCHED","UNMATCHED")</x:f>
        <x:v>MATCHED</x:v>
      </x:c>
      <x:c r="H82" s="140"/>
      <x:c r="I82" s="140"/>
      <x:c r="J82" s="140"/>
      <x:c r="K82" s="140"/>
      <x:c r="L82" s="140"/>
    </x:row>
    <x:row r="83">
      <x:c r="A83" s="179" t="str">
        <x:v>PAY-0079</x:v>
      </x:c>
      <x:c r="B83" s="180" t="str">
        <x:v>INV-0087</x:v>
      </x:c>
      <x:c r="C83" s="181" t="n">
        <x:v>46076</x:v>
      </x:c>
      <x:c r="D83" s="182" t="n">
        <x:v>2560.22</x:v>
      </x:c>
      <x:c r="E83" s="180" t="str">
        <x:v>PayPal</x:v>
      </x:c>
      <x:c r="F83" s="180" t="str">
        <x:v>RCPT-87</x:v>
      </x:c>
      <x:c r="G83" s="187" t="str">
        <x:f>IF(COUNTIF('Invoice Register'!$A$5:$A$184,B83)=1,"MATCHED","UNMATCHED")</x:f>
        <x:v>MATCHED</x:v>
      </x:c>
      <x:c r="H83" s="140"/>
      <x:c r="I83" s="140"/>
      <x:c r="J83" s="140"/>
      <x:c r="K83" s="140"/>
      <x:c r="L83" s="140"/>
    </x:row>
    <x:row r="84">
      <x:c r="A84" s="179" t="str">
        <x:v>PAY-0080</x:v>
      </x:c>
      <x:c r="B84" s="180" t="str">
        <x:v>INV-0088</x:v>
      </x:c>
      <x:c r="C84" s="181" t="n">
        <x:v>46067</x:v>
      </x:c>
      <x:c r="D84" s="182" t="n">
        <x:v>1119.84</x:v>
      </x:c>
      <x:c r="E84" s="180" t="str">
        <x:v>Bank transfer</x:v>
      </x:c>
      <x:c r="F84" s="180" t="str">
        <x:v>RCPT-88</x:v>
      </x:c>
      <x:c r="G84" s="187" t="str">
        <x:f>IF(COUNTIF('Invoice Register'!$A$5:$A$184,B84)=1,"MATCHED","UNMATCHED")</x:f>
        <x:v>MATCHED</x:v>
      </x:c>
      <x:c r="H84" s="140"/>
      <x:c r="I84" s="140"/>
      <x:c r="J84" s="140"/>
      <x:c r="K84" s="140"/>
      <x:c r="L84" s="140"/>
    </x:row>
    <x:row r="85">
      <x:c r="A85" s="179" t="str">
        <x:v>PAY-0081</x:v>
      </x:c>
      <x:c r="B85" s="180" t="str">
        <x:v>INV-0089</x:v>
      </x:c>
      <x:c r="C85" s="181" t="n">
        <x:v>46084</x:v>
      </x:c>
      <x:c r="D85" s="182" t="n">
        <x:v>921.62</x:v>
      </x:c>
      <x:c r="E85" s="180" t="str">
        <x:v>Card</x:v>
      </x:c>
      <x:c r="F85" s="180" t="str">
        <x:v>RCPT-89</x:v>
      </x:c>
      <x:c r="G85" s="187" t="str">
        <x:f>IF(COUNTIF('Invoice Register'!$A$5:$A$184,B85)=1,"MATCHED","UNMATCHED")</x:f>
        <x:v>MATCHED</x:v>
      </x:c>
      <x:c r="H85" s="140"/>
      <x:c r="I85" s="140"/>
      <x:c r="J85" s="140"/>
      <x:c r="K85" s="140"/>
      <x:c r="L85" s="140"/>
    </x:row>
    <x:row r="86">
      <x:c r="A86" s="179" t="str">
        <x:v>PAY-0082</x:v>
      </x:c>
      <x:c r="B86" s="180" t="str">
        <x:v>INV-0091</x:v>
      </x:c>
      <x:c r="C86" s="181" t="n">
        <x:v>46072</x:v>
      </x:c>
      <x:c r="D86" s="182" t="n">
        <x:v>424.33</x:v>
      </x:c>
      <x:c r="E86" s="180" t="str">
        <x:v>Bank transfer</x:v>
      </x:c>
      <x:c r="F86" s="180" t="str">
        <x:v>RCPT-91</x:v>
      </x:c>
      <x:c r="G86" s="187" t="str">
        <x:f>IF(COUNTIF('Invoice Register'!$A$5:$A$184,B86)=1,"MATCHED","UNMATCHED")</x:f>
        <x:v>MATCHED</x:v>
      </x:c>
      <x:c r="H86" s="140"/>
      <x:c r="I86" s="140"/>
      <x:c r="J86" s="140"/>
      <x:c r="K86" s="140"/>
      <x:c r="L86" s="140"/>
    </x:row>
    <x:row r="87">
      <x:c r="A87" s="179" t="str">
        <x:v>PAY-0083</x:v>
      </x:c>
      <x:c r="B87" s="180" t="str">
        <x:v>INV-0092</x:v>
      </x:c>
      <x:c r="C87" s="181" t="n">
        <x:v>46099</x:v>
      </x:c>
      <x:c r="D87" s="182" t="n">
        <x:v>456.57</x:v>
      </x:c>
      <x:c r="E87" s="180" t="str">
        <x:v>Card</x:v>
      </x:c>
      <x:c r="F87" s="180" t="str">
        <x:v>RCPT-92</x:v>
      </x:c>
      <x:c r="G87" s="187" t="str">
        <x:f>IF(COUNTIF('Invoice Register'!$A$5:$A$184,B87)=1,"MATCHED","UNMATCHED")</x:f>
        <x:v>MATCHED</x:v>
      </x:c>
      <x:c r="H87" s="140"/>
      <x:c r="I87" s="140"/>
      <x:c r="J87" s="140"/>
      <x:c r="K87" s="140"/>
      <x:c r="L87" s="140"/>
    </x:row>
    <x:row r="88">
      <x:c r="A88" s="179" t="str">
        <x:v>PAY-0084</x:v>
      </x:c>
      <x:c r="B88" s="180" t="str">
        <x:v>INV-0093</x:v>
      </x:c>
      <x:c r="C88" s="181" t="n">
        <x:v>46104</x:v>
      </x:c>
      <x:c r="D88" s="182" t="n">
        <x:v>1854.7</x:v>
      </x:c>
      <x:c r="E88" s="180" t="str">
        <x:v>PayPal</x:v>
      </x:c>
      <x:c r="F88" s="180" t="str">
        <x:v>RCPT-93</x:v>
      </x:c>
      <x:c r="G88" s="187" t="str">
        <x:f>IF(COUNTIF('Invoice Register'!$A$5:$A$184,B88)=1,"MATCHED","UNMATCHED")</x:f>
        <x:v>MATCHED</x:v>
      </x:c>
      <x:c r="H88" s="140"/>
      <x:c r="I88" s="140"/>
      <x:c r="J88" s="140"/>
      <x:c r="K88" s="140"/>
      <x:c r="L88" s="140"/>
    </x:row>
    <x:row r="89">
      <x:c r="A89" s="179" t="str">
        <x:v>PAY-0085</x:v>
      </x:c>
      <x:c r="B89" s="180" t="str">
        <x:v>INV-0094</x:v>
      </x:c>
      <x:c r="C89" s="181" t="n">
        <x:v>46071</x:v>
      </x:c>
      <x:c r="D89" s="182" t="n">
        <x:v>846.71</x:v>
      </x:c>
      <x:c r="E89" s="180" t="str">
        <x:v>Bank transfer</x:v>
      </x:c>
      <x:c r="F89" s="180" t="str">
        <x:v>RCPT-94A</x:v>
      </x:c>
      <x:c r="G89" s="187" t="str">
        <x:f>IF(COUNTIF('Invoice Register'!$A$5:$A$184,B89)=1,"MATCHED","UNMATCHED")</x:f>
        <x:v>MATCHED</x:v>
      </x:c>
      <x:c r="H89" s="140"/>
      <x:c r="I89" s="140"/>
      <x:c r="J89" s="140"/>
      <x:c r="K89" s="140"/>
      <x:c r="L89" s="140"/>
    </x:row>
    <x:row r="90">
      <x:c r="A90" s="179" t="str">
        <x:v>PAY-0086</x:v>
      </x:c>
      <x:c r="B90" s="180" t="str">
        <x:v>INV-0094</x:v>
      </x:c>
      <x:c r="C90" s="181" t="n">
        <x:v>46082</x:v>
      </x:c>
      <x:c r="D90" s="182" t="n">
        <x:v>692.76</x:v>
      </x:c>
      <x:c r="E90" s="180" t="str">
        <x:v>Card</x:v>
      </x:c>
      <x:c r="F90" s="180" t="str">
        <x:v>RCPT-94B</x:v>
      </x:c>
      <x:c r="G90" s="187" t="str">
        <x:f>IF(COUNTIF('Invoice Register'!$A$5:$A$184,B90)=1,"MATCHED","UNMATCHED")</x:f>
        <x:v>MATCHED</x:v>
      </x:c>
      <x:c r="H90" s="140"/>
      <x:c r="I90" s="140"/>
      <x:c r="J90" s="140"/>
      <x:c r="K90" s="140"/>
      <x:c r="L90" s="140"/>
    </x:row>
    <x:row r="91">
      <x:c r="A91" s="179" t="str">
        <x:v>PAY-0087</x:v>
      </x:c>
      <x:c r="B91" s="180" t="str">
        <x:v>INV-0095</x:v>
      </x:c>
      <x:c r="C91" s="181" t="n">
        <x:v>46105</x:v>
      </x:c>
      <x:c r="D91" s="182" t="n">
        <x:v>1992.65</x:v>
      </x:c>
      <x:c r="E91" s="180" t="str">
        <x:v>Card</x:v>
      </x:c>
      <x:c r="F91" s="180" t="str">
        <x:v>RCPT-95</x:v>
      </x:c>
      <x:c r="G91" s="187" t="str">
        <x:f>IF(COUNTIF('Invoice Register'!$A$5:$A$184,B91)=1,"MATCHED","UNMATCHED")</x:f>
        <x:v>MATCHED</x:v>
      </x:c>
      <x:c r="H91" s="140"/>
      <x:c r="I91" s="140"/>
      <x:c r="J91" s="140"/>
      <x:c r="K91" s="140"/>
      <x:c r="L91" s="140"/>
    </x:row>
    <x:row r="92">
      <x:c r="A92" s="179" t="str">
        <x:v>PAY-0088</x:v>
      </x:c>
      <x:c r="B92" s="180" t="str">
        <x:v>INV-0096</x:v>
      </x:c>
      <x:c r="C92" s="181" t="n">
        <x:v>46087</x:v>
      </x:c>
      <x:c r="D92" s="182" t="n">
        <x:v>347.38</x:v>
      </x:c>
      <x:c r="E92" s="180" t="str">
        <x:v>PayPal</x:v>
      </x:c>
      <x:c r="F92" s="180" t="str">
        <x:v>RCPT-96A</x:v>
      </x:c>
      <x:c r="G92" s="187" t="str">
        <x:f>IF(COUNTIF('Invoice Register'!$A$5:$A$184,B92)=1,"MATCHED","UNMATCHED")</x:f>
        <x:v>MATCHED</x:v>
      </x:c>
      <x:c r="H92" s="140"/>
      <x:c r="I92" s="140"/>
      <x:c r="J92" s="140"/>
      <x:c r="K92" s="140"/>
      <x:c r="L92" s="140"/>
    </x:row>
    <x:row r="93">
      <x:c r="A93" s="179" t="str">
        <x:v>PAY-0089</x:v>
      </x:c>
      <x:c r="B93" s="180" t="str">
        <x:v>INV-0096</x:v>
      </x:c>
      <x:c r="C93" s="181" t="n">
        <x:v>46095</x:v>
      </x:c>
      <x:c r="D93" s="182" t="n">
        <x:v>284.22</x:v>
      </x:c>
      <x:c r="E93" s="180" t="str">
        <x:v>Bank transfer</x:v>
      </x:c>
      <x:c r="F93" s="180" t="str">
        <x:v>RCPT-96B</x:v>
      </x:c>
      <x:c r="G93" s="187" t="str">
        <x:f>IF(COUNTIF('Invoice Register'!$A$5:$A$184,B93)=1,"MATCHED","UNMATCHED")</x:f>
        <x:v>MATCHED</x:v>
      </x:c>
      <x:c r="H93" s="140"/>
      <x:c r="I93" s="140"/>
      <x:c r="J93" s="140"/>
      <x:c r="K93" s="140"/>
      <x:c r="L93" s="140"/>
    </x:row>
    <x:row r="94">
      <x:c r="A94" s="179" t="str">
        <x:v>PAY-0090</x:v>
      </x:c>
      <x:c r="B94" s="180" t="str">
        <x:v>INV-0097</x:v>
      </x:c>
      <x:c r="C94" s="181" t="n">
        <x:v>46108</x:v>
      </x:c>
      <x:c r="D94" s="182" t="n">
        <x:v>2505.13</x:v>
      </x:c>
      <x:c r="E94" s="180" t="str">
        <x:v>Bank transfer</x:v>
      </x:c>
      <x:c r="F94" s="180" t="str">
        <x:v>RCPT-97</x:v>
      </x:c>
      <x:c r="G94" s="187" t="str">
        <x:f>IF(COUNTIF('Invoice Register'!$A$5:$A$184,B94)=1,"MATCHED","UNMATCHED")</x:f>
        <x:v>MATCHED</x:v>
      </x:c>
      <x:c r="H94" s="140"/>
      <x:c r="I94" s="140"/>
      <x:c r="J94" s="140"/>
      <x:c r="K94" s="140"/>
      <x:c r="L94" s="140"/>
    </x:row>
    <x:row r="95">
      <x:c r="A95" s="179" t="str">
        <x:v>PAY-0091</x:v>
      </x:c>
      <x:c r="B95" s="180" t="str">
        <x:v>INV-0098</x:v>
      </x:c>
      <x:c r="C95" s="181" t="n">
        <x:v>46110</x:v>
      </x:c>
      <x:c r="D95" s="182" t="n">
        <x:v>575.37</x:v>
      </x:c>
      <x:c r="E95" s="180" t="str">
        <x:v>Card</x:v>
      </x:c>
      <x:c r="F95" s="180" t="str">
        <x:v>RCPT-98</x:v>
      </x:c>
      <x:c r="G95" s="187" t="str">
        <x:f>IF(COUNTIF('Invoice Register'!$A$5:$A$184,B95)=1,"MATCHED","UNMATCHED")</x:f>
        <x:v>MATCHED</x:v>
      </x:c>
      <x:c r="H95" s="140"/>
      <x:c r="I95" s="140"/>
      <x:c r="J95" s="140"/>
      <x:c r="K95" s="140"/>
      <x:c r="L95" s="140"/>
    </x:row>
    <x:row r="96">
      <x:c r="A96" s="179" t="str">
        <x:v>PAY-0092</x:v>
      </x:c>
      <x:c r="B96" s="180" t="str">
        <x:v>INV-0099</x:v>
      </x:c>
      <x:c r="C96" s="181" t="n">
        <x:v>46105</x:v>
      </x:c>
      <x:c r="D96" s="182" t="n">
        <x:v>1663.76</x:v>
      </x:c>
      <x:c r="E96" s="180" t="str">
        <x:v>PayPal</x:v>
      </x:c>
      <x:c r="F96" s="180" t="str">
        <x:v>RCPT-99</x:v>
      </x:c>
      <x:c r="G96" s="187" t="str">
        <x:f>IF(COUNTIF('Invoice Register'!$A$5:$A$184,B96)=1,"MATCHED","UNMATCHED")</x:f>
        <x:v>MATCHED</x:v>
      </x:c>
      <x:c r="H96" s="140"/>
      <x:c r="I96" s="140"/>
      <x:c r="J96" s="140"/>
      <x:c r="K96" s="140"/>
      <x:c r="L96" s="140"/>
    </x:row>
    <x:row r="97">
      <x:c r="A97" s="179" t="str">
        <x:v>PAY-0093</x:v>
      </x:c>
      <x:c r="B97" s="180" t="str">
        <x:v>INV-0100</x:v>
      </x:c>
      <x:c r="C97" s="181" t="n">
        <x:v>46113</x:v>
      </x:c>
      <x:c r="D97" s="182" t="n">
        <x:v>1833.09</x:v>
      </x:c>
      <x:c r="E97" s="180" t="str">
        <x:v>Bank transfer</x:v>
      </x:c>
      <x:c r="F97" s="180" t="str">
        <x:v>RCPT-100</x:v>
      </x:c>
      <x:c r="G97" s="187" t="str">
        <x:f>IF(COUNTIF('Invoice Register'!$A$5:$A$184,B97)=1,"MATCHED","UNMATCHED")</x:f>
        <x:v>MATCHED</x:v>
      </x:c>
      <x:c r="H97" s="140"/>
      <x:c r="I97" s="140"/>
      <x:c r="J97" s="140"/>
      <x:c r="K97" s="140"/>
      <x:c r="L97" s="140"/>
    </x:row>
    <x:row r="98">
      <x:c r="A98" s="179" t="str">
        <x:v>PAY-0094</x:v>
      </x:c>
      <x:c r="B98" s="180" t="str">
        <x:v>INV-0102</x:v>
      </x:c>
      <x:c r="C98" s="181" t="n">
        <x:v>46086</x:v>
      </x:c>
      <x:c r="D98" s="182" t="n">
        <x:v>558.88</x:v>
      </x:c>
      <x:c r="E98" s="180" t="str">
        <x:v>PayPal</x:v>
      </x:c>
      <x:c r="F98" s="180" t="str">
        <x:v>RCPT-102</x:v>
      </x:c>
      <x:c r="G98" s="187" t="str">
        <x:f>IF(COUNTIF('Invoice Register'!$A$5:$A$184,B98)=1,"MATCHED","UNMATCHED")</x:f>
        <x:v>MATCHED</x:v>
      </x:c>
      <x:c r="H98" s="140"/>
      <x:c r="I98" s="140"/>
      <x:c r="J98" s="140"/>
      <x:c r="K98" s="140"/>
      <x:c r="L98" s="140"/>
    </x:row>
    <x:row r="99">
      <x:c r="A99" s="179" t="str">
        <x:v>PAY-0095</x:v>
      </x:c>
      <x:c r="B99" s="180" t="str">
        <x:v>INV-0104</x:v>
      </x:c>
      <x:c r="C99" s="181" t="n">
        <x:v>46104</x:v>
      </x:c>
      <x:c r="D99" s="182" t="n">
        <x:v>2607.59</x:v>
      </x:c>
      <x:c r="E99" s="180" t="str">
        <x:v>Card</x:v>
      </x:c>
      <x:c r="F99" s="180" t="str">
        <x:v>RCPT-104</x:v>
      </x:c>
      <x:c r="G99" s="187" t="str">
        <x:f>IF(COUNTIF('Invoice Register'!$A$5:$A$184,B99)=1,"MATCHED","UNMATCHED")</x:f>
        <x:v>MATCHED</x:v>
      </x:c>
      <x:c r="H99" s="140"/>
      <x:c r="I99" s="140"/>
      <x:c r="J99" s="140"/>
      <x:c r="K99" s="140"/>
      <x:c r="L99" s="140"/>
    </x:row>
    <x:row r="100">
      <x:c r="A100" s="179" t="str">
        <x:v>PAY-0096</x:v>
      </x:c>
      <x:c r="B100" s="180" t="str">
        <x:v>INV-0105</x:v>
      </x:c>
      <x:c r="C100" s="181" t="n">
        <x:v>46138</x:v>
      </x:c>
      <x:c r="D100" s="182" t="n">
        <x:v>2435.67</x:v>
      </x:c>
      <x:c r="E100" s="180" t="str">
        <x:v>PayPal</x:v>
      </x:c>
      <x:c r="F100" s="180" t="str">
        <x:v>RCPT-105</x:v>
      </x:c>
      <x:c r="G100" s="187" t="str">
        <x:f>IF(COUNTIF('Invoice Register'!$A$5:$A$184,B100)=1,"MATCHED","UNMATCHED")</x:f>
        <x:v>MATCHED</x:v>
      </x:c>
      <x:c r="H100" s="140"/>
      <x:c r="I100" s="140"/>
      <x:c r="J100" s="140"/>
      <x:c r="K100" s="140"/>
      <x:c r="L100" s="140"/>
    </x:row>
    <x:row r="101">
      <x:c r="A101" s="179" t="str">
        <x:v>PAY-0097</x:v>
      </x:c>
      <x:c r="B101" s="180" t="str">
        <x:v>INV-0107</x:v>
      </x:c>
      <x:c r="C101" s="181" t="n">
        <x:v>46101</x:v>
      </x:c>
      <x:c r="D101" s="182" t="n">
        <x:v>1092.21</x:v>
      </x:c>
      <x:c r="E101" s="180" t="str">
        <x:v>Card</x:v>
      </x:c>
      <x:c r="F101" s="180" t="str">
        <x:v>RCPT-107</x:v>
      </x:c>
      <x:c r="G101" s="187" t="str">
        <x:f>IF(COUNTIF('Invoice Register'!$A$5:$A$184,B101)=1,"MATCHED","UNMATCHED")</x:f>
        <x:v>MATCHED</x:v>
      </x:c>
      <x:c r="H101" s="140"/>
      <x:c r="I101" s="140"/>
      <x:c r="J101" s="140"/>
      <x:c r="K101" s="140"/>
      <x:c r="L101" s="140"/>
    </x:row>
    <x:row r="102">
      <x:c r="A102" s="179" t="str">
        <x:v>PAY-0098</x:v>
      </x:c>
      <x:c r="B102" s="180" t="str">
        <x:v>INV-0108</x:v>
      </x:c>
      <x:c r="C102" s="181" t="n">
        <x:v>46120</x:v>
      </x:c>
      <x:c r="D102" s="182" t="n">
        <x:v>1852.67</x:v>
      </x:c>
      <x:c r="E102" s="180" t="str">
        <x:v>PayPal</x:v>
      </x:c>
      <x:c r="F102" s="180" t="str">
        <x:v>RCPT-108</x:v>
      </x:c>
      <x:c r="G102" s="187" t="str">
        <x:f>IF(COUNTIF('Invoice Register'!$A$5:$A$184,B102)=1,"MATCHED","UNMATCHED")</x:f>
        <x:v>MATCHED</x:v>
      </x:c>
      <x:c r="H102" s="140"/>
      <x:c r="I102" s="140"/>
      <x:c r="J102" s="140"/>
      <x:c r="K102" s="140"/>
      <x:c r="L102" s="140"/>
    </x:row>
    <x:row r="103">
      <x:c r="A103" s="179" t="str">
        <x:v>PAY-0099</x:v>
      </x:c>
      <x:c r="B103" s="180" t="str">
        <x:v>INV-0109</x:v>
      </x:c>
      <x:c r="C103" s="181" t="n">
        <x:v>46145</x:v>
      </x:c>
      <x:c r="D103" s="182" t="n">
        <x:v>1672.56</x:v>
      </x:c>
      <x:c r="E103" s="180" t="str">
        <x:v>Bank transfer</x:v>
      </x:c>
      <x:c r="F103" s="180" t="str">
        <x:v>RCPT-109</x:v>
      </x:c>
      <x:c r="G103" s="187" t="str">
        <x:f>IF(COUNTIF('Invoice Register'!$A$5:$A$184,B103)=1,"MATCHED","UNMATCHED")</x:f>
        <x:v>MATCHED</x:v>
      </x:c>
      <x:c r="H103" s="140"/>
      <x:c r="I103" s="140"/>
      <x:c r="J103" s="140"/>
      <x:c r="K103" s="140"/>
      <x:c r="L103" s="140"/>
    </x:row>
    <x:row r="104">
      <x:c r="A104" s="179" t="str">
        <x:v>PAY-0100</x:v>
      </x:c>
      <x:c r="B104" s="180" t="str">
        <x:v>INV-0110</x:v>
      </x:c>
      <x:c r="C104" s="181" t="n">
        <x:v>46126</x:v>
      </x:c>
      <x:c r="D104" s="182" t="n">
        <x:v>2238.51</x:v>
      </x:c>
      <x:c r="E104" s="180" t="str">
        <x:v>Card</x:v>
      </x:c>
      <x:c r="F104" s="180" t="str">
        <x:v>RCPT-110</x:v>
      </x:c>
      <x:c r="G104" s="187" t="str">
        <x:f>IF(COUNTIF('Invoice Register'!$A$5:$A$184,B104)=1,"MATCHED","UNMATCHED")</x:f>
        <x:v>MATCHED</x:v>
      </x:c>
      <x:c r="H104" s="140"/>
      <x:c r="I104" s="140"/>
      <x:c r="J104" s="140"/>
      <x:c r="K104" s="140"/>
      <x:c r="L104" s="140"/>
    </x:row>
    <x:row r="105">
      <x:c r="A105" s="179" t="str">
        <x:v>PAY-0101</x:v>
      </x:c>
      <x:c r="B105" s="180" t="str">
        <x:v>INV-0111</x:v>
      </x:c>
      <x:c r="C105" s="181" t="n">
        <x:v>46153</x:v>
      </x:c>
      <x:c r="D105" s="182" t="n">
        <x:v>1698.5</x:v>
      </x:c>
      <x:c r="E105" s="180" t="str">
        <x:v>PayPal</x:v>
      </x:c>
      <x:c r="F105" s="180" t="str">
        <x:v>RCPT-111</x:v>
      </x:c>
      <x:c r="G105" s="187" t="str">
        <x:f>IF(COUNTIF('Invoice Register'!$A$5:$A$184,B105)=1,"MATCHED","UNMATCHED")</x:f>
        <x:v>MATCHED</x:v>
      </x:c>
      <x:c r="H105" s="140"/>
      <x:c r="I105" s="140"/>
      <x:c r="J105" s="140"/>
      <x:c r="K105" s="140"/>
      <x:c r="L105" s="140"/>
    </x:row>
    <x:row r="106">
      <x:c r="A106" s="179" t="str">
        <x:v>PAY-0102</x:v>
      </x:c>
      <x:c r="B106" s="180" t="str">
        <x:v>INV-0112</x:v>
      </x:c>
      <x:c r="C106" s="181" t="n">
        <x:v>46104</x:v>
      </x:c>
      <x:c r="D106" s="182" t="n">
        <x:v>2852.06</x:v>
      </x:c>
      <x:c r="E106" s="180" t="str">
        <x:v>Bank transfer</x:v>
      </x:c>
      <x:c r="F106" s="180" t="str">
        <x:v>RCPT-112</x:v>
      </x:c>
      <x:c r="G106" s="187" t="str">
        <x:f>IF(COUNTIF('Invoice Register'!$A$5:$A$184,B106)=1,"MATCHED","UNMATCHED")</x:f>
        <x:v>MATCHED</x:v>
      </x:c>
      <x:c r="H106" s="140"/>
      <x:c r="I106" s="140"/>
      <x:c r="J106" s="140"/>
      <x:c r="K106" s="140"/>
      <x:c r="L106" s="140"/>
    </x:row>
    <x:row r="107">
      <x:c r="A107" s="179" t="str">
        <x:v>PAY-0103</x:v>
      </x:c>
      <x:c r="B107" s="180" t="str">
        <x:v>INV-0113</x:v>
      </x:c>
      <x:c r="C107" s="181" t="n">
        <x:v>46114</x:v>
      </x:c>
      <x:c r="D107" s="182" t="n">
        <x:v>743.34</x:v>
      </x:c>
      <x:c r="E107" s="180" t="str">
        <x:v>Card</x:v>
      </x:c>
      <x:c r="F107" s="180" t="str">
        <x:v>RCPT-113A</x:v>
      </x:c>
      <x:c r="G107" s="187" t="str">
        <x:f>IF(COUNTIF('Invoice Register'!$A$5:$A$184,B107)=1,"MATCHED","UNMATCHED")</x:f>
        <x:v>MATCHED</x:v>
      </x:c>
      <x:c r="H107" s="140"/>
      <x:c r="I107" s="140"/>
      <x:c r="J107" s="140"/>
      <x:c r="K107" s="140"/>
      <x:c r="L107" s="140"/>
    </x:row>
    <x:row r="108">
      <x:c r="A108" s="179" t="str">
        <x:v>PAY-0104</x:v>
      </x:c>
      <x:c r="B108" s="180" t="str">
        <x:v>INV-0113</x:v>
      </x:c>
      <x:c r="C108" s="181" t="n">
        <x:v>46121</x:v>
      </x:c>
      <x:c r="D108" s="182" t="n">
        <x:v>608.18</x:v>
      </x:c>
      <x:c r="E108" s="180" t="str">
        <x:v>PayPal</x:v>
      </x:c>
      <x:c r="F108" s="180" t="str">
        <x:v>RCPT-113B</x:v>
      </x:c>
      <x:c r="G108" s="187" t="str">
        <x:f>IF(COUNTIF('Invoice Register'!$A$5:$A$184,B108)=1,"MATCHED","UNMATCHED")</x:f>
        <x:v>MATCHED</x:v>
      </x:c>
      <x:c r="H108" s="140"/>
      <x:c r="I108" s="140"/>
      <x:c r="J108" s="140"/>
      <x:c r="K108" s="140"/>
      <x:c r="L108" s="140"/>
    </x:row>
    <x:row r="109">
      <x:c r="A109" s="179" t="str">
        <x:v>PAY-0105</x:v>
      </x:c>
      <x:c r="B109" s="180" t="str">
        <x:v>INV-0115</x:v>
      </x:c>
      <x:c r="C109" s="181" t="n">
        <x:v>46110</x:v>
      </x:c>
      <x:c r="D109" s="182" t="n">
        <x:v>553.31</x:v>
      </x:c>
      <x:c r="E109" s="180" t="str">
        <x:v>Bank transfer</x:v>
      </x:c>
      <x:c r="F109" s="180" t="str">
        <x:v>RCPT-115A</x:v>
      </x:c>
      <x:c r="G109" s="187" t="str">
        <x:f>IF(COUNTIF('Invoice Register'!$A$5:$A$184,B109)=1,"MATCHED","UNMATCHED")</x:f>
        <x:v>MATCHED</x:v>
      </x:c>
      <x:c r="H109" s="140"/>
      <x:c r="I109" s="140"/>
      <x:c r="J109" s="140"/>
      <x:c r="K109" s="140"/>
      <x:c r="L109" s="140"/>
    </x:row>
    <x:row r="110">
      <x:c r="A110" s="179" t="str">
        <x:v>PAY-0106</x:v>
      </x:c>
      <x:c r="B110" s="180" t="str">
        <x:v>INV-0115</x:v>
      </x:c>
      <x:c r="C110" s="181" t="n">
        <x:v>46140</x:v>
      </x:c>
      <x:c r="D110" s="182" t="n">
        <x:v>452.7</x:v>
      </x:c>
      <x:c r="E110" s="180" t="str">
        <x:v>Card</x:v>
      </x:c>
      <x:c r="F110" s="180" t="str">
        <x:v>RCPT-115B</x:v>
      </x:c>
      <x:c r="G110" s="187" t="str">
        <x:f>IF(COUNTIF('Invoice Register'!$A$5:$A$184,B110)=1,"MATCHED","UNMATCHED")</x:f>
        <x:v>MATCHED</x:v>
      </x:c>
      <x:c r="H110" s="140"/>
      <x:c r="I110" s="140"/>
      <x:c r="J110" s="140"/>
      <x:c r="K110" s="140"/>
      <x:c r="L110" s="140"/>
    </x:row>
    <x:row r="111">
      <x:c r="A111" s="179" t="str">
        <x:v>PAY-0107</x:v>
      </x:c>
      <x:c r="B111" s="180" t="str">
        <x:v>INV-0116</x:v>
      </x:c>
      <x:c r="C111" s="181" t="n">
        <x:v>46120</x:v>
      </x:c>
      <x:c r="D111" s="182" t="n">
        <x:v>2928.79</x:v>
      </x:c>
      <x:c r="E111" s="180" t="str">
        <x:v>Card</x:v>
      </x:c>
      <x:c r="F111" s="180" t="str">
        <x:v>RCPT-116</x:v>
      </x:c>
      <x:c r="G111" s="187" t="str">
        <x:f>IF(COUNTIF('Invoice Register'!$A$5:$A$184,B111)=1,"MATCHED","UNMATCHED")</x:f>
        <x:v>MATCHED</x:v>
      </x:c>
      <x:c r="H111" s="140"/>
      <x:c r="I111" s="140"/>
      <x:c r="J111" s="140"/>
      <x:c r="K111" s="140"/>
      <x:c r="L111" s="140"/>
    </x:row>
    <x:row r="112">
      <x:c r="A112" s="179" t="str">
        <x:v>PAY-0108</x:v>
      </x:c>
      <x:c r="B112" s="180" t="str">
        <x:v>INV-0117</x:v>
      </x:c>
      <x:c r="C112" s="181" t="n">
        <x:v>46118</x:v>
      </x:c>
      <x:c r="D112" s="182" t="n">
        <x:v>930.53</x:v>
      </x:c>
      <x:c r="E112" s="180" t="str">
        <x:v>PayPal</x:v>
      </x:c>
      <x:c r="F112" s="180" t="str">
        <x:v>RCPT-117</x:v>
      </x:c>
      <x:c r="G112" s="187" t="str">
        <x:f>IF(COUNTIF('Invoice Register'!$A$5:$A$184,B112)=1,"MATCHED","UNMATCHED")</x:f>
        <x:v>MATCHED</x:v>
      </x:c>
      <x:c r="H112" s="140"/>
      <x:c r="I112" s="140"/>
      <x:c r="J112" s="140"/>
      <x:c r="K112" s="140"/>
      <x:c r="L112" s="140"/>
    </x:row>
    <x:row r="113">
      <x:c r="A113" s="179" t="str">
        <x:v>PAY-0109</x:v>
      </x:c>
      <x:c r="B113" s="180" t="str">
        <x:v>INV-0118</x:v>
      </x:c>
      <x:c r="C113" s="181" t="n">
        <x:v>46124</x:v>
      </x:c>
      <x:c r="D113" s="182" t="n">
        <x:v>1905.52</x:v>
      </x:c>
      <x:c r="E113" s="180" t="str">
        <x:v>Bank transfer</x:v>
      </x:c>
      <x:c r="F113" s="180" t="str">
        <x:v>RCPT-118</x:v>
      </x:c>
      <x:c r="G113" s="187" t="str">
        <x:f>IF(COUNTIF('Invoice Register'!$A$5:$A$184,B113)=1,"MATCHED","UNMATCHED")</x:f>
        <x:v>MATCHED</x:v>
      </x:c>
      <x:c r="H113" s="140"/>
      <x:c r="I113" s="140"/>
      <x:c r="J113" s="140"/>
      <x:c r="K113" s="140"/>
      <x:c r="L113" s="140"/>
    </x:row>
    <x:row r="114">
      <x:c r="A114" s="179" t="str">
        <x:v>PAY-0110</x:v>
      </x:c>
      <x:c r="B114" s="180" t="str">
        <x:v>INV-0119</x:v>
      </x:c>
      <x:c r="C114" s="181" t="n">
        <x:v>46155</x:v>
      </x:c>
      <x:c r="D114" s="182" t="n">
        <x:v>906.4</x:v>
      </x:c>
      <x:c r="E114" s="180" t="str">
        <x:v>Card</x:v>
      </x:c>
      <x:c r="F114" s="180" t="str">
        <x:v>RCPT-119</x:v>
      </x:c>
      <x:c r="G114" s="187" t="str">
        <x:f>IF(COUNTIF('Invoice Register'!$A$5:$A$184,B114)=1,"MATCHED","UNMATCHED")</x:f>
        <x:v>MATCHED</x:v>
      </x:c>
      <x:c r="H114" s="140"/>
      <x:c r="I114" s="140"/>
      <x:c r="J114" s="140"/>
      <x:c r="K114" s="140"/>
      <x:c r="L114" s="140"/>
    </x:row>
    <x:row r="115">
      <x:c r="A115" s="179" t="str">
        <x:v>PAY-0111</x:v>
      </x:c>
      <x:c r="B115" s="180" t="str">
        <x:v>INV-0121</x:v>
      </x:c>
      <x:c r="C115" s="181" t="n">
        <x:v>46173</x:v>
      </x:c>
      <x:c r="D115" s="182" t="n">
        <x:v>895.15</x:v>
      </x:c>
      <x:c r="E115" s="180" t="str">
        <x:v>Bank transfer</x:v>
      </x:c>
      <x:c r="F115" s="180" t="str">
        <x:v>RCPT-121</x:v>
      </x:c>
      <x:c r="G115" s="187" t="str">
        <x:f>IF(COUNTIF('Invoice Register'!$A$5:$A$184,B115)=1,"MATCHED","UNMATCHED")</x:f>
        <x:v>MATCHED</x:v>
      </x:c>
      <x:c r="H115" s="140"/>
      <x:c r="I115" s="140"/>
      <x:c r="J115" s="140"/>
      <x:c r="K115" s="140"/>
      <x:c r="L115" s="140"/>
    </x:row>
    <x:row r="116">
      <x:c r="A116" s="179" t="str">
        <x:v>PAY-0112</x:v>
      </x:c>
      <x:c r="B116" s="180" t="str">
        <x:v>INV-0122</x:v>
      </x:c>
      <x:c r="C116" s="181" t="n">
        <x:v>46126</x:v>
      </x:c>
      <x:c r="D116" s="182" t="n">
        <x:v>1730.41</x:v>
      </x:c>
      <x:c r="E116" s="180" t="str">
        <x:v>Card</x:v>
      </x:c>
      <x:c r="F116" s="180" t="str">
        <x:v>RCPT-122</x:v>
      </x:c>
      <x:c r="G116" s="187" t="str">
        <x:f>IF(COUNTIF('Invoice Register'!$A$5:$A$184,B116)=1,"MATCHED","UNMATCHED")</x:f>
        <x:v>MATCHED</x:v>
      </x:c>
      <x:c r="H116" s="140"/>
      <x:c r="I116" s="140"/>
      <x:c r="J116" s="140"/>
      <x:c r="K116" s="140"/>
      <x:c r="L116" s="140"/>
    </x:row>
    <x:row r="117">
      <x:c r="A117" s="179" t="str">
        <x:v>PAY-0113</x:v>
      </x:c>
      <x:c r="B117" s="180" t="str">
        <x:v>INV-0123</x:v>
      </x:c>
      <x:c r="C117" s="181" t="n">
        <x:v>46156</x:v>
      </x:c>
      <x:c r="D117" s="182" t="n">
        <x:v>1385.17</x:v>
      </x:c>
      <x:c r="E117" s="180" t="str">
        <x:v>PayPal</x:v>
      </x:c>
      <x:c r="F117" s="180" t="str">
        <x:v>RCPT-123</x:v>
      </x:c>
      <x:c r="G117" s="187" t="str">
        <x:f>IF(COUNTIF('Invoice Register'!$A$5:$A$184,B117)=1,"MATCHED","UNMATCHED")</x:f>
        <x:v>MATCHED</x:v>
      </x:c>
      <x:c r="H117" s="140"/>
      <x:c r="I117" s="140"/>
      <x:c r="J117" s="140"/>
      <x:c r="K117" s="140"/>
      <x:c r="L117" s="140"/>
    </x:row>
    <x:row r="118">
      <x:c r="A118" s="179" t="str">
        <x:v>PAY-0114</x:v>
      </x:c>
      <x:c r="B118" s="180" t="str">
        <x:v>INV-0124</x:v>
      </x:c>
      <x:c r="C118" s="181" t="n">
        <x:v>46142</x:v>
      </x:c>
      <x:c r="D118" s="182" t="n">
        <x:v>1246.34</x:v>
      </x:c>
      <x:c r="E118" s="180" t="str">
        <x:v>Bank transfer</x:v>
      </x:c>
      <x:c r="F118" s="180" t="str">
        <x:v>RCPT-124A</x:v>
      </x:c>
      <x:c r="G118" s="187" t="str">
        <x:f>IF(COUNTIF('Invoice Register'!$A$5:$A$184,B118)=1,"MATCHED","UNMATCHED")</x:f>
        <x:v>MATCHED</x:v>
      </x:c>
      <x:c r="H118" s="140"/>
      <x:c r="I118" s="140"/>
      <x:c r="J118" s="140"/>
      <x:c r="K118" s="140"/>
      <x:c r="L118" s="140"/>
    </x:row>
    <x:row r="119">
      <x:c r="A119" s="179" t="str">
        <x:v>PAY-0115</x:v>
      </x:c>
      <x:c r="B119" s="180" t="str">
        <x:v>INV-0124</x:v>
      </x:c>
      <x:c r="C119" s="181" t="n">
        <x:v>46159</x:v>
      </x:c>
      <x:c r="D119" s="182" t="n">
        <x:v>1019.74</x:v>
      </x:c>
      <x:c r="E119" s="180" t="str">
        <x:v>Card</x:v>
      </x:c>
      <x:c r="F119" s="180" t="str">
        <x:v>RCPT-124B</x:v>
      </x:c>
      <x:c r="G119" s="187" t="str">
        <x:f>IF(COUNTIF('Invoice Register'!$A$5:$A$184,B119)=1,"MATCHED","UNMATCHED")</x:f>
        <x:v>MATCHED</x:v>
      </x:c>
      <x:c r="H119" s="140"/>
      <x:c r="I119" s="140"/>
      <x:c r="J119" s="140"/>
      <x:c r="K119" s="140"/>
      <x:c r="L119" s="140"/>
    </x:row>
    <x:row r="120">
      <x:c r="A120" s="179" t="str">
        <x:v>PAY-0116</x:v>
      </x:c>
      <x:c r="B120" s="180" t="str">
        <x:v>INV-0125</x:v>
      </x:c>
      <x:c r="C120" s="181" t="n">
        <x:v>46131</x:v>
      </x:c>
      <x:c r="D120" s="182" t="n">
        <x:v>444</x:v>
      </x:c>
      <x:c r="E120" s="180" t="str">
        <x:v>Card</x:v>
      </x:c>
      <x:c r="F120" s="180" t="str">
        <x:v>RCPT-125</x:v>
      </x:c>
      <x:c r="G120" s="187" t="str">
        <x:f>IF(COUNTIF('Invoice Register'!$A$5:$A$184,B120)=1,"MATCHED","UNMATCHED")</x:f>
        <x:v>MATCHED</x:v>
      </x:c>
      <x:c r="H120" s="140"/>
      <x:c r="I120" s="140"/>
      <x:c r="J120" s="140"/>
      <x:c r="K120" s="140"/>
      <x:c r="L120" s="140"/>
    </x:row>
    <x:row r="121">
      <x:c r="A121" s="179" t="str">
        <x:v>PAY-0117</x:v>
      </x:c>
      <x:c r="B121" s="180" t="str">
        <x:v>INV-0126</x:v>
      </x:c>
      <x:c r="C121" s="181" t="n">
        <x:v>46154</x:v>
      </x:c>
      <x:c r="D121" s="182" t="n">
        <x:v>1131.13</x:v>
      </x:c>
      <x:c r="E121" s="180" t="str">
        <x:v>PayPal</x:v>
      </x:c>
      <x:c r="F121" s="180" t="str">
        <x:v>RCPT-126</x:v>
      </x:c>
      <x:c r="G121" s="187" t="str">
        <x:f>IF(COUNTIF('Invoice Register'!$A$5:$A$184,B121)=1,"MATCHED","UNMATCHED")</x:f>
        <x:v>MATCHED</x:v>
      </x:c>
      <x:c r="H121" s="140"/>
      <x:c r="I121" s="140"/>
      <x:c r="J121" s="140"/>
      <x:c r="K121" s="140"/>
      <x:c r="L121" s="140"/>
    </x:row>
    <x:row r="122">
      <x:c r="A122" s="179" t="str">
        <x:v>PAY-0118</x:v>
      </x:c>
      <x:c r="B122" s="180" t="str">
        <x:v>INV-0127</x:v>
      </x:c>
      <x:c r="C122" s="181" t="n">
        <x:v>46159</x:v>
      </x:c>
      <x:c r="D122" s="182" t="n">
        <x:v>1510.34</x:v>
      </x:c>
      <x:c r="E122" s="180" t="str">
        <x:v>Bank transfer</x:v>
      </x:c>
      <x:c r="F122" s="180" t="str">
        <x:v>RCPT-127</x:v>
      </x:c>
      <x:c r="G122" s="187" t="str">
        <x:f>IF(COUNTIF('Invoice Register'!$A$5:$A$184,B122)=1,"MATCHED","UNMATCHED")</x:f>
        <x:v>MATCHED</x:v>
      </x:c>
      <x:c r="H122" s="140"/>
      <x:c r="I122" s="140"/>
      <x:c r="J122" s="140"/>
      <x:c r="K122" s="140"/>
      <x:c r="L122" s="140"/>
    </x:row>
    <x:row r="123">
      <x:c r="A123" s="179" t="str">
        <x:v>PAY-0119</x:v>
      </x:c>
      <x:c r="B123" s="180" t="str">
        <x:v>INV-0128</x:v>
      </x:c>
      <x:c r="C123" s="181" t="n">
        <x:v>46148</x:v>
      </x:c>
      <x:c r="D123" s="182" t="n">
        <x:v>933.36</x:v>
      </x:c>
      <x:c r="E123" s="180" t="str">
        <x:v>Card</x:v>
      </x:c>
      <x:c r="F123" s="180" t="str">
        <x:v>RCPT-128</x:v>
      </x:c>
      <x:c r="G123" s="187" t="str">
        <x:f>IF(COUNTIF('Invoice Register'!$A$5:$A$184,B123)=1,"MATCHED","UNMATCHED")</x:f>
        <x:v>MATCHED</x:v>
      </x:c>
      <x:c r="H123" s="140"/>
      <x:c r="I123" s="140"/>
      <x:c r="J123" s="140"/>
      <x:c r="K123" s="140"/>
      <x:c r="L123" s="140"/>
    </x:row>
    <x:row r="124">
      <x:c r="A124" s="179" t="str">
        <x:v>PAY-0120</x:v>
      </x:c>
      <x:c r="B124" s="180" t="str">
        <x:v>INV-0129</x:v>
      </x:c>
      <x:c r="C124" s="181" t="n">
        <x:v>46157</x:v>
      </x:c>
      <x:c r="D124" s="182" t="n">
        <x:v>2815.36</x:v>
      </x:c>
      <x:c r="E124" s="180" t="str">
        <x:v>PayPal</x:v>
      </x:c>
      <x:c r="F124" s="180" t="str">
        <x:v>RCPT-129</x:v>
      </x:c>
      <x:c r="G124" s="187" t="str">
        <x:f>IF(COUNTIF('Invoice Register'!$A$5:$A$184,B124)=1,"MATCHED","UNMATCHED")</x:f>
        <x:v>MATCHED</x:v>
      </x:c>
      <x:c r="H124" s="140"/>
      <x:c r="I124" s="140"/>
      <x:c r="J124" s="140"/>
      <x:c r="K124" s="140"/>
      <x:c r="L124" s="140"/>
    </x:row>
    <x:row r="125">
      <x:c r="A125" s="179" t="str">
        <x:v>PAY-0121</x:v>
      </x:c>
      <x:c r="B125" s="180" t="str">
        <x:v>INV-0130</x:v>
      </x:c>
      <x:c r="C125" s="181" t="n">
        <x:v>46142</x:v>
      </x:c>
      <x:c r="D125" s="182" t="n">
        <x:v>1047.2</x:v>
      </x:c>
      <x:c r="E125" s="180" t="str">
        <x:v>Bank transfer</x:v>
      </x:c>
      <x:c r="F125" s="180" t="str">
        <x:v>RCPT-130</x:v>
      </x:c>
      <x:c r="G125" s="187" t="str">
        <x:f>IF(COUNTIF('Invoice Register'!$A$5:$A$184,B125)=1,"MATCHED","UNMATCHED")</x:f>
        <x:v>MATCHED</x:v>
      </x:c>
      <x:c r="H125" s="140"/>
      <x:c r="I125" s="140"/>
      <x:c r="J125" s="140"/>
      <x:c r="K125" s="140"/>
      <x:c r="L125" s="140"/>
    </x:row>
    <x:row r="126">
      <x:c r="A126" s="179" t="str">
        <x:v>PAY-0122</x:v>
      </x:c>
      <x:c r="B126" s="180" t="str">
        <x:v>INV-0131</x:v>
      </x:c>
      <x:c r="C126" s="181" t="n">
        <x:v>46163</x:v>
      </x:c>
      <x:c r="D126" s="182" t="n">
        <x:v>2335.75</x:v>
      </x:c>
      <x:c r="E126" s="180" t="str">
        <x:v>Card</x:v>
      </x:c>
      <x:c r="F126" s="180" t="str">
        <x:v>RCPT-131</x:v>
      </x:c>
      <x:c r="G126" s="187" t="str">
        <x:f>IF(COUNTIF('Invoice Register'!$A$5:$A$184,B126)=1,"MATCHED","UNMATCHED")</x:f>
        <x:v>MATCHED</x:v>
      </x:c>
      <x:c r="H126" s="140"/>
      <x:c r="I126" s="140"/>
      <x:c r="J126" s="140"/>
      <x:c r="K126" s="140"/>
      <x:c r="L126" s="140"/>
    </x:row>
    <x:row r="127">
      <x:c r="A127" s="179" t="str">
        <x:v>PAY-0123</x:v>
      </x:c>
      <x:c r="B127" s="180" t="str">
        <x:v>INV-0132</x:v>
      </x:c>
      <x:c r="C127" s="181" t="n">
        <x:v>46167</x:v>
      </x:c>
      <x:c r="D127" s="182" t="n">
        <x:v>1705.84</x:v>
      </x:c>
      <x:c r="E127" s="180" t="str">
        <x:v>PayPal</x:v>
      </x:c>
      <x:c r="F127" s="180" t="str">
        <x:v>RCPT-132</x:v>
      </x:c>
      <x:c r="G127" s="187" t="str">
        <x:f>IF(COUNTIF('Invoice Register'!$A$5:$A$184,B127)=1,"MATCHED","UNMATCHED")</x:f>
        <x:v>MATCHED</x:v>
      </x:c>
      <x:c r="H127" s="140"/>
      <x:c r="I127" s="140"/>
      <x:c r="J127" s="140"/>
      <x:c r="K127" s="140"/>
      <x:c r="L127" s="140"/>
    </x:row>
    <x:row r="128">
      <x:c r="A128" s="179" t="str">
        <x:v>PAY-0124</x:v>
      </x:c>
      <x:c r="B128" s="180" t="str">
        <x:v>INV-0133</x:v>
      </x:c>
      <x:c r="C128" s="181" t="n">
        <x:v>46192</x:v>
      </x:c>
      <x:c r="D128" s="182" t="n">
        <x:v>2839.67</x:v>
      </x:c>
      <x:c r="E128" s="180" t="str">
        <x:v>Bank transfer</x:v>
      </x:c>
      <x:c r="F128" s="180" t="str">
        <x:v>RCPT-133</x:v>
      </x:c>
      <x:c r="G128" s="187" t="str">
        <x:f>IF(COUNTIF('Invoice Register'!$A$5:$A$184,B128)=1,"MATCHED","UNMATCHED")</x:f>
        <x:v>MATCHED</x:v>
      </x:c>
      <x:c r="H128" s="140"/>
      <x:c r="I128" s="140"/>
      <x:c r="J128" s="140"/>
      <x:c r="K128" s="140"/>
      <x:c r="L128" s="140"/>
    </x:row>
    <x:row r="129">
      <x:c r="A129" s="179" t="str">
        <x:v>PAY-0125</x:v>
      </x:c>
      <x:c r="B129" s="180" t="str">
        <x:v>INV-0134</x:v>
      </x:c>
      <x:c r="C129" s="181" t="n">
        <x:v>46147</x:v>
      </x:c>
      <x:c r="D129" s="182" t="n">
        <x:v>1129.66</x:v>
      </x:c>
      <x:c r="E129" s="180" t="str">
        <x:v>Card</x:v>
      </x:c>
      <x:c r="F129" s="180" t="str">
        <x:v>RCPT-134A</x:v>
      </x:c>
      <x:c r="G129" s="187" t="str">
        <x:f>IF(COUNTIF('Invoice Register'!$A$5:$A$184,B129)=1,"MATCHED","UNMATCHED")</x:f>
        <x:v>MATCHED</x:v>
      </x:c>
      <x:c r="H129" s="140"/>
      <x:c r="I129" s="140"/>
      <x:c r="J129" s="140"/>
      <x:c r="K129" s="140"/>
      <x:c r="L129" s="140"/>
    </x:row>
    <x:row r="130">
      <x:c r="A130" s="179" t="str">
        <x:v>PAY-0126</x:v>
      </x:c>
      <x:c r="B130" s="180" t="str">
        <x:v>INV-0134</x:v>
      </x:c>
      <x:c r="C130" s="181" t="n">
        <x:v>46165</x:v>
      </x:c>
      <x:c r="D130" s="182" t="n">
        <x:v>924.27</x:v>
      </x:c>
      <x:c r="E130" s="180" t="str">
        <x:v>PayPal</x:v>
      </x:c>
      <x:c r="F130" s="180" t="str">
        <x:v>RCPT-134B</x:v>
      </x:c>
      <x:c r="G130" s="187" t="str">
        <x:f>IF(COUNTIF('Invoice Register'!$A$5:$A$184,B130)=1,"MATCHED","UNMATCHED")</x:f>
        <x:v>MATCHED</x:v>
      </x:c>
      <x:c r="H130" s="140"/>
      <x:c r="I130" s="140"/>
      <x:c r="J130" s="140"/>
      <x:c r="K130" s="140"/>
      <x:c r="L130" s="140"/>
    </x:row>
    <x:row r="131">
      <x:c r="A131" s="179" t="str">
        <x:v>PAY-0127</x:v>
      </x:c>
      <x:c r="B131" s="180" t="str">
        <x:v>INV-0136</x:v>
      </x:c>
      <x:c r="C131" s="181" t="n">
        <x:v>46194</x:v>
      </x:c>
      <x:c r="D131" s="182" t="n">
        <x:v>989.98</x:v>
      </x:c>
      <x:c r="E131" s="180" t="str">
        <x:v>Bank transfer</x:v>
      </x:c>
      <x:c r="F131" s="180" t="str">
        <x:v>RCPT-136</x:v>
      </x:c>
      <x:c r="G131" s="187" t="str">
        <x:f>IF(COUNTIF('Invoice Register'!$A$5:$A$184,B131)=1,"MATCHED","UNMATCHED")</x:f>
        <x:v>MATCHED</x:v>
      </x:c>
      <x:c r="H131" s="140"/>
      <x:c r="I131" s="140"/>
      <x:c r="J131" s="140"/>
      <x:c r="K131" s="140"/>
      <x:c r="L131" s="140"/>
    </x:row>
    <x:row r="132">
      <x:c r="A132" s="179" t="str">
        <x:v>PAY-0128</x:v>
      </x:c>
      <x:c r="B132" s="180" t="str">
        <x:v>INV-0137</x:v>
      </x:c>
      <x:c r="C132" s="181" t="n">
        <x:v>46180</x:v>
      </x:c>
      <x:c r="D132" s="182" t="n">
        <x:v>636.03</x:v>
      </x:c>
      <x:c r="E132" s="180" t="str">
        <x:v>Card</x:v>
      </x:c>
      <x:c r="F132" s="180" t="str">
        <x:v>RCPT-137</x:v>
      </x:c>
      <x:c r="G132" s="187" t="str">
        <x:f>IF(COUNTIF('Invoice Register'!$A$5:$A$184,B132)=1,"MATCHED","UNMATCHED")</x:f>
        <x:v>MATCHED</x:v>
      </x:c>
      <x:c r="H132" s="140"/>
      <x:c r="I132" s="140"/>
      <x:c r="J132" s="140"/>
      <x:c r="K132" s="140"/>
      <x:c r="L132" s="140"/>
    </x:row>
    <x:row r="133">
      <x:c r="A133" s="179" t="str">
        <x:v>PAY-0129</x:v>
      </x:c>
      <x:c r="B133" s="180" t="str">
        <x:v>INV-0138</x:v>
      </x:c>
      <x:c r="C133" s="181" t="n">
        <x:v>46163</x:v>
      </x:c>
      <x:c r="D133" s="182" t="n">
        <x:v>1290.58</x:v>
      </x:c>
      <x:c r="E133" s="180" t="str">
        <x:v>PayPal</x:v>
      </x:c>
      <x:c r="F133" s="180" t="str">
        <x:v>RCPT-138A</x:v>
      </x:c>
      <x:c r="G133" s="187" t="str">
        <x:f>IF(COUNTIF('Invoice Register'!$A$5:$A$184,B133)=1,"MATCHED","UNMATCHED")</x:f>
        <x:v>MATCHED</x:v>
      </x:c>
      <x:c r="H133" s="140"/>
      <x:c r="I133" s="140"/>
      <x:c r="J133" s="140"/>
      <x:c r="K133" s="140"/>
      <x:c r="L133" s="140"/>
    </x:row>
    <x:row r="134">
      <x:c r="A134" s="179" t="str">
        <x:v>PAY-0130</x:v>
      </x:c>
      <x:c r="B134" s="180" t="str">
        <x:v>INV-0138</x:v>
      </x:c>
      <x:c r="C134" s="181" t="n">
        <x:v>46167</x:v>
      </x:c>
      <x:c r="D134" s="182" t="n">
        <x:v>1055.92</x:v>
      </x:c>
      <x:c r="E134" s="180" t="str">
        <x:v>Bank transfer</x:v>
      </x:c>
      <x:c r="F134" s="180" t="str">
        <x:v>RCPT-138B</x:v>
      </x:c>
      <x:c r="G134" s="187" t="str">
        <x:f>IF(COUNTIF('Invoice Register'!$A$5:$A$184,B134)=1,"MATCHED","UNMATCHED")</x:f>
        <x:v>MATCHED</x:v>
      </x:c>
      <x:c r="H134" s="140"/>
      <x:c r="I134" s="140"/>
      <x:c r="J134" s="140"/>
      <x:c r="K134" s="140"/>
      <x:c r="L134" s="140"/>
    </x:row>
    <x:row r="135">
      <x:c r="A135" s="179" t="str">
        <x:v>PAY-0131</x:v>
      </x:c>
      <x:c r="B135" s="180" t="str">
        <x:v>INV-0139</x:v>
      </x:c>
      <x:c r="C135" s="181" t="n">
        <x:v>46175</x:v>
      </x:c>
      <x:c r="D135" s="182" t="n">
        <x:v>1247.53</x:v>
      </x:c>
      <x:c r="E135" s="180" t="str">
        <x:v>Bank transfer</x:v>
      </x:c>
      <x:c r="F135" s="180" t="str">
        <x:v>RCPT-139</x:v>
      </x:c>
      <x:c r="G135" s="187" t="str">
        <x:f>IF(COUNTIF('Invoice Register'!$A$5:$A$184,B135)=1,"MATCHED","UNMATCHED")</x:f>
        <x:v>MATCHED</x:v>
      </x:c>
      <x:c r="H135" s="140"/>
      <x:c r="I135" s="140"/>
      <x:c r="J135" s="140"/>
      <x:c r="K135" s="140"/>
      <x:c r="L135" s="140"/>
    </x:row>
    <x:row r="136">
      <x:c r="A136" s="179" t="str">
        <x:v>PAY-0132</x:v>
      </x:c>
      <x:c r="B136" s="180" t="str">
        <x:v>INV-0140</x:v>
      </x:c>
      <x:c r="C136" s="181" t="n">
        <x:v>46159</x:v>
      </x:c>
      <x:c r="D136" s="182" t="n">
        <x:v>942.95</x:v>
      </x:c>
      <x:c r="E136" s="180" t="str">
        <x:v>Card</x:v>
      </x:c>
      <x:c r="F136" s="180" t="str">
        <x:v>RCPT-140</x:v>
      </x:c>
      <x:c r="G136" s="187" t="str">
        <x:f>IF(COUNTIF('Invoice Register'!$A$5:$A$184,B136)=1,"MATCHED","UNMATCHED")</x:f>
        <x:v>MATCHED</x:v>
      </x:c>
      <x:c r="H136" s="140"/>
      <x:c r="I136" s="140"/>
      <x:c r="J136" s="140"/>
      <x:c r="K136" s="140"/>
      <x:c r="L136" s="140"/>
    </x:row>
    <x:row r="137">
      <x:c r="A137" s="179" t="str">
        <x:v>PAY-0133</x:v>
      </x:c>
      <x:c r="B137" s="180" t="str">
        <x:v>INV-0142</x:v>
      </x:c>
      <x:c r="C137" s="181" t="n">
        <x:v>46193</x:v>
      </x:c>
      <x:c r="D137" s="182" t="n">
        <x:v>2542.39</x:v>
      </x:c>
      <x:c r="E137" s="180" t="str">
        <x:v>Bank transfer</x:v>
      </x:c>
      <x:c r="F137" s="180" t="str">
        <x:v>RCPT-142</x:v>
      </x:c>
      <x:c r="G137" s="187" t="str">
        <x:f>IF(COUNTIF('Invoice Register'!$A$5:$A$184,B137)=1,"MATCHED","UNMATCHED")</x:f>
        <x:v>MATCHED</x:v>
      </x:c>
      <x:c r="H137" s="140"/>
      <x:c r="I137" s="140"/>
      <x:c r="J137" s="140"/>
      <x:c r="K137" s="140"/>
      <x:c r="L137" s="140"/>
    </x:row>
    <x:row r="138">
      <x:c r="A138" s="179" t="str">
        <x:v>PAY-0134</x:v>
      </x:c>
      <x:c r="B138" s="180" t="str">
        <x:v>INV-0143</x:v>
      </x:c>
      <x:c r="C138" s="181" t="n">
        <x:v>46212</x:v>
      </x:c>
      <x:c r="D138" s="182" t="n">
        <x:v>1790</x:v>
      </x:c>
      <x:c r="E138" s="180" t="str">
        <x:v>Card</x:v>
      </x:c>
      <x:c r="F138" s="180" t="str">
        <x:v>RCPT-143</x:v>
      </x:c>
      <x:c r="G138" s="187" t="str">
        <x:f>IF(COUNTIF('Invoice Register'!$A$5:$A$184,B138)=1,"MATCHED","UNMATCHED")</x:f>
        <x:v>MATCHED</x:v>
      </x:c>
      <x:c r="H138" s="140"/>
      <x:c r="I138" s="140"/>
      <x:c r="J138" s="140"/>
      <x:c r="K138" s="140"/>
      <x:c r="L138" s="140"/>
    </x:row>
    <x:row r="139">
      <x:c r="A139" s="179" t="str">
        <x:v>PAY-0135</x:v>
      </x:c>
      <x:c r="B139" s="180" t="str">
        <x:v>INV-0144</x:v>
      </x:c>
      <x:c r="C139" s="181" t="n">
        <x:v>46192</x:v>
      </x:c>
      <x:c r="D139" s="182" t="n">
        <x:v>1146.67</x:v>
      </x:c>
      <x:c r="E139" s="180" t="str">
        <x:v>PayPal</x:v>
      </x:c>
      <x:c r="F139" s="180" t="str">
        <x:v>RCPT-144</x:v>
      </x:c>
      <x:c r="G139" s="187" t="str">
        <x:f>IF(COUNTIF('Invoice Register'!$A$5:$A$184,B139)=1,"MATCHED","UNMATCHED")</x:f>
        <x:v>MATCHED</x:v>
      </x:c>
      <x:c r="H139" s="140"/>
      <x:c r="I139" s="140"/>
      <x:c r="J139" s="140"/>
      <x:c r="K139" s="140"/>
      <x:c r="L139" s="140"/>
    </x:row>
    <x:row r="140">
      <x:c r="A140" s="179" t="str">
        <x:v>PAY-0136</x:v>
      </x:c>
      <x:c r="B140" s="180" t="str">
        <x:v>INV-0145</x:v>
      </x:c>
      <x:c r="C140" s="181" t="n">
        <x:v>46214</x:v>
      </x:c>
      <x:c r="D140" s="182" t="n">
        <x:v>2224.76</x:v>
      </x:c>
      <x:c r="E140" s="180" t="str">
        <x:v>Bank transfer</x:v>
      </x:c>
      <x:c r="F140" s="180" t="str">
        <x:v>RCPT-145</x:v>
      </x:c>
      <x:c r="G140" s="187" t="str">
        <x:f>IF(COUNTIF('Invoice Register'!$A$5:$A$184,B140)=1,"MATCHED","UNMATCHED")</x:f>
        <x:v>MATCHED</x:v>
      </x:c>
      <x:c r="H140" s="140"/>
      <x:c r="I140" s="140"/>
      <x:c r="J140" s="140"/>
      <x:c r="K140" s="140"/>
      <x:c r="L140" s="140"/>
    </x:row>
    <x:row r="141">
      <x:c r="A141" s="179" t="str">
        <x:v>PAY-0137</x:v>
      </x:c>
      <x:c r="B141" s="180" t="str">
        <x:v>INV-0146</x:v>
      </x:c>
      <x:c r="C141" s="181" t="n">
        <x:v>46171</x:v>
      </x:c>
      <x:c r="D141" s="182" t="n">
        <x:v>2869.5</x:v>
      </x:c>
      <x:c r="E141" s="180" t="str">
        <x:v>Card</x:v>
      </x:c>
      <x:c r="F141" s="180" t="str">
        <x:v>RCPT-146</x:v>
      </x:c>
      <x:c r="G141" s="187" t="str">
        <x:f>IF(COUNTIF('Invoice Register'!$A$5:$A$184,B141)=1,"MATCHED","UNMATCHED")</x:f>
        <x:v>MATCHED</x:v>
      </x:c>
      <x:c r="H141" s="140"/>
      <x:c r="I141" s="140"/>
      <x:c r="J141" s="140"/>
      <x:c r="K141" s="140"/>
      <x:c r="L141" s="140"/>
    </x:row>
    <x:row r="142">
      <x:c r="A142" s="179" t="str">
        <x:v>PAY-0138</x:v>
      </x:c>
      <x:c r="B142" s="180" t="str">
        <x:v>INV-0147</x:v>
      </x:c>
      <x:c r="C142" s="181" t="n">
        <x:v>46174</x:v>
      </x:c>
      <x:c r="D142" s="182" t="n">
        <x:v>1589.8</x:v>
      </x:c>
      <x:c r="E142" s="180" t="str">
        <x:v>PayPal</x:v>
      </x:c>
      <x:c r="F142" s="180" t="str">
        <x:v>RCPT-147</x:v>
      </x:c>
      <x:c r="G142" s="187" t="str">
        <x:f>IF(COUNTIF('Invoice Register'!$A$5:$A$184,B142)=1,"MATCHED","UNMATCHED")</x:f>
        <x:v>MATCHED</x:v>
      </x:c>
      <x:c r="H142" s="140"/>
      <x:c r="I142" s="140"/>
      <x:c r="J142" s="140"/>
      <x:c r="K142" s="140"/>
      <x:c r="L142" s="140"/>
    </x:row>
    <x:row r="143">
      <x:c r="A143" s="179" t="str">
        <x:v>PAY-0139</x:v>
      </x:c>
      <x:c r="B143" s="180" t="str">
        <x:v>INV-0150</x:v>
      </x:c>
      <x:c r="C143" s="181" t="n">
        <x:v>46213</x:v>
      </x:c>
      <x:c r="D143" s="182" t="n">
        <x:v>729.13</x:v>
      </x:c>
      <x:c r="E143" s="180" t="str">
        <x:v>PayPal</x:v>
      </x:c>
      <x:c r="F143" s="180" t="str">
        <x:v>RCPT-150</x:v>
      </x:c>
      <x:c r="G143" s="187" t="str">
        <x:f>IF(COUNTIF('Invoice Register'!$A$5:$A$184,B143)=1,"MATCHED","UNMATCHED")</x:f>
        <x:v>MATCHED</x:v>
      </x:c>
      <x:c r="H143" s="140"/>
      <x:c r="I143" s="140"/>
      <x:c r="J143" s="140"/>
      <x:c r="K143" s="140"/>
      <x:c r="L143" s="140"/>
    </x:row>
    <x:row r="144">
      <x:c r="A144" s="179" t="str">
        <x:v>PAY-0140</x:v>
      </x:c>
      <x:c r="B144" s="180" t="str">
        <x:v>INV-0151</x:v>
      </x:c>
      <x:c r="C144" s="181" t="n">
        <x:v>46210</x:v>
      </x:c>
      <x:c r="D144" s="182" t="n">
        <x:v>1034.08</x:v>
      </x:c>
      <x:c r="E144" s="180" t="str">
        <x:v>Bank transfer</x:v>
      </x:c>
      <x:c r="F144" s="180" t="str">
        <x:v>RCPT-151</x:v>
      </x:c>
      <x:c r="G144" s="187" t="str">
        <x:f>IF(COUNTIF('Invoice Register'!$A$5:$A$184,B144)=1,"MATCHED","UNMATCHED")</x:f>
        <x:v>MATCHED</x:v>
      </x:c>
      <x:c r="H144" s="140"/>
      <x:c r="I144" s="140"/>
      <x:c r="J144" s="140"/>
      <x:c r="K144" s="140"/>
      <x:c r="L144" s="140"/>
    </x:row>
    <x:row r="145">
      <x:c r="A145" s="179" t="str">
        <x:v>PAY-0141</x:v>
      </x:c>
      <x:c r="B145" s="180" t="str">
        <x:v>INV-0152</x:v>
      </x:c>
      <x:c r="C145" s="181" t="n">
        <x:v>46194</x:v>
      </x:c>
      <x:c r="D145" s="182" t="n">
        <x:v>851.81</x:v>
      </x:c>
      <x:c r="E145" s="180" t="str">
        <x:v>Card</x:v>
      </x:c>
      <x:c r="F145" s="180" t="str">
        <x:v>RCPT-152</x:v>
      </x:c>
      <x:c r="G145" s="187" t="str">
        <x:f>IF(COUNTIF('Invoice Register'!$A$5:$A$184,B145)=1,"MATCHED","UNMATCHED")</x:f>
        <x:v>MATCHED</x:v>
      </x:c>
      <x:c r="H145" s="140"/>
      <x:c r="I145" s="140"/>
      <x:c r="J145" s="140"/>
      <x:c r="K145" s="140"/>
      <x:c r="L145" s="140"/>
    </x:row>
    <x:row r="146">
      <x:c r="A146" s="179" t="str">
        <x:v>PAY-0142</x:v>
      </x:c>
      <x:c r="B146" s="180" t="str">
        <x:v>INV-0154</x:v>
      </x:c>
      <x:c r="C146" s="181" t="n">
        <x:v>46192</x:v>
      </x:c>
      <x:c r="D146" s="182" t="n">
        <x:v>1256.5</x:v>
      </x:c>
      <x:c r="E146" s="180" t="str">
        <x:v>Bank transfer</x:v>
      </x:c>
      <x:c r="F146" s="180" t="str">
        <x:v>RCPT-154A</x:v>
      </x:c>
      <x:c r="G146" s="187" t="str">
        <x:f>IF(COUNTIF('Invoice Register'!$A$5:$A$184,B146)=1,"MATCHED","UNMATCHED")</x:f>
        <x:v>MATCHED</x:v>
      </x:c>
      <x:c r="H146" s="140"/>
      <x:c r="I146" s="140"/>
      <x:c r="J146" s="140"/>
      <x:c r="K146" s="140"/>
      <x:c r="L146" s="140"/>
    </x:row>
    <x:row r="147">
      <x:c r="A147" s="179" t="str">
        <x:v>PAY-0143</x:v>
      </x:c>
      <x:c r="B147" s="180" t="str">
        <x:v>INV-0154</x:v>
      </x:c>
      <x:c r="C147" s="181" t="n">
        <x:v>46198</x:v>
      </x:c>
      <x:c r="D147" s="182" t="n">
        <x:v>1028.05</x:v>
      </x:c>
      <x:c r="E147" s="180" t="str">
        <x:v>Card</x:v>
      </x:c>
      <x:c r="F147" s="180" t="str">
        <x:v>RCPT-154B</x:v>
      </x:c>
      <x:c r="G147" s="187" t="str">
        <x:f>IF(COUNTIF('Invoice Register'!$A$5:$A$184,B147)=1,"MATCHED","UNMATCHED")</x:f>
        <x:v>MATCHED</x:v>
      </x:c>
      <x:c r="H147" s="140"/>
      <x:c r="I147" s="140"/>
      <x:c r="J147" s="140"/>
      <x:c r="K147" s="140"/>
      <x:c r="L147" s="140"/>
    </x:row>
    <x:row r="148">
      <x:c r="A148" s="179" t="str">
        <x:v>PAY-0144</x:v>
      </x:c>
      <x:c r="B148" s="180" t="str">
        <x:v>INV-0155</x:v>
      </x:c>
      <x:c r="C148" s="181" t="n">
        <x:v>46192</x:v>
      </x:c>
      <x:c r="D148" s="182" t="n">
        <x:v>654.04</x:v>
      </x:c>
      <x:c r="E148" s="180" t="str">
        <x:v>Card</x:v>
      </x:c>
      <x:c r="F148" s="180" t="str">
        <x:v>RCPT-155A</x:v>
      </x:c>
      <x:c r="G148" s="187" t="str">
        <x:f>IF(COUNTIF('Invoice Register'!$A$5:$A$184,B148)=1,"MATCHED","UNMATCHED")</x:f>
        <x:v>MATCHED</x:v>
      </x:c>
      <x:c r="H148" s="140"/>
      <x:c r="I148" s="140"/>
      <x:c r="J148" s="140"/>
      <x:c r="K148" s="140"/>
      <x:c r="L148" s="140"/>
    </x:row>
    <x:row r="149">
      <x:c r="A149" s="179" t="str">
        <x:v>PAY-0145</x:v>
      </x:c>
      <x:c r="B149" s="180" t="str">
        <x:v>INV-0155</x:v>
      </x:c>
      <x:c r="C149" s="181" t="n">
        <x:v>46216</x:v>
      </x:c>
      <x:c r="D149" s="182" t="n">
        <x:v>535.13</x:v>
      </x:c>
      <x:c r="E149" s="180" t="str">
        <x:v>PayPal</x:v>
      </x:c>
      <x:c r="F149" s="180" t="str">
        <x:v>RCPT-155B</x:v>
      </x:c>
      <x:c r="G149" s="187" t="str">
        <x:f>IF(COUNTIF('Invoice Register'!$A$5:$A$184,B149)=1,"MATCHED","UNMATCHED")</x:f>
        <x:v>MATCHED</x:v>
      </x:c>
      <x:c r="H149" s="140"/>
      <x:c r="I149" s="140"/>
      <x:c r="J149" s="140"/>
      <x:c r="K149" s="140"/>
      <x:c r="L149" s="140"/>
    </x:row>
    <x:row r="150">
      <x:c r="A150" s="179" t="str">
        <x:v>PAY-0146</x:v>
      </x:c>
      <x:c r="B150" s="180" t="str">
        <x:v>INV-0158</x:v>
      </x:c>
      <x:c r="C150" s="181" t="n">
        <x:v>46222</x:v>
      </x:c>
      <x:c r="D150" s="182" t="n">
        <x:v>783.61</x:v>
      </x:c>
      <x:c r="E150" s="180" t="str">
        <x:v>Card</x:v>
      </x:c>
      <x:c r="F150" s="180" t="str">
        <x:v>RCPT-158</x:v>
      </x:c>
      <x:c r="G150" s="187" t="str">
        <x:f>IF(COUNTIF('Invoice Register'!$A$5:$A$184,B150)=1,"MATCHED","UNMATCHED")</x:f>
        <x:v>MATCHED</x:v>
      </x:c>
      <x:c r="H150" s="140"/>
      <x:c r="I150" s="140"/>
      <x:c r="J150" s="140"/>
      <x:c r="K150" s="140"/>
      <x:c r="L150" s="140"/>
    </x:row>
    <x:row r="151">
      <x:c r="A151" s="179" t="str">
        <x:v>PAY-0147</x:v>
      </x:c>
      <x:c r="B151" s="180" t="str">
        <x:v>INV-0159</x:v>
      </x:c>
      <x:c r="C151" s="181" t="n">
        <x:v>46230</x:v>
      </x:c>
      <x:c r="D151" s="182" t="n">
        <x:v>2774.34</x:v>
      </x:c>
      <x:c r="E151" s="180" t="str">
        <x:v>PayPal</x:v>
      </x:c>
      <x:c r="F151" s="180" t="str">
        <x:v>RCPT-159</x:v>
      </x:c>
      <x:c r="G151" s="187" t="str">
        <x:f>IF(COUNTIF('Invoice Register'!$A$5:$A$184,B151)=1,"MATCHED","UNMATCHED")</x:f>
        <x:v>MATCHED</x:v>
      </x:c>
      <x:c r="H151" s="140"/>
      <x:c r="I151" s="140"/>
      <x:c r="J151" s="140"/>
      <x:c r="K151" s="140"/>
      <x:c r="L151" s="140"/>
    </x:row>
    <x:row r="152">
      <x:c r="A152" s="179" t="str">
        <x:v>PAY-0148</x:v>
      </x:c>
      <x:c r="B152" s="180" t="str">
        <x:v>INV-0160</x:v>
      </x:c>
      <x:c r="C152" s="181" t="n">
        <x:v>46235</x:v>
      </x:c>
      <x:c r="D152" s="182" t="n">
        <x:v>2647.2</x:v>
      </x:c>
      <x:c r="E152" s="180" t="str">
        <x:v>Bank transfer</x:v>
      </x:c>
      <x:c r="F152" s="180" t="str">
        <x:v>RCPT-160</x:v>
      </x:c>
      <x:c r="G152" s="187" t="str">
        <x:f>IF(COUNTIF('Invoice Register'!$A$5:$A$184,B152)=1,"MATCHED","UNMATCHED")</x:f>
        <x:v>MATCHED</x:v>
      </x:c>
      <x:c r="H152" s="140"/>
      <x:c r="I152" s="140"/>
      <x:c r="J152" s="140"/>
      <x:c r="K152" s="140"/>
      <x:c r="L152" s="140"/>
    </x:row>
    <x:row r="153">
      <x:c r="A153" s="179" t="str">
        <x:v>PAY-0149</x:v>
      </x:c>
      <x:c r="B153" s="180" t="str">
        <x:v>INV-0161</x:v>
      </x:c>
      <x:c r="C153" s="181" t="n">
        <x:v>46209</x:v>
      </x:c>
      <x:c r="D153" s="182" t="n">
        <x:v>563.62</x:v>
      </x:c>
      <x:c r="E153" s="180" t="str">
        <x:v>Card</x:v>
      </x:c>
      <x:c r="F153" s="180" t="str">
        <x:v>RCPT-161A</x:v>
      </x:c>
      <x:c r="G153" s="187" t="str">
        <x:f>IF(COUNTIF('Invoice Register'!$A$5:$A$184,B153)=1,"MATCHED","UNMATCHED")</x:f>
        <x:v>MATCHED</x:v>
      </x:c>
      <x:c r="H153" s="140"/>
      <x:c r="I153" s="140"/>
      <x:c r="J153" s="140"/>
      <x:c r="K153" s="140"/>
      <x:c r="L153" s="140"/>
    </x:row>
    <x:row r="154">
      <x:c r="A154" s="179" t="str">
        <x:v>PAY-0150</x:v>
      </x:c>
      <x:c r="B154" s="180" t="str">
        <x:v>INV-0161</x:v>
      </x:c>
      <x:c r="C154" s="181" t="n">
        <x:v>46219</x:v>
      </x:c>
      <x:c r="D154" s="182" t="n">
        <x:v>461.14</x:v>
      </x:c>
      <x:c r="E154" s="180" t="str">
        <x:v>PayPal</x:v>
      </x:c>
      <x:c r="F154" s="180" t="str">
        <x:v>RCPT-161B</x:v>
      </x:c>
      <x:c r="G154" s="187" t="str">
        <x:f>IF(COUNTIF('Invoice Register'!$A$5:$A$184,B154)=1,"MATCHED","UNMATCHED")</x:f>
        <x:v>MATCHED</x:v>
      </x:c>
      <x:c r="H154" s="140"/>
      <x:c r="I154" s="140"/>
      <x:c r="J154" s="140"/>
      <x:c r="K154" s="140"/>
      <x:c r="L154" s="140"/>
    </x:row>
    <x:row r="155">
      <x:c r="A155" s="179" t="str">
        <x:v>PAY-0151</x:v>
      </x:c>
      <x:c r="B155" s="180" t="str">
        <x:v>INV-0163</x:v>
      </x:c>
      <x:c r="C155" s="181" t="n">
        <x:v>46232</x:v>
      </x:c>
      <x:c r="D155" s="182" t="n">
        <x:v>2117.48</x:v>
      </x:c>
      <x:c r="E155" s="180" t="str">
        <x:v>Bank transfer</x:v>
      </x:c>
      <x:c r="F155" s="180" t="str">
        <x:v>RCPT-163</x:v>
      </x:c>
      <x:c r="G155" s="187" t="str">
        <x:f>IF(COUNTIF('Invoice Register'!$A$5:$A$184,B155)=1,"MATCHED","UNMATCHED")</x:f>
        <x:v>MATCHED</x:v>
      </x:c>
      <x:c r="H155" s="140"/>
      <x:c r="I155" s="140"/>
      <x:c r="J155" s="140"/>
      <x:c r="K155" s="140"/>
      <x:c r="L155" s="140"/>
    </x:row>
    <x:row r="156">
      <x:c r="A156" s="179" t="str">
        <x:v>PAY-0152</x:v>
      </x:c>
      <x:c r="B156" s="180" t="str">
        <x:v>INV-0164</x:v>
      </x:c>
      <x:c r="C156" s="181" t="n">
        <x:v>46221</x:v>
      </x:c>
      <x:c r="D156" s="182" t="n">
        <x:v>364.82</x:v>
      </x:c>
      <x:c r="E156" s="180" t="str">
        <x:v>Card</x:v>
      </x:c>
      <x:c r="F156" s="180" t="str">
        <x:v>RCPT-164A</x:v>
      </x:c>
      <x:c r="G156" s="187" t="str">
        <x:f>IF(COUNTIF('Invoice Register'!$A$5:$A$184,B156)=1,"MATCHED","UNMATCHED")</x:f>
        <x:v>MATCHED</x:v>
      </x:c>
      <x:c r="H156" s="140"/>
      <x:c r="I156" s="140"/>
      <x:c r="J156" s="140"/>
      <x:c r="K156" s="140"/>
      <x:c r="L156" s="140"/>
    </x:row>
    <x:row r="157">
      <x:c r="A157" s="179" t="str">
        <x:v>PAY-0153</x:v>
      </x:c>
      <x:c r="B157" s="180" t="str">
        <x:v>INV-0164</x:v>
      </x:c>
      <x:c r="C157" s="181" t="n">
        <x:v>46221</x:v>
      </x:c>
      <x:c r="D157" s="182" t="n">
        <x:v>298.48</x:v>
      </x:c>
      <x:c r="E157" s="180" t="str">
        <x:v>PayPal</x:v>
      </x:c>
      <x:c r="F157" s="180" t="str">
        <x:v>RCPT-164B</x:v>
      </x:c>
      <x:c r="G157" s="187" t="str">
        <x:f>IF(COUNTIF('Invoice Register'!$A$5:$A$184,B157)=1,"MATCHED","UNMATCHED")</x:f>
        <x:v>MATCHED</x:v>
      </x:c>
      <x:c r="H157" s="140"/>
      <x:c r="I157" s="140"/>
      <x:c r="J157" s="140"/>
      <x:c r="K157" s="140"/>
      <x:c r="L157" s="140"/>
    </x:row>
    <x:row r="158">
      <x:c r="A158" s="179" t="str">
        <x:v>PAY-0154</x:v>
      </x:c>
      <x:c r="B158" s="180" t="str">
        <x:v>INV-0165</x:v>
      </x:c>
      <x:c r="C158" s="181" t="n">
        <x:v>46239</x:v>
      </x:c>
      <x:c r="D158" s="182" t="n">
        <x:v>1641.78</x:v>
      </x:c>
      <x:c r="E158" s="180" t="str">
        <x:v>PayPal</x:v>
      </x:c>
      <x:c r="F158" s="180" t="str">
        <x:v>RCPT-165</x:v>
      </x:c>
      <x:c r="G158" s="187" t="str">
        <x:f>IF(COUNTIF('Invoice Register'!$A$5:$A$184,B158)=1,"MATCHED","UNMATCHED")</x:f>
        <x:v>MATCHED</x:v>
      </x:c>
      <x:c r="H158" s="140"/>
      <x:c r="I158" s="140"/>
      <x:c r="J158" s="140"/>
      <x:c r="K158" s="140"/>
      <x:c r="L158" s="140"/>
    </x:row>
    <x:row r="159">
      <x:c r="A159" s="179" t="str">
        <x:v>PAY-0155</x:v>
      </x:c>
      <x:c r="B159" s="180" t="str">
        <x:v>INV-0166</x:v>
      </x:c>
      <x:c r="C159" s="181" t="n">
        <x:v>46212</x:v>
      </x:c>
      <x:c r="D159" s="182" t="n">
        <x:v>1157.49</x:v>
      </x:c>
      <x:c r="E159" s="180" t="str">
        <x:v>Bank transfer</x:v>
      </x:c>
      <x:c r="F159" s="180" t="str">
        <x:v>RCPT-166</x:v>
      </x:c>
      <x:c r="G159" s="187" t="str">
        <x:f>IF(COUNTIF('Invoice Register'!$A$5:$A$184,B159)=1,"MATCHED","UNMATCHED")</x:f>
        <x:v>MATCHED</x:v>
      </x:c>
      <x:c r="H159" s="140"/>
      <x:c r="I159" s="140"/>
      <x:c r="J159" s="140"/>
      <x:c r="K159" s="140"/>
      <x:c r="L159" s="140"/>
    </x:row>
    <x:row r="160">
      <x:c r="A160" s="179" t="str">
        <x:v>PAY-0156</x:v>
      </x:c>
      <x:c r="B160" s="180" t="str">
        <x:v>INV-0167</x:v>
      </x:c>
      <x:c r="C160" s="181" t="n">
        <x:v>46238</x:v>
      </x:c>
      <x:c r="D160" s="182" t="n">
        <x:v>1580.02</x:v>
      </x:c>
      <x:c r="E160" s="180" t="str">
        <x:v>Card</x:v>
      </x:c>
      <x:c r="F160" s="180" t="str">
        <x:v>RCPT-167A</x:v>
      </x:c>
      <x:c r="G160" s="187" t="str">
        <x:f>IF(COUNTIF('Invoice Register'!$A$5:$A$184,B160)=1,"MATCHED","UNMATCHED")</x:f>
        <x:v>MATCHED</x:v>
      </x:c>
      <x:c r="H160" s="140"/>
      <x:c r="I160" s="140"/>
      <x:c r="J160" s="140"/>
      <x:c r="K160" s="140"/>
      <x:c r="L160" s="140"/>
    </x:row>
    <x:row r="161">
      <x:c r="A161" s="179" t="str">
        <x:v>PAY-0157</x:v>
      </x:c>
      <x:c r="B161" s="180" t="str">
        <x:v>INV-0167</x:v>
      </x:c>
      <x:c r="C161" s="181" t="n">
        <x:v>46243</x:v>
      </x:c>
      <x:c r="D161" s="182" t="n">
        <x:v>1292.74</x:v>
      </x:c>
      <x:c r="E161" s="180" t="str">
        <x:v>PayPal</x:v>
      </x:c>
      <x:c r="F161" s="180" t="str">
        <x:v>RCPT-167B</x:v>
      </x:c>
      <x:c r="G161" s="187" t="str">
        <x:f>IF(COUNTIF('Invoice Register'!$A$5:$A$184,B161)=1,"MATCHED","UNMATCHED")</x:f>
        <x:v>MATCHED</x:v>
      </x:c>
      <x:c r="H161" s="140"/>
      <x:c r="I161" s="140"/>
      <x:c r="J161" s="140"/>
      <x:c r="K161" s="140"/>
      <x:c r="L161" s="140"/>
    </x:row>
    <x:row r="162">
      <x:c r="A162" s="179" t="str">
        <x:v>PAY-0158</x:v>
      </x:c>
      <x:c r="B162" s="180" t="str">
        <x:v>INV-0168</x:v>
      </x:c>
      <x:c r="C162" s="181" t="n">
        <x:v>46218</x:v>
      </x:c>
      <x:c r="D162" s="182" t="n">
        <x:v>1793.03</x:v>
      </x:c>
      <x:c r="E162" s="180" t="str">
        <x:v>PayPal</x:v>
      </x:c>
      <x:c r="F162" s="180" t="str">
        <x:v>RCPT-168</x:v>
      </x:c>
      <x:c r="G162" s="187" t="str">
        <x:f>IF(COUNTIF('Invoice Register'!$A$5:$A$184,B162)=1,"MATCHED","UNMATCHED")</x:f>
        <x:v>MATCHED</x:v>
      </x:c>
      <x:c r="H162" s="140"/>
      <x:c r="I162" s="140"/>
      <x:c r="J162" s="140"/>
      <x:c r="K162" s="140"/>
      <x:c r="L162" s="140"/>
    </x:row>
    <x:row r="163">
      <x:c r="A163" s="179" t="str">
        <x:v>PAY-0159</x:v>
      </x:c>
      <x:c r="B163" s="180" t="str">
        <x:v>INV-0169</x:v>
      </x:c>
      <x:c r="C163" s="181" t="n">
        <x:v>46220</x:v>
      </x:c>
      <x:c r="D163" s="182" t="n">
        <x:v>1354.15</x:v>
      </x:c>
      <x:c r="E163" s="180" t="str">
        <x:v>Bank transfer</x:v>
      </x:c>
      <x:c r="F163" s="180" t="str">
        <x:v>RCPT-169</x:v>
      </x:c>
      <x:c r="G163" s="187" t="str">
        <x:f>IF(COUNTIF('Invoice Register'!$A$5:$A$184,B163)=1,"MATCHED","UNMATCHED")</x:f>
        <x:v>MATCHED</x:v>
      </x:c>
      <x:c r="H163" s="140"/>
      <x:c r="I163" s="140"/>
      <x:c r="J163" s="140"/>
      <x:c r="K163" s="140"/>
      <x:c r="L163" s="140"/>
    </x:row>
    <x:row r="164">
      <x:c r="A164" s="179" t="str">
        <x:v>PAY-0160</x:v>
      </x:c>
      <x:c r="B164" s="180" t="str">
        <x:v>INV-0170</x:v>
      </x:c>
      <x:c r="C164" s="181" t="n">
        <x:v>46257</x:v>
      </x:c>
      <x:c r="D164" s="182" t="n">
        <x:v>1291.34</x:v>
      </x:c>
      <x:c r="E164" s="180" t="str">
        <x:v>Card</x:v>
      </x:c>
      <x:c r="F164" s="180" t="str">
        <x:v>RCPT-170</x:v>
      </x:c>
      <x:c r="G164" s="187" t="str">
        <x:f>IF(COUNTIF('Invoice Register'!$A$5:$A$184,B164)=1,"MATCHED","UNMATCHED")</x:f>
        <x:v>MATCHED</x:v>
      </x:c>
      <x:c r="H164" s="140"/>
      <x:c r="I164" s="140"/>
      <x:c r="J164" s="140"/>
      <x:c r="K164" s="140"/>
      <x:c r="L164" s="140"/>
    </x:row>
    <x:row r="165">
      <x:c r="A165" s="179" t="str">
        <x:v>PAY-0161</x:v>
      </x:c>
      <x:c r="B165" s="180" t="str">
        <x:v>INV-0171</x:v>
      </x:c>
      <x:c r="C165" s="181" t="n">
        <x:v>46259</x:v>
      </x:c>
      <x:c r="D165" s="182" t="n">
        <x:v>2662.44</x:v>
      </x:c>
      <x:c r="E165" s="180" t="str">
        <x:v>PayPal</x:v>
      </x:c>
      <x:c r="F165" s="180" t="str">
        <x:v>RCPT-171</x:v>
      </x:c>
      <x:c r="G165" s="187" t="str">
        <x:f>IF(COUNTIF('Invoice Register'!$A$5:$A$184,B165)=1,"MATCHED","UNMATCHED")</x:f>
        <x:v>MATCHED</x:v>
      </x:c>
      <x:c r="H165" s="140"/>
      <x:c r="I165" s="140"/>
      <x:c r="J165" s="140"/>
      <x:c r="K165" s="140"/>
      <x:c r="L165" s="140"/>
    </x:row>
    <x:row r="166">
      <x:c r="A166" s="179" t="str">
        <x:v>PAY-0162</x:v>
      </x:c>
      <x:c r="B166" s="180" t="str">
        <x:v>INV-0172</x:v>
      </x:c>
      <x:c r="C166" s="181" t="n">
        <x:v>46262</x:v>
      </x:c>
      <x:c r="D166" s="182" t="n">
        <x:v>1924.95</x:v>
      </x:c>
      <x:c r="E166" s="180" t="str">
        <x:v>Bank transfer</x:v>
      </x:c>
      <x:c r="F166" s="180" t="str">
        <x:v>RCPT-172</x:v>
      </x:c>
      <x:c r="G166" s="187" t="str">
        <x:f>IF(COUNTIF('Invoice Register'!$A$5:$A$184,B166)=1,"MATCHED","UNMATCHED")</x:f>
        <x:v>MATCHED</x:v>
      </x:c>
      <x:c r="H166" s="140"/>
      <x:c r="I166" s="140"/>
      <x:c r="J166" s="140"/>
      <x:c r="K166" s="140"/>
      <x:c r="L166" s="140"/>
    </x:row>
    <x:row r="167">
      <x:c r="A167" s="179" t="str">
        <x:v>PAY-0163</x:v>
      </x:c>
      <x:c r="B167" s="180" t="str">
        <x:v>INV-0173</x:v>
      </x:c>
      <x:c r="C167" s="181" t="n">
        <x:v>46248</x:v>
      </x:c>
      <x:c r="D167" s="182" t="n">
        <x:v>1592.68</x:v>
      </x:c>
      <x:c r="E167" s="180" t="str">
        <x:v>Card</x:v>
      </x:c>
      <x:c r="F167" s="180" t="str">
        <x:v>RCPT-173</x:v>
      </x:c>
      <x:c r="G167" s="187" t="str">
        <x:f>IF(COUNTIF('Invoice Register'!$A$5:$A$184,B167)=1,"MATCHED","UNMATCHED")</x:f>
        <x:v>MATCHED</x:v>
      </x:c>
      <x:c r="H167" s="140"/>
      <x:c r="I167" s="140"/>
      <x:c r="J167" s="140"/>
      <x:c r="K167" s="140"/>
      <x:c r="L167" s="140"/>
    </x:row>
    <x:row r="168">
      <x:c r="A168" s="179" t="str">
        <x:v>PAY-0164</x:v>
      </x:c>
      <x:c r="B168" s="180" t="str">
        <x:v>INV-0174</x:v>
      </x:c>
      <x:c r="C168" s="181" t="n">
        <x:v>46260</x:v>
      </x:c>
      <x:c r="D168" s="182" t="n">
        <x:v>548.73</x:v>
      </x:c>
      <x:c r="E168" s="180" t="str">
        <x:v>PayPal</x:v>
      </x:c>
      <x:c r="F168" s="180" t="str">
        <x:v>RCPT-174</x:v>
      </x:c>
      <x:c r="G168" s="187" t="str">
        <x:f>IF(COUNTIF('Invoice Register'!$A$5:$A$184,B168)=1,"MATCHED","UNMATCHED")</x:f>
        <x:v>MATCHED</x:v>
      </x:c>
      <x:c r="H168" s="140"/>
      <x:c r="I168" s="140"/>
      <x:c r="J168" s="140"/>
      <x:c r="K168" s="140"/>
      <x:c r="L168" s="140"/>
    </x:row>
    <x:row r="169">
      <x:c r="A169" s="179" t="str">
        <x:v>PAY-0165</x:v>
      </x:c>
      <x:c r="B169" s="180" t="str">
        <x:v>INV-0175</x:v>
      </x:c>
      <x:c r="C169" s="181" t="n">
        <x:v>46252</x:v>
      </x:c>
      <x:c r="D169" s="182" t="n">
        <x:v>1016.49</x:v>
      </x:c>
      <x:c r="E169" s="180" t="str">
        <x:v>Bank transfer</x:v>
      </x:c>
      <x:c r="F169" s="180" t="str">
        <x:v>RCPT-175</x:v>
      </x:c>
      <x:c r="G169" s="187" t="str">
        <x:f>IF(COUNTIF('Invoice Register'!$A$5:$A$184,B169)=1,"MATCHED","UNMATCHED")</x:f>
        <x:v>MATCHED</x:v>
      </x:c>
      <x:c r="H169" s="140"/>
      <x:c r="I169" s="140"/>
      <x:c r="J169" s="140"/>
      <x:c r="K169" s="140"/>
      <x:c r="L169" s="140"/>
    </x:row>
    <x:row r="170">
      <x:c r="A170" s="179" t="str">
        <x:v>PAY-0166</x:v>
      </x:c>
      <x:c r="B170" s="180" t="str">
        <x:v>INV-0176</x:v>
      </x:c>
      <x:c r="C170" s="181" t="n">
        <x:v>46244</x:v>
      </x:c>
      <x:c r="D170" s="182" t="n">
        <x:v>1392.9</x:v>
      </x:c>
      <x:c r="E170" s="180" t="str">
        <x:v>Card</x:v>
      </x:c>
      <x:c r="F170" s="180" t="str">
        <x:v>RCPT-176</x:v>
      </x:c>
      <x:c r="G170" s="187" t="str">
        <x:f>IF(COUNTIF('Invoice Register'!$A$5:$A$184,B170)=1,"MATCHED","UNMATCHED")</x:f>
        <x:v>MATCHED</x:v>
      </x:c>
      <x:c r="H170" s="140"/>
      <x:c r="I170" s="140"/>
      <x:c r="J170" s="140"/>
      <x:c r="K170" s="140"/>
      <x:c r="L170" s="140"/>
    </x:row>
    <x:row r="171">
      <x:c r="A171" s="179" t="str">
        <x:v>PAY-0167</x:v>
      </x:c>
      <x:c r="B171" s="180" t="str">
        <x:v>INV-0177</x:v>
      </x:c>
      <x:c r="C171" s="181" t="n">
        <x:v>46241</x:v>
      </x:c>
      <x:c r="D171" s="182" t="n">
        <x:v>1560.96</x:v>
      </x:c>
      <x:c r="E171" s="180" t="str">
        <x:v>PayPal</x:v>
      </x:c>
      <x:c r="F171" s="180" t="str">
        <x:v>RCPT-177</x:v>
      </x:c>
      <x:c r="G171" s="187" t="str">
        <x:f>IF(COUNTIF('Invoice Register'!$A$5:$A$184,B171)=1,"MATCHED","UNMATCHED")</x:f>
        <x:v>MATCHED</x:v>
      </x:c>
      <x:c r="H171" s="140"/>
      <x:c r="I171" s="140"/>
      <x:c r="J171" s="140"/>
      <x:c r="K171" s="140"/>
      <x:c r="L171" s="140"/>
    </x:row>
    <x:row r="172">
      <x:c r="A172" s="179" t="str">
        <x:v>PAY-0168</x:v>
      </x:c>
      <x:c r="B172" s="180" t="str">
        <x:v>INV-0179</x:v>
      </x:c>
      <x:c r="C172" s="181" t="n">
        <x:v>46281</x:v>
      </x:c>
      <x:c r="D172" s="182" t="n">
        <x:v>1941.65</x:v>
      </x:c>
      <x:c r="E172" s="180" t="str">
        <x:v>Card</x:v>
      </x:c>
      <x:c r="F172" s="180" t="str">
        <x:v>RCPT-179</x:v>
      </x:c>
      <x:c r="G172" s="187" t="str">
        <x:f>IF(COUNTIF('Invoice Register'!$A$5:$A$184,B172)=1,"MATCHED","UNMATCHED")</x:f>
        <x:v>MATCHED</x:v>
      </x:c>
      <x:c r="H172" s="140"/>
      <x:c r="I172" s="140"/>
      <x:c r="J172" s="140"/>
      <x:c r="K172" s="140"/>
      <x:c r="L172" s="140"/>
    </x:row>
    <x:row r="173">
      <x:c r="A173" s="188" t="str">
        <x:v>PAY-0169</x:v>
      </x:c>
      <x:c r="B173" s="189" t="str">
        <x:v>INV-0180</x:v>
      </x:c>
      <x:c r="C173" s="190" t="n">
        <x:v>46258</x:v>
      </x:c>
      <x:c r="D173" s="191" t="n">
        <x:v>1254.13</x:v>
      </x:c>
      <x:c r="E173" s="189" t="str">
        <x:v>PayPal</x:v>
      </x:c>
      <x:c r="F173" s="189" t="str">
        <x:v>RCPT-180</x:v>
      </x:c>
      <x:c r="G173" s="196" t="str">
        <x:f>IF(COUNTIF('Invoice Register'!$A$5:$A$184,B173)=1,"MATCHED","UNMATCHED")</x:f>
        <x:v>MATCHED</x:v>
      </x:c>
      <x:c r="H173" s="140"/>
      <x:c r="I173" s="140"/>
      <x:c r="J173" s="140"/>
      <x:c r="K173" s="140"/>
      <x:c r="L173" s="140"/>
    </x:row>
  </x:sheetData>
  <x:mergeCells>
    <x:mergeCell ref="A1:G1"/>
    <x:mergeCell ref="A2:L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24" hidden="0" customWidth="1"/>
    <x:col min="4" max="4" width="13" hidden="0" customWidth="1"/>
    <x:col min="5" max="5" width="14" hidden="0" customWidth="1"/>
    <x:col min="6" max="6" width="12" hidden="0" customWidth="1"/>
    <x:col min="7" max="7" width="22" hidden="0" customWidth="1"/>
    <x:col min="8" max="8" width="18" hidden="0" customWidth="1"/>
    <x:col min="9" max="9" width="27" hidden="0" customWidth="1"/>
    <x:col min="10" max="10" width="22" hidden="0" customWidth="1"/>
  </x:cols>
  <x:sheetData>
    <x:row r="1" ht="25" customHeight="1">
      <x:c r="A1" s="3" t="str">
        <x:v>Collection Queue</x:v>
      </x:c>
      <x:c r="B1" s="3"/>
      <x:c r="C1" s="3"/>
      <x:c r="D1" s="3"/>
      <x:c r="E1" s="3"/>
      <x:c r="F1" s="3"/>
      <x:c r="G1" s="3"/>
      <x:c r="H1" s="3"/>
      <x:c r="I1" s="3"/>
      <x:c r="J1" s="3"/>
      <x:c r="K1" s="140"/>
      <x:c r="L1" s="140"/>
    </x:row>
    <x:row r="2" ht="25" customHeight="1">
      <x:c r="A2" s="139" t="str">
        <x:v>Open invoices ranked by urgency for client follow-up</x:v>
      </x:c>
      <x:c r="B2" s="139"/>
      <x:c r="C2" s="139"/>
      <x:c r="D2" s="139"/>
      <x:c r="E2" s="139"/>
      <x:c r="F2" s="139"/>
      <x:c r="G2" s="139"/>
      <x:c r="H2" s="139"/>
      <x:c r="I2" s="139"/>
      <x:c r="J2" s="139"/>
      <x:c r="K2" s="139"/>
      <x:c r="L2" s="139"/>
    </x:row>
    <x:row r="3">
      <x:c r="A3" s="140"/>
      <x:c r="B3" s="140"/>
      <x:c r="C3" s="140"/>
      <x:c r="D3" s="140"/>
      <x:c r="E3" s="140"/>
      <x:c r="F3" s="140"/>
      <x:c r="G3" s="140"/>
      <x:c r="H3" s="140"/>
      <x:c r="I3" s="140"/>
      <x:c r="J3" s="140"/>
      <x:c r="K3" s="140"/>
      <x:c r="L3" s="140"/>
    </x:row>
    <x:row r="4">
      <x:c r="A4" s="176" t="str">
        <x:v>Priority</x:v>
      </x:c>
      <x:c r="B4" s="177" t="str">
        <x:v>Invoice ID</x:v>
      </x:c>
      <x:c r="C4" s="177" t="str">
        <x:v>Client</x:v>
      </x:c>
      <x:c r="D4" s="177" t="str">
        <x:v>Due Date</x:v>
      </x:c>
      <x:c r="E4" s="177" t="str">
        <x:v>Balance</x:v>
      </x:c>
      <x:c r="F4" s="177" t="str">
        <x:v>Days Overdue</x:v>
      </x:c>
      <x:c r="G4" s="177" t="str">
        <x:v>Status</x:v>
      </x:c>
      <x:c r="H4" s="177" t="str">
        <x:v>Contact</x:v>
      </x:c>
      <x:c r="I4" s="177" t="str">
        <x:v>Email</x:v>
      </x:c>
      <x:c r="J4" s="178" t="str">
        <x:v>Recommended Action</x:v>
      </x:c>
      <x:c r="K4" s="140"/>
      <x:c r="L4" s="140"/>
    </x:row>
    <x:row r="5">
      <x:c r="A5" s="200" t="str">
        <x:v>Critical</x:v>
      </x:c>
      <x:c r="B5" s="201" t="str">
        <x:v>INV-0002</x:v>
      </x:c>
      <x:c r="C5" s="201" t="str">
        <x:v>Lumen Health Studio</x:v>
      </x:c>
      <x:c r="D5" s="202" t="n">
        <x:v>45890</x:v>
      </x:c>
      <x:c r="E5" s="203" t="n">
        <x:v>217.14</x:v>
      </x:c>
      <x:c r="F5" s="201" t="n">
        <x:v>352</x:v>
      </x:c>
      <x:c r="G5" s="201" t="str">
        <x:v>Partially Paid - Overdue</x:v>
      </x:c>
      <x:c r="H5" s="201" t="str">
        <x:v>Elias Ward</x:v>
      </x:c>
      <x:c r="I5" s="201" t="str">
        <x:v>elias@lumen.example</x:v>
      </x:c>
      <x:c r="J5" s="204" t="str">
        <x:v>Call and escalate</x:v>
      </x:c>
      <x:c r="K5" s="140"/>
      <x:c r="L5" s="140"/>
    </x:row>
    <x:row r="6">
      <x:c r="A6" s="200" t="str">
        <x:v>Critical</x:v>
      </x:c>
      <x:c r="B6" s="201" t="str">
        <x:v>INV-0014</x:v>
      </x:c>
      <x:c r="C6" s="201" t="str">
        <x:v>Lumen Health Studio</x:v>
      </x:c>
      <x:c r="D6" s="202" t="n">
        <x:v>45914</x:v>
      </x:c>
      <x:c r="E6" s="203" t="n">
        <x:v>509.19</x:v>
      </x:c>
      <x:c r="F6" s="201" t="n">
        <x:v>328</x:v>
      </x:c>
      <x:c r="G6" s="201" t="str">
        <x:v>Partially Paid - Overdue</x:v>
      </x:c>
      <x:c r="H6" s="201" t="str">
        <x:v>Elias Ward</x:v>
      </x:c>
      <x:c r="I6" s="201" t="str">
        <x:v>elias@lumen.example</x:v>
      </x:c>
      <x:c r="J6" s="204" t="str">
        <x:v>Call and escalate</x:v>
      </x:c>
      <x:c r="K6" s="140"/>
      <x:c r="L6" s="140"/>
    </x:row>
    <x:row r="7">
      <x:c r="A7" s="200" t="str">
        <x:v>Critical</x:v>
      </x:c>
      <x:c r="B7" s="201" t="str">
        <x:v>INV-0012</x:v>
      </x:c>
      <x:c r="C7" s="201" t="str">
        <x:v>Bluebird Media</x:v>
      </x:c>
      <x:c r="D7" s="202" t="n">
        <x:v>45916</x:v>
      </x:c>
      <x:c r="E7" s="203" t="n">
        <x:v>1272.32</x:v>
      </x:c>
      <x:c r="F7" s="201" t="n">
        <x:v>326</x:v>
      </x:c>
      <x:c r="G7" s="201" t="str">
        <x:v>Partially Paid - Overdue</x:v>
      </x:c>
      <x:c r="H7" s="201" t="str">
        <x:v>Theo King</x:v>
      </x:c>
      <x:c r="I7" s="201" t="str">
        <x:v>theo@bluebird.example</x:v>
      </x:c>
      <x:c r="J7" s="204" t="str">
        <x:v>Call and escalate</x:v>
      </x:c>
      <x:c r="K7" s="140"/>
      <x:c r="L7" s="140"/>
    </x:row>
    <x:row r="8">
      <x:c r="A8" s="200" t="str">
        <x:v>Critical</x:v>
      </x:c>
      <x:c r="B8" s="201" t="str">
        <x:v>INV-0011</x:v>
      </x:c>
      <x:c r="C8" s="201" t="str">
        <x:v>Copperline Consulting</x:v>
      </x:c>
      <x:c r="D8" s="202" t="n">
        <x:v>45923</x:v>
      </x:c>
      <x:c r="E8" s="203" t="n">
        <x:v>2113.89</x:v>
      </x:c>
      <x:c r="F8" s="201" t="n">
        <x:v>319</x:v>
      </x:c>
      <x:c r="G8" s="201" t="str">
        <x:v>Overdue</x:v>
      </x:c>
      <x:c r="H8" s="201" t="str">
        <x:v>Iris Young</x:v>
      </x:c>
      <x:c r="I8" s="201" t="str">
        <x:v>iris@copperline.example</x:v>
      </x:c>
      <x:c r="J8" s="204" t="str">
        <x:v>Call and escalate</x:v>
      </x:c>
      <x:c r="K8" s="140"/>
      <x:c r="L8" s="140"/>
    </x:row>
    <x:row r="9">
      <x:c r="A9" s="200" t="str">
        <x:v>Critical</x:v>
      </x:c>
      <x:c r="B9" s="201" t="str">
        <x:v>INV-0017</x:v>
      </x:c>
      <x:c r="C9" s="201" t="str">
        <x:v>Atlas Property Group</x:v>
      </x:c>
      <x:c r="D9" s="202" t="n">
        <x:v>45926</x:v>
      </x:c>
      <x:c r="E9" s="203" t="n">
        <x:v>248.35</x:v>
      </x:c>
      <x:c r="F9" s="201" t="n">
        <x:v>316</x:v>
      </x:c>
      <x:c r="G9" s="201" t="str">
        <x:v>Partially Paid - Overdue</x:v>
      </x:c>
      <x:c r="H9" s="201" t="str">
        <x:v>Sara Lin</x:v>
      </x:c>
      <x:c r="I9" s="201" t="str">
        <x:v>sara@atlas.example</x:v>
      </x:c>
      <x:c r="J9" s="204" t="str">
        <x:v>Call and escalate</x:v>
      </x:c>
      <x:c r="K9" s="140"/>
      <x:c r="L9" s="140"/>
    </x:row>
    <x:row r="10">
      <x:c r="A10" s="200" t="str">
        <x:v>Critical</x:v>
      </x:c>
      <x:c r="B10" s="201" t="str">
        <x:v>INV-0022</x:v>
      </x:c>
      <x:c r="C10" s="201" t="str">
        <x:v>Willow Events</x:v>
      </x:c>
      <x:c r="D10" s="202" t="n">
        <x:v>45930</x:v>
      </x:c>
      <x:c r="E10" s="203" t="n">
        <x:v>907.99</x:v>
      </x:c>
      <x:c r="F10" s="201" t="n">
        <x:v>312</x:v>
      </x:c>
      <x:c r="G10" s="201" t="str">
        <x:v>Partially Paid - Overdue</x:v>
      </x:c>
      <x:c r="H10" s="201" t="str">
        <x:v>Emma Hayes</x:v>
      </x:c>
      <x:c r="I10" s="201" t="str">
        <x:v>emma@willow.example</x:v>
      </x:c>
      <x:c r="J10" s="204" t="str">
        <x:v>Call and escalate</x:v>
      </x:c>
      <x:c r="K10" s="140"/>
      <x:c r="L10" s="140"/>
    </x:row>
    <x:row r="11">
      <x:c r="A11" s="200" t="str">
        <x:v>Critical</x:v>
      </x:c>
      <x:c r="B11" s="201" t="str">
        <x:v>INV-0030</x:v>
      </x:c>
      <x:c r="C11" s="201" t="str">
        <x:v>BrightPath Learning</x:v>
      </x:c>
      <x:c r="D11" s="202" t="n">
        <x:v>45946</x:v>
      </x:c>
      <x:c r="E11" s="203" t="n">
        <x:v>1879.9</x:v>
      </x:c>
      <x:c r="F11" s="201" t="n">
        <x:v>296</x:v>
      </x:c>
      <x:c r="G11" s="201" t="str">
        <x:v>Overdue</x:v>
      </x:c>
      <x:c r="H11" s="201" t="str">
        <x:v>Lina Costa</x:v>
      </x:c>
      <x:c r="I11" s="201" t="str">
        <x:v>lina@brightpath.example</x:v>
      </x:c>
      <x:c r="J11" s="204" t="str">
        <x:v>Call and escalate</x:v>
      </x:c>
      <x:c r="K11" s="140"/>
      <x:c r="L11" s="140"/>
    </x:row>
    <x:row r="12">
      <x:c r="A12" s="200" t="str">
        <x:v>Critical</x:v>
      </x:c>
      <x:c r="B12" s="201" t="str">
        <x:v>INV-0023</x:v>
      </x:c>
      <x:c r="C12" s="201" t="str">
        <x:v>Copperline Consulting</x:v>
      </x:c>
      <x:c r="D12" s="202" t="n">
        <x:v>45947</x:v>
      </x:c>
      <x:c r="E12" s="203" t="n">
        <x:v>430.51</x:v>
      </x:c>
      <x:c r="F12" s="201" t="n">
        <x:v>295</x:v>
      </x:c>
      <x:c r="G12" s="201" t="str">
        <x:v>Partially Paid - Overdue</x:v>
      </x:c>
      <x:c r="H12" s="201" t="str">
        <x:v>Iris Young</x:v>
      </x:c>
      <x:c r="I12" s="201" t="str">
        <x:v>iris@copperline.example</x:v>
      </x:c>
      <x:c r="J12" s="204" t="str">
        <x:v>Call and escalate</x:v>
      </x:c>
      <x:c r="K12" s="140"/>
      <x:c r="L12" s="140"/>
    </x:row>
    <x:row r="13">
      <x:c r="A13" s="200" t="str">
        <x:v>Critical</x:v>
      </x:c>
      <x:c r="B13" s="201" t="str">
        <x:v>INV-0029</x:v>
      </x:c>
      <x:c r="C13" s="201" t="str">
        <x:v>Atlas Property Group</x:v>
      </x:c>
      <x:c r="D13" s="202" t="n">
        <x:v>45950</x:v>
      </x:c>
      <x:c r="E13" s="203" t="n">
        <x:v>2065.01</x:v>
      </x:c>
      <x:c r="F13" s="201" t="n">
        <x:v>292</x:v>
      </x:c>
      <x:c r="G13" s="201" t="str">
        <x:v>Overdue</x:v>
      </x:c>
      <x:c r="H13" s="201" t="str">
        <x:v>Sara Lin</x:v>
      </x:c>
      <x:c r="I13" s="201" t="str">
        <x:v>sara@atlas.example</x:v>
      </x:c>
      <x:c r="J13" s="204" t="str">
        <x:v>Call and escalate</x:v>
      </x:c>
      <x:c r="K13" s="140"/>
      <x:c r="L13" s="140"/>
    </x:row>
    <x:row r="14">
      <x:c r="A14" s="200" t="str">
        <x:v>Critical</x:v>
      </x:c>
      <x:c r="B14" s="201" t="str">
        <x:v>INV-0034</x:v>
      </x:c>
      <x:c r="C14" s="201" t="str">
        <x:v>Willow Events</x:v>
      </x:c>
      <x:c r="D14" s="202" t="n">
        <x:v>45954</x:v>
      </x:c>
      <x:c r="E14" s="203" t="n">
        <x:v>2710.34</x:v>
      </x:c>
      <x:c r="F14" s="201" t="n">
        <x:v>288</x:v>
      </x:c>
      <x:c r="G14" s="201" t="str">
        <x:v>Overdue</x:v>
      </x:c>
      <x:c r="H14" s="201" t="str">
        <x:v>Emma Hayes</x:v>
      </x:c>
      <x:c r="I14" s="201" t="str">
        <x:v>emma@willow.example</x:v>
      </x:c>
      <x:c r="J14" s="204" t="str">
        <x:v>Call and escalate</x:v>
      </x:c>
      <x:c r="K14" s="140"/>
      <x:c r="L14" s="140"/>
    </x:row>
    <x:row r="15">
      <x:c r="A15" s="200" t="str">
        <x:v>Critical</x:v>
      </x:c>
      <x:c r="B15" s="201" t="str">
        <x:v>INV-0028</x:v>
      </x:c>
      <x:c r="C15" s="201" t="str">
        <x:v>Harbor Legal Partners</x:v>
      </x:c>
      <x:c r="D15" s="202" t="n">
        <x:v>45957</x:v>
      </x:c>
      <x:c r="E15" s="203" t="n">
        <x:v>302.21</x:v>
      </x:c>
      <x:c r="F15" s="201" t="n">
        <x:v>285</x:v>
      </x:c>
      <x:c r="G15" s="201" t="str">
        <x:v>Partially Paid - Overdue</x:v>
      </x:c>
      <x:c r="H15" s="201" t="str">
        <x:v>Owen Brooks</x:v>
      </x:c>
      <x:c r="I15" s="201" t="str">
        <x:v>owen@harbor.example</x:v>
      </x:c>
      <x:c r="J15" s="204" t="str">
        <x:v>Call and escalate</x:v>
      </x:c>
      <x:c r="K15" s="140"/>
      <x:c r="L15" s="140"/>
    </x:row>
    <x:row r="16">
      <x:c r="A16" s="200" t="str">
        <x:v>Critical</x:v>
      </x:c>
      <x:c r="B16" s="201" t="str">
        <x:v>INV-0033</x:v>
      </x:c>
      <x:c r="C16" s="201" t="str">
        <x:v>Orbit SaaS Labs</x:v>
      </x:c>
      <x:c r="D16" s="202" t="n">
        <x:v>45967</x:v>
      </x:c>
      <x:c r="E16" s="203" t="n">
        <x:v>1352.83</x:v>
      </x:c>
      <x:c r="F16" s="201" t="n">
        <x:v>275</x:v>
      </x:c>
      <x:c r="G16" s="201" t="str">
        <x:v>Partially Paid - Overdue</x:v>
      </x:c>
      <x:c r="H16" s="201" t="str">
        <x:v>Leo Martin</x:v>
      </x:c>
      <x:c r="I16" s="201" t="str">
        <x:v>leo@orbit.example</x:v>
      </x:c>
      <x:c r="J16" s="204" t="str">
        <x:v>Call and escalate</x:v>
      </x:c>
      <x:c r="K16" s="140"/>
      <x:c r="L16" s="140"/>
    </x:row>
    <x:row r="17">
      <x:c r="A17" s="200" t="str">
        <x:v>Critical</x:v>
      </x:c>
      <x:c r="B17" s="201" t="str">
        <x:v>INV-0042</x:v>
      </x:c>
      <x:c r="C17" s="201" t="str">
        <x:v>BrightPath Learning</x:v>
      </x:c>
      <x:c r="D17" s="202" t="n">
        <x:v>45971</x:v>
      </x:c>
      <x:c r="E17" s="203" t="n">
        <x:v>903.3</x:v>
      </x:c>
      <x:c r="F17" s="201" t="n">
        <x:v>271</x:v>
      </x:c>
      <x:c r="G17" s="201" t="str">
        <x:v>Partially Paid - Overdue</x:v>
      </x:c>
      <x:c r="H17" s="201" t="str">
        <x:v>Lina Costa</x:v>
      </x:c>
      <x:c r="I17" s="201" t="str">
        <x:v>lina@brightpath.example</x:v>
      </x:c>
      <x:c r="J17" s="204" t="str">
        <x:v>Call and escalate</x:v>
      </x:c>
      <x:c r="K17" s="140"/>
      <x:c r="L17" s="140"/>
    </x:row>
    <x:row r="18">
      <x:c r="A18" s="200" t="str">
        <x:v>Critical</x:v>
      </x:c>
      <x:c r="B18" s="201" t="str">
        <x:v>INV-0041</x:v>
      </x:c>
      <x:c r="C18" s="201" t="str">
        <x:v>Atlas Property Group</x:v>
      </x:c>
      <x:c r="D18" s="202" t="n">
        <x:v>45975</x:v>
      </x:c>
      <x:c r="E18" s="203" t="n">
        <x:v>2239.15</x:v>
      </x:c>
      <x:c r="F18" s="201" t="n">
        <x:v>267</x:v>
      </x:c>
      <x:c r="G18" s="201" t="str">
        <x:v>Overdue</x:v>
      </x:c>
      <x:c r="H18" s="201" t="str">
        <x:v>Sara Lin</x:v>
      </x:c>
      <x:c r="I18" s="201" t="str">
        <x:v>sara@atlas.example</x:v>
      </x:c>
      <x:c r="J18" s="204" t="str">
        <x:v>Call and escalate</x:v>
      </x:c>
      <x:c r="K18" s="140"/>
      <x:c r="L18" s="140"/>
    </x:row>
    <x:row r="19">
      <x:c r="A19" s="200" t="str">
        <x:v>Critical</x:v>
      </x:c>
      <x:c r="B19" s="201" t="str">
        <x:v>INV-0040</x:v>
      </x:c>
      <x:c r="C19" s="201" t="str">
        <x:v>Harbor Legal Partners</x:v>
      </x:c>
      <x:c r="D19" s="202" t="n">
        <x:v>45982</x:v>
      </x:c>
      <x:c r="E19" s="203" t="n">
        <x:v>2552.25</x:v>
      </x:c>
      <x:c r="F19" s="201" t="n">
        <x:v>260</x:v>
      </x:c>
      <x:c r="G19" s="201" t="str">
        <x:v>Overdue</x:v>
      </x:c>
      <x:c r="H19" s="201" t="str">
        <x:v>Owen Brooks</x:v>
      </x:c>
      <x:c r="I19" s="201" t="str">
        <x:v>owen@harbor.example</x:v>
      </x:c>
      <x:c r="J19" s="204" t="str">
        <x:v>Call and escalate</x:v>
      </x:c>
      <x:c r="K19" s="140"/>
      <x:c r="L19" s="140"/>
    </x:row>
    <x:row r="20">
      <x:c r="A20" s="200" t="str">
        <x:v>Critical</x:v>
      </x:c>
      <x:c r="B20" s="201" t="str">
        <x:v>INV-0043</x:v>
      </x:c>
      <x:c r="C20" s="201" t="str">
        <x:v>PeakFit Clubs</x:v>
      </x:c>
      <x:c r="D20" s="202" t="n">
        <x:v>45988</x:v>
      </x:c>
      <x:c r="E20" s="203" t="n">
        <x:v>278.49</x:v>
      </x:c>
      <x:c r="F20" s="201" t="n">
        <x:v>254</x:v>
      </x:c>
      <x:c r="G20" s="201" t="str">
        <x:v>Partially Paid - Overdue</x:v>
      </x:c>
      <x:c r="H20" s="201" t="str">
        <x:v>Noah Reed</x:v>
      </x:c>
      <x:c r="I20" s="201" t="str">
        <x:v>noah@peakfit.example</x:v>
      </x:c>
      <x:c r="J20" s="204" t="str">
        <x:v>Call and escalate</x:v>
      </x:c>
      <x:c r="K20" s="140"/>
      <x:c r="L20" s="140"/>
    </x:row>
    <x:row r="21">
      <x:c r="A21" s="200" t="str">
        <x:v>Critical</x:v>
      </x:c>
      <x:c r="B21" s="201" t="str">
        <x:v>INV-0045</x:v>
      </x:c>
      <x:c r="C21" s="201" t="str">
        <x:v>Orbit SaaS Labs</x:v>
      </x:c>
      <x:c r="D21" s="202" t="n">
        <x:v>45992</x:v>
      </x:c>
      <x:c r="E21" s="203" t="n">
        <x:v>376.95</x:v>
      </x:c>
      <x:c r="F21" s="201" t="n">
        <x:v>250</x:v>
      </x:c>
      <x:c r="G21" s="201" t="str">
        <x:v>Partially Paid - Overdue</x:v>
      </x:c>
      <x:c r="H21" s="201" t="str">
        <x:v>Leo Martin</x:v>
      </x:c>
      <x:c r="I21" s="201" t="str">
        <x:v>leo@orbit.example</x:v>
      </x:c>
      <x:c r="J21" s="204" t="str">
        <x:v>Call and escalate</x:v>
      </x:c>
      <x:c r="K21" s="140"/>
      <x:c r="L21" s="140"/>
    </x:row>
    <x:row r="22">
      <x:c r="A22" s="200" t="str">
        <x:v>Critical</x:v>
      </x:c>
      <x:c r="B22" s="201" t="str">
        <x:v>INV-0054</x:v>
      </x:c>
      <x:c r="C22" s="201" t="str">
        <x:v>BrightPath Learning</x:v>
      </x:c>
      <x:c r="D22" s="202" t="n">
        <x:v>45995</x:v>
      </x:c>
      <x:c r="E22" s="203" t="n">
        <x:v>2779.49</x:v>
      </x:c>
      <x:c r="F22" s="201" t="n">
        <x:v>247</x:v>
      </x:c>
      <x:c r="G22" s="201" t="str">
        <x:v>Overdue</x:v>
      </x:c>
      <x:c r="H22" s="201" t="str">
        <x:v>Lina Costa</x:v>
      </x:c>
      <x:c r="I22" s="201" t="str">
        <x:v>lina@brightpath.example</x:v>
      </x:c>
      <x:c r="J22" s="204" t="str">
        <x:v>Call and escalate</x:v>
      </x:c>
      <x:c r="K22" s="140"/>
      <x:c r="L22" s="140"/>
    </x:row>
    <x:row r="23">
      <x:c r="A23" s="200" t="str">
        <x:v>Critical</x:v>
      </x:c>
      <x:c r="B23" s="201" t="str">
        <x:v>INV-0053</x:v>
      </x:c>
      <x:c r="C23" s="201" t="str">
        <x:v>Atlas Property Group</x:v>
      </x:c>
      <x:c r="D23" s="202" t="n">
        <x:v>45999</x:v>
      </x:c>
      <x:c r="E23" s="203" t="n">
        <x:v>978.02</x:v>
      </x:c>
      <x:c r="F23" s="201" t="n">
        <x:v>243</x:v>
      </x:c>
      <x:c r="G23" s="201" t="str">
        <x:v>Overdue</x:v>
      </x:c>
      <x:c r="H23" s="201" t="str">
        <x:v>Sara Lin</x:v>
      </x:c>
      <x:c r="I23" s="201" t="str">
        <x:v>sara@atlas.example</x:v>
      </x:c>
      <x:c r="J23" s="204" t="str">
        <x:v>Call and escalate</x:v>
      </x:c>
      <x:c r="K23" s="140"/>
      <x:c r="L23" s="140"/>
    </x:row>
    <x:row r="24">
      <x:c r="A24" s="200" t="str">
        <x:v>Critical</x:v>
      </x:c>
      <x:c r="B24" s="201" t="str">
        <x:v>INV-0052</x:v>
      </x:c>
      <x:c r="C24" s="201" t="str">
        <x:v>Harbor Legal Partners</x:v>
      </x:c>
      <x:c r="D24" s="202" t="n">
        <x:v>46006</x:v>
      </x:c>
      <x:c r="E24" s="203" t="n">
        <x:v>615.72</x:v>
      </x:c>
      <x:c r="F24" s="201" t="n">
        <x:v>236</x:v>
      </x:c>
      <x:c r="G24" s="201" t="str">
        <x:v>Partially Paid - Overdue</x:v>
      </x:c>
      <x:c r="H24" s="201" t="str">
        <x:v>Owen Brooks</x:v>
      </x:c>
      <x:c r="I24" s="201" t="str">
        <x:v>owen@harbor.example</x:v>
      </x:c>
      <x:c r="J24" s="204" t="str">
        <x:v>Call and escalate</x:v>
      </x:c>
      <x:c r="K24" s="140"/>
      <x:c r="L24" s="140"/>
    </x:row>
    <x:row r="25">
      <x:c r="A25" s="200" t="str">
        <x:v>Critical</x:v>
      </x:c>
      <x:c r="B25" s="201" t="str">
        <x:v>INV-0060</x:v>
      </x:c>
      <x:c r="C25" s="201" t="str">
        <x:v>Bluebird Media</x:v>
      </x:c>
      <x:c r="D25" s="202" t="n">
        <x:v>46013</x:v>
      </x:c>
      <x:c r="E25" s="203" t="n">
        <x:v>1361</x:v>
      </x:c>
      <x:c r="F25" s="201" t="n">
        <x:v>229</x:v>
      </x:c>
      <x:c r="G25" s="201" t="str">
        <x:v>Overdue</x:v>
      </x:c>
      <x:c r="H25" s="201" t="str">
        <x:v>Theo King</x:v>
      </x:c>
      <x:c r="I25" s="201" t="str">
        <x:v>theo@bluebird.example</x:v>
      </x:c>
      <x:c r="J25" s="204" t="str">
        <x:v>Call and escalate</x:v>
      </x:c>
      <x:c r="K25" s="140"/>
      <x:c r="L25" s="140"/>
    </x:row>
    <x:row r="26">
      <x:c r="A26" s="200" t="str">
        <x:v>Critical</x:v>
      </x:c>
      <x:c r="B26" s="201" t="str">
        <x:v>INV-0059</x:v>
      </x:c>
      <x:c r="C26" s="201" t="str">
        <x:v>Copperline Consulting</x:v>
      </x:c>
      <x:c r="D26" s="202" t="n">
        <x:v>46020</x:v>
      </x:c>
      <x:c r="E26" s="203" t="n">
        <x:v>2305.54</x:v>
      </x:c>
      <x:c r="F26" s="201" t="n">
        <x:v>222</x:v>
      </x:c>
      <x:c r="G26" s="201" t="str">
        <x:v>Overdue</x:v>
      </x:c>
      <x:c r="H26" s="201" t="str">
        <x:v>Iris Young</x:v>
      </x:c>
      <x:c r="I26" s="201" t="str">
        <x:v>iris@copperline.example</x:v>
      </x:c>
      <x:c r="J26" s="204" t="str">
        <x:v>Call and escalate</x:v>
      </x:c>
      <x:c r="K26" s="140"/>
      <x:c r="L26" s="140"/>
    </x:row>
    <x:row r="27">
      <x:c r="A27" s="200" t="str">
        <x:v>Critical</x:v>
      </x:c>
      <x:c r="B27" s="201" t="str">
        <x:v>INV-0065</x:v>
      </x:c>
      <x:c r="C27" s="201" t="str">
        <x:v>Atlas Property Group</x:v>
      </x:c>
      <x:c r="D27" s="202" t="n">
        <x:v>46023</x:v>
      </x:c>
      <x:c r="E27" s="203" t="n">
        <x:v>359.42</x:v>
      </x:c>
      <x:c r="F27" s="201" t="n">
        <x:v>219</x:v>
      </x:c>
      <x:c r="G27" s="201" t="str">
        <x:v>Partially Paid - Overdue</x:v>
      </x:c>
      <x:c r="H27" s="201" t="str">
        <x:v>Sara Lin</x:v>
      </x:c>
      <x:c r="I27" s="201" t="str">
        <x:v>sara@atlas.example</x:v>
      </x:c>
      <x:c r="J27" s="204" t="str">
        <x:v>Call and escalate</x:v>
      </x:c>
      <x:c r="K27" s="140"/>
      <x:c r="L27" s="140"/>
    </x:row>
    <x:row r="28">
      <x:c r="A28" s="200" t="str">
        <x:v>Critical</x:v>
      </x:c>
      <x:c r="B28" s="201" t="str">
        <x:v>INV-0063</x:v>
      </x:c>
      <x:c r="C28" s="201" t="str">
        <x:v>Cedar &amp; Co. Retail</x:v>
      </x:c>
      <x:c r="D28" s="202" t="n">
        <x:v>46028</x:v>
      </x:c>
      <x:c r="E28" s="203" t="n">
        <x:v>2207.84</x:v>
      </x:c>
      <x:c r="F28" s="201" t="n">
        <x:v>214</x:v>
      </x:c>
      <x:c r="G28" s="201" t="str">
        <x:v>Overdue</x:v>
      </x:c>
      <x:c r="H28" s="201" t="str">
        <x:v>Nora Patel</x:v>
      </x:c>
      <x:c r="I28" s="201" t="str">
        <x:v>nora@cedar.example</x:v>
      </x:c>
      <x:c r="J28" s="204" t="str">
        <x:v>Call and escalate</x:v>
      </x:c>
      <x:c r="K28" s="140"/>
      <x:c r="L28" s="140"/>
    </x:row>
    <x:row r="29">
      <x:c r="A29" s="200" t="str">
        <x:v>Critical</x:v>
      </x:c>
      <x:c r="B29" s="201" t="str">
        <x:v>INV-0064</x:v>
      </x:c>
      <x:c r="C29" s="201" t="str">
        <x:v>Harbor Legal Partners</x:v>
      </x:c>
      <x:c r="D29" s="202" t="n">
        <x:v>46030</x:v>
      </x:c>
      <x:c r="E29" s="203" t="n">
        <x:v>2023.11</x:v>
      </x:c>
      <x:c r="F29" s="201" t="n">
        <x:v>212</x:v>
      </x:c>
      <x:c r="G29" s="201" t="str">
        <x:v>Overdue</x:v>
      </x:c>
      <x:c r="H29" s="201" t="str">
        <x:v>Owen Brooks</x:v>
      </x:c>
      <x:c r="I29" s="201" t="str">
        <x:v>owen@harbor.example</x:v>
      </x:c>
      <x:c r="J29" s="204" t="str">
        <x:v>Call and escalate</x:v>
      </x:c>
      <x:c r="K29" s="140"/>
      <x:c r="L29" s="140"/>
    </x:row>
    <x:row r="30">
      <x:c r="A30" s="200" t="str">
        <x:v>Critical</x:v>
      </x:c>
      <x:c r="B30" s="201" t="str">
        <x:v>INV-0072</x:v>
      </x:c>
      <x:c r="C30" s="201" t="str">
        <x:v>Bluebird Media</x:v>
      </x:c>
      <x:c r="D30" s="202" t="n">
        <x:v>46037</x:v>
      </x:c>
      <x:c r="E30" s="203" t="n">
        <x:v>2721.99</x:v>
      </x:c>
      <x:c r="F30" s="201" t="n">
        <x:v>205</x:v>
      </x:c>
      <x:c r="G30" s="201" t="str">
        <x:v>Overdue</x:v>
      </x:c>
      <x:c r="H30" s="201" t="str">
        <x:v>Theo King</x:v>
      </x:c>
      <x:c r="I30" s="201" t="str">
        <x:v>theo@bluebird.example</x:v>
      </x:c>
      <x:c r="J30" s="204" t="str">
        <x:v>Call and escalate</x:v>
      </x:c>
      <x:c r="K30" s="140"/>
      <x:c r="L30" s="140"/>
    </x:row>
    <x:row r="31">
      <x:c r="A31" s="200" t="str">
        <x:v>Critical</x:v>
      </x:c>
      <x:c r="B31" s="201" t="str">
        <x:v>INV-0076</x:v>
      </x:c>
      <x:c r="C31" s="201" t="str">
        <x:v>Harbor Legal Partners</x:v>
      </x:c>
      <x:c r="D31" s="202" t="n">
        <x:v>46055</x:v>
      </x:c>
      <x:c r="E31" s="203" t="n">
        <x:v>2860.36</x:v>
      </x:c>
      <x:c r="F31" s="201" t="n">
        <x:v>187</x:v>
      </x:c>
      <x:c r="G31" s="201" t="str">
        <x:v>Overdue</x:v>
      </x:c>
      <x:c r="H31" s="201" t="str">
        <x:v>Owen Brooks</x:v>
      </x:c>
      <x:c r="I31" s="201" t="str">
        <x:v>owen@harbor.example</x:v>
      </x:c>
      <x:c r="J31" s="204" t="str">
        <x:v>Call and escalate</x:v>
      </x:c>
      <x:c r="K31" s="140"/>
      <x:c r="L31" s="140"/>
    </x:row>
    <x:row r="32">
      <x:c r="A32" s="200" t="str">
        <x:v>Critical</x:v>
      </x:c>
      <x:c r="B32" s="201" t="str">
        <x:v>INV-0086</x:v>
      </x:c>
      <x:c r="C32" s="201" t="str">
        <x:v>Lumen Health Studio</x:v>
      </x:c>
      <x:c r="D32" s="202" t="n">
        <x:v>46060</x:v>
      </x:c>
      <x:c r="E32" s="203" t="n">
        <x:v>2307.6</x:v>
      </x:c>
      <x:c r="F32" s="201" t="n">
        <x:v>182</x:v>
      </x:c>
      <x:c r="G32" s="201" t="str">
        <x:v>Overdue</x:v>
      </x:c>
      <x:c r="H32" s="201" t="str">
        <x:v>Elias Ward</x:v>
      </x:c>
      <x:c r="I32" s="201" t="str">
        <x:v>elias@lumen.example</x:v>
      </x:c>
      <x:c r="J32" s="204" t="str">
        <x:v>Call and escalate</x:v>
      </x:c>
      <x:c r="K32" s="140"/>
      <x:c r="L32" s="140"/>
    </x:row>
    <x:row r="33">
      <x:c r="A33" s="200" t="str">
        <x:v>Critical</x:v>
      </x:c>
      <x:c r="B33" s="201" t="str">
        <x:v>INV-0084</x:v>
      </x:c>
      <x:c r="C33" s="201" t="str">
        <x:v>Bluebird Media</x:v>
      </x:c>
      <x:c r="D33" s="202" t="n">
        <x:v>46062</x:v>
      </x:c>
      <x:c r="E33" s="203" t="n">
        <x:v>848.04</x:v>
      </x:c>
      <x:c r="F33" s="201" t="n">
        <x:v>180</x:v>
      </x:c>
      <x:c r="G33" s="201" t="str">
        <x:v>Overdue</x:v>
      </x:c>
      <x:c r="H33" s="201" t="str">
        <x:v>Theo King</x:v>
      </x:c>
      <x:c r="I33" s="201" t="str">
        <x:v>theo@bluebird.example</x:v>
      </x:c>
      <x:c r="J33" s="204" t="str">
        <x:v>Call and escalate</x:v>
      </x:c>
      <x:c r="K33" s="140"/>
      <x:c r="L33" s="140"/>
    </x:row>
    <x:row r="34">
      <x:c r="A34" s="200" t="str">
        <x:v>Critical</x:v>
      </x:c>
      <x:c r="B34" s="201" t="str">
        <x:v>INV-0090</x:v>
      </x:c>
      <x:c r="C34" s="201" t="str">
        <x:v>BrightPath Learning</x:v>
      </x:c>
      <x:c r="D34" s="202" t="n">
        <x:v>46068</x:v>
      </x:c>
      <x:c r="E34" s="203" t="n">
        <x:v>2037.98</x:v>
      </x:c>
      <x:c r="F34" s="201" t="n">
        <x:v>174</x:v>
      </x:c>
      <x:c r="G34" s="201" t="str">
        <x:v>Overdue</x:v>
      </x:c>
      <x:c r="H34" s="201" t="str">
        <x:v>Lina Costa</x:v>
      </x:c>
      <x:c r="I34" s="201" t="str">
        <x:v>lina@brightpath.example</x:v>
      </x:c>
      <x:c r="J34" s="204" t="str">
        <x:v>Call and escalate</x:v>
      </x:c>
      <x:c r="K34" s="140"/>
      <x:c r="L34" s="140"/>
    </x:row>
    <x:row r="35">
      <x:c r="A35" s="200" t="str">
        <x:v>Critical</x:v>
      </x:c>
      <x:c r="B35" s="201" t="str">
        <x:v>INV-0091</x:v>
      </x:c>
      <x:c r="C35" s="201" t="str">
        <x:v>PeakFit Clubs</x:v>
      </x:c>
      <x:c r="D35" s="202" t="n">
        <x:v>46085</x:v>
      </x:c>
      <x:c r="E35" s="203" t="n">
        <x:v>782</x:v>
      </x:c>
      <x:c r="F35" s="201" t="n">
        <x:v>157</x:v>
      </x:c>
      <x:c r="G35" s="201" t="str">
        <x:v>Partially Paid - Overdue</x:v>
      </x:c>
      <x:c r="H35" s="201" t="str">
        <x:v>Noah Reed</x:v>
      </x:c>
      <x:c r="I35" s="201" t="str">
        <x:v>noah@peakfit.example</x:v>
      </x:c>
      <x:c r="J35" s="204" t="str">
        <x:v>Call and escalate</x:v>
      </x:c>
      <x:c r="K35" s="140"/>
      <x:c r="L35" s="140"/>
    </x:row>
    <x:row r="36">
      <x:c r="A36" s="200" t="str">
        <x:v>Critical</x:v>
      </x:c>
      <x:c r="B36" s="201" t="str">
        <x:v>INV-0102</x:v>
      </x:c>
      <x:c r="C36" s="201" t="str">
        <x:v>BrightPath Learning</x:v>
      </x:c>
      <x:c r="D36" s="202" t="n">
        <x:v>46092</x:v>
      </x:c>
      <x:c r="E36" s="203" t="n">
        <x:v>224.46</x:v>
      </x:c>
      <x:c r="F36" s="201" t="n">
        <x:v>150</x:v>
      </x:c>
      <x:c r="G36" s="201" t="str">
        <x:v>Partially Paid - Overdue</x:v>
      </x:c>
      <x:c r="H36" s="201" t="str">
        <x:v>Lina Costa</x:v>
      </x:c>
      <x:c r="I36" s="201" t="str">
        <x:v>lina@brightpath.example</x:v>
      </x:c>
      <x:c r="J36" s="204" t="str">
        <x:v>Call and escalate</x:v>
      </x:c>
      <x:c r="K36" s="140"/>
      <x:c r="L36" s="140"/>
    </x:row>
    <x:row r="37">
      <x:c r="A37" s="200" t="str">
        <x:v>Critical</x:v>
      </x:c>
      <x:c r="B37" s="201" t="str">
        <x:v>INV-0101</x:v>
      </x:c>
      <x:c r="C37" s="201" t="str">
        <x:v>Atlas Property Group</x:v>
      </x:c>
      <x:c r="D37" s="202" t="n">
        <x:v>46096</x:v>
      </x:c>
      <x:c r="E37" s="203" t="n">
        <x:v>1806.2</x:v>
      </x:c>
      <x:c r="F37" s="201" t="n">
        <x:v>146</x:v>
      </x:c>
      <x:c r="G37" s="201" t="str">
        <x:v>Overdue</x:v>
      </x:c>
      <x:c r="H37" s="201" t="str">
        <x:v>Sara Lin</x:v>
      </x:c>
      <x:c r="I37" s="201" t="str">
        <x:v>sara@atlas.example</x:v>
      </x:c>
      <x:c r="J37" s="204" t="str">
        <x:v>Call and escalate</x:v>
      </x:c>
      <x:c r="K37" s="140"/>
      <x:c r="L37" s="140"/>
    </x:row>
    <x:row r="38">
      <x:c r="A38" s="200" t="str">
        <x:v>Critical</x:v>
      </x:c>
      <x:c r="B38" s="201" t="str">
        <x:v>INV-0106</x:v>
      </x:c>
      <x:c r="C38" s="201" t="str">
        <x:v>Willow Events</x:v>
      </x:c>
      <x:c r="D38" s="202" t="n">
        <x:v>46100</x:v>
      </x:c>
      <x:c r="E38" s="203" t="n">
        <x:v>2009.48</x:v>
      </x:c>
      <x:c r="F38" s="201" t="n">
        <x:v>142</x:v>
      </x:c>
      <x:c r="G38" s="201" t="str">
        <x:v>Overdue</x:v>
      </x:c>
      <x:c r="H38" s="201" t="str">
        <x:v>Emma Hayes</x:v>
      </x:c>
      <x:c r="I38" s="201" t="str">
        <x:v>emma@willow.example</x:v>
      </x:c>
      <x:c r="J38" s="204" t="str">
        <x:v>Call and escalate</x:v>
      </x:c>
      <x:c r="K38" s="140"/>
      <x:c r="L38" s="140"/>
    </x:row>
    <x:row r="39">
      <x:c r="A39" s="200" t="str">
        <x:v>Critical</x:v>
      </x:c>
      <x:c r="B39" s="201" t="str">
        <x:v>INV-0103</x:v>
      </x:c>
      <x:c r="C39" s="201" t="str">
        <x:v>PeakFit Clubs</x:v>
      </x:c>
      <x:c r="D39" s="202" t="n">
        <x:v>46109</x:v>
      </x:c>
      <x:c r="E39" s="203" t="n">
        <x:v>918.21</x:v>
      </x:c>
      <x:c r="F39" s="201" t="n">
        <x:v>133</x:v>
      </x:c>
      <x:c r="G39" s="201" t="str">
        <x:v>Overdue</x:v>
      </x:c>
      <x:c r="H39" s="201" t="str">
        <x:v>Noah Reed</x:v>
      </x:c>
      <x:c r="I39" s="201" t="str">
        <x:v>noah@peakfit.example</x:v>
      </x:c>
      <x:c r="J39" s="204" t="str">
        <x:v>Call and escalate</x:v>
      </x:c>
      <x:c r="K39" s="140"/>
      <x:c r="L39" s="140"/>
    </x:row>
    <x:row r="40">
      <x:c r="A40" s="200" t="str">
        <x:v>Critical</x:v>
      </x:c>
      <x:c r="B40" s="201" t="str">
        <x:v>INV-0114</x:v>
      </x:c>
      <x:c r="C40" s="201" t="str">
        <x:v>BrightPath Learning</x:v>
      </x:c>
      <x:c r="D40" s="202" t="n">
        <x:v>46117</x:v>
      </x:c>
      <x:c r="E40" s="203" t="n">
        <x:v>515.56</x:v>
      </x:c>
      <x:c r="F40" s="201" t="n">
        <x:v>125</x:v>
      </x:c>
      <x:c r="G40" s="201" t="str">
        <x:v>Overdue</x:v>
      </x:c>
      <x:c r="H40" s="201" t="str">
        <x:v>Lina Costa</x:v>
      </x:c>
      <x:c r="I40" s="201" t="str">
        <x:v>lina@brightpath.example</x:v>
      </x:c>
      <x:c r="J40" s="204" t="str">
        <x:v>Call and escalate</x:v>
      </x:c>
      <x:c r="K40" s="140"/>
      <x:c r="L40" s="140"/>
    </x:row>
    <x:row r="41">
      <x:c r="A41" s="200" t="str">
        <x:v>Critical</x:v>
      </x:c>
      <x:c r="B41" s="201" t="str">
        <x:v>INV-0111</x:v>
      </x:c>
      <x:c r="C41" s="201" t="str">
        <x:v>Cedar &amp; Co. Retail</x:v>
      </x:c>
      <x:c r="D41" s="202" t="n">
        <x:v>46126</x:v>
      </x:c>
      <x:c r="E41" s="203" t="n">
        <x:v>818.26</x:v>
      </x:c>
      <x:c r="F41" s="201" t="n">
        <x:v>116</x:v>
      </x:c>
      <x:c r="G41" s="201" t="str">
        <x:v>Partially Paid - Overdue</x:v>
      </x:c>
      <x:c r="H41" s="201" t="str">
        <x:v>Nora Patel</x:v>
      </x:c>
      <x:c r="I41" s="201" t="str">
        <x:v>nora@cedar.example</x:v>
      </x:c>
      <x:c r="J41" s="204" t="str">
        <x:v>Call and escalate</x:v>
      </x:c>
      <x:c r="K41" s="140"/>
      <x:c r="L41" s="140"/>
    </x:row>
    <x:row r="42">
      <x:c r="A42" s="200" t="str">
        <x:v>Critical</x:v>
      </x:c>
      <x:c r="B42" s="201" t="str">
        <x:v>INV-0120</x:v>
      </x:c>
      <x:c r="C42" s="201" t="str">
        <x:v>Bluebird Media</x:v>
      </x:c>
      <x:c r="D42" s="202" t="n">
        <x:v>46135</x:v>
      </x:c>
      <x:c r="E42" s="203" t="n">
        <x:v>520.79</x:v>
      </x:c>
      <x:c r="F42" s="201" t="n">
        <x:v>107</x:v>
      </x:c>
      <x:c r="G42" s="201" t="str">
        <x:v>Overdue</x:v>
      </x:c>
      <x:c r="H42" s="201" t="str">
        <x:v>Theo King</x:v>
      </x:c>
      <x:c r="I42" s="201" t="str">
        <x:v>theo@bluebird.example</x:v>
      </x:c>
      <x:c r="J42" s="204" t="str">
        <x:v>Call and escalate</x:v>
      </x:c>
      <x:c r="K42" s="140"/>
      <x:c r="L42" s="140"/>
    </x:row>
    <x:row r="43">
      <x:c r="A43" s="200" t="str">
        <x:v>Critical</x:v>
      </x:c>
      <x:c r="B43" s="201" t="str">
        <x:v>INV-0117</x:v>
      </x:c>
      <x:c r="C43" s="201" t="str">
        <x:v>Orbit SaaS Labs</x:v>
      </x:c>
      <x:c r="D43" s="202" t="n">
        <x:v>46138</x:v>
      </x:c>
      <x:c r="E43" s="203" t="n">
        <x:v>371.76</x:v>
      </x:c>
      <x:c r="F43" s="201" t="n">
        <x:v>104</x:v>
      </x:c>
      <x:c r="G43" s="201" t="str">
        <x:v>Partially Paid - Overdue</x:v>
      </x:c>
      <x:c r="H43" s="201" t="str">
        <x:v>Leo Martin</x:v>
      </x:c>
      <x:c r="I43" s="201" t="str">
        <x:v>leo@orbit.example</x:v>
      </x:c>
      <x:c r="J43" s="204" t="str">
        <x:v>Call and escalate</x:v>
      </x:c>
      <x:c r="K43" s="140"/>
      <x:c r="L43" s="140"/>
    </x:row>
    <x:row r="44">
      <x:c r="A44" s="200" t="str">
        <x:v>Critical</x:v>
      </x:c>
      <x:c r="B44" s="201" t="str">
        <x:v>INV-0119</x:v>
      </x:c>
      <x:c r="C44" s="201" t="str">
        <x:v>Copperline Consulting</x:v>
      </x:c>
      <x:c r="D44" s="202" t="n">
        <x:v>46142</x:v>
      </x:c>
      <x:c r="E44" s="203" t="n">
        <x:v>1246.14</x:v>
      </x:c>
      <x:c r="F44" s="201" t="n">
        <x:v>100</x:v>
      </x:c>
      <x:c r="G44" s="201" t="str">
        <x:v>Partially Paid - Overdue</x:v>
      </x:c>
      <x:c r="H44" s="201" t="str">
        <x:v>Iris Young</x:v>
      </x:c>
      <x:c r="I44" s="201" t="str">
        <x:v>iris@copperline.example</x:v>
      </x:c>
      <x:c r="J44" s="204" t="str">
        <x:v>Call and escalate</x:v>
      </x:c>
      <x:c r="K44" s="140"/>
      <x:c r="L44" s="140"/>
    </x:row>
    <x:row r="45">
      <x:c r="A45" s="200" t="str">
        <x:v>Critical</x:v>
      </x:c>
      <x:c r="B45" s="201" t="str">
        <x:v>INV-0125</x:v>
      </x:c>
      <x:c r="C45" s="201" t="str">
        <x:v>Atlas Property Group</x:v>
      </x:c>
      <x:c r="D45" s="202" t="n">
        <x:v>46145</x:v>
      </x:c>
      <x:c r="E45" s="203" t="n">
        <x:v>343.18</x:v>
      </x:c>
      <x:c r="F45" s="201" t="n">
        <x:v>97</x:v>
      </x:c>
      <x:c r="G45" s="201" t="str">
        <x:v>Partially Paid - Overdue</x:v>
      </x:c>
      <x:c r="H45" s="201" t="str">
        <x:v>Sara Lin</x:v>
      </x:c>
      <x:c r="I45" s="201" t="str">
        <x:v>sara@atlas.example</x:v>
      </x:c>
      <x:c r="J45" s="204" t="str">
        <x:v>Call and escalate</x:v>
      </x:c>
      <x:c r="K45" s="140"/>
      <x:c r="L45" s="140"/>
    </x:row>
    <x:row r="46">
      <x:c r="A46" s="200" t="str">
        <x:v>High</x:v>
      </x:c>
      <x:c r="B46" s="201" t="str">
        <x:v>INV-0135</x:v>
      </x:c>
      <x:c r="C46" s="201" t="str">
        <x:v>Cedar &amp; Co. Retail</x:v>
      </x:c>
      <x:c r="D46" s="202" t="n">
        <x:v>46174</x:v>
      </x:c>
      <x:c r="E46" s="203" t="n">
        <x:v>2834.14</x:v>
      </x:c>
      <x:c r="F46" s="201" t="n">
        <x:v>68</x:v>
      </x:c>
      <x:c r="G46" s="201" t="str">
        <x:v>Overdue</x:v>
      </x:c>
      <x:c r="H46" s="201" t="str">
        <x:v>Nora Patel</x:v>
      </x:c>
      <x:c r="I46" s="201" t="str">
        <x:v>nora@cedar.example</x:v>
      </x:c>
      <x:c r="J46" s="204" t="str">
        <x:v>Personal follow-up</x:v>
      </x:c>
      <x:c r="K46" s="140"/>
      <x:c r="L46" s="140"/>
    </x:row>
    <x:row r="47">
      <x:c r="A47" s="200" t="str">
        <x:v>High</x:v>
      </x:c>
      <x:c r="B47" s="201" t="str">
        <x:v>INV-0139</x:v>
      </x:c>
      <x:c r="C47" s="201" t="str">
        <x:v>PeakFit Clubs</x:v>
      </x:c>
      <x:c r="D47" s="202" t="n">
        <x:v>46182</x:v>
      </x:c>
      <x:c r="E47" s="203" t="n">
        <x:v>663.03</x:v>
      </x:c>
      <x:c r="F47" s="201" t="n">
        <x:v>60</x:v>
      </x:c>
      <x:c r="G47" s="201" t="str">
        <x:v>Partially Paid - Overdue</x:v>
      </x:c>
      <x:c r="H47" s="201" t="str">
        <x:v>Noah Reed</x:v>
      </x:c>
      <x:c r="I47" s="201" t="str">
        <x:v>noah@peakfit.example</x:v>
      </x:c>
      <x:c r="J47" s="204" t="str">
        <x:v>Personal follow-up</x:v>
      </x:c>
      <x:c r="K47" s="140"/>
      <x:c r="L47" s="140"/>
    </x:row>
    <x:row r="48">
      <x:c r="A48" s="200" t="str">
        <x:v>High</x:v>
      </x:c>
      <x:c r="B48" s="201" t="str">
        <x:v>INV-0144</x:v>
      </x:c>
      <x:c r="C48" s="201" t="str">
        <x:v>Bluebird Media</x:v>
      </x:c>
      <x:c r="D48" s="202" t="n">
        <x:v>46183</x:v>
      </x:c>
      <x:c r="E48" s="203" t="n">
        <x:v>441.19</x:v>
      </x:c>
      <x:c r="F48" s="201" t="n">
        <x:v>59</x:v>
      </x:c>
      <x:c r="G48" s="201" t="str">
        <x:v>Partially Paid - Overdue</x:v>
      </x:c>
      <x:c r="H48" s="201" t="str">
        <x:v>Theo King</x:v>
      </x:c>
      <x:c r="I48" s="201" t="str">
        <x:v>theo@bluebird.example</x:v>
      </x:c>
      <x:c r="J48" s="204" t="str">
        <x:v>Personal follow-up</x:v>
      </x:c>
      <x:c r="K48" s="140"/>
      <x:c r="L48" s="140"/>
    </x:row>
    <x:row r="49">
      <x:c r="A49" s="200" t="str">
        <x:v>High</x:v>
      </x:c>
      <x:c r="B49" s="201" t="str">
        <x:v>INV-0141</x:v>
      </x:c>
      <x:c r="C49" s="201" t="str">
        <x:v>Orbit SaaS Labs</x:v>
      </x:c>
      <x:c r="D49" s="202" t="n">
        <x:v>46186</x:v>
      </x:c>
      <x:c r="E49" s="203" t="n">
        <x:v>2609.85</x:v>
      </x:c>
      <x:c r="F49" s="201" t="n">
        <x:v>56</x:v>
      </x:c>
      <x:c r="G49" s="201" t="str">
        <x:v>Overdue</x:v>
      </x:c>
      <x:c r="H49" s="201" t="str">
        <x:v>Leo Martin</x:v>
      </x:c>
      <x:c r="I49" s="201" t="str">
        <x:v>leo@orbit.example</x:v>
      </x:c>
      <x:c r="J49" s="204" t="str">
        <x:v>Personal follow-up</x:v>
      </x:c>
      <x:c r="K49" s="140"/>
      <x:c r="L49" s="140"/>
    </x:row>
    <x:row r="50">
      <x:c r="A50" s="200" t="str">
        <x:v>High</x:v>
      </x:c>
      <x:c r="B50" s="201" t="str">
        <x:v>INV-0149</x:v>
      </x:c>
      <x:c r="C50" s="201" t="str">
        <x:v>Atlas Property Group</x:v>
      </x:c>
      <x:c r="D50" s="202" t="n">
        <x:v>46194</x:v>
      </x:c>
      <x:c r="E50" s="203" t="n">
        <x:v>1822.94</x:v>
      </x:c>
      <x:c r="F50" s="201" t="n">
        <x:v>48</x:v>
      </x:c>
      <x:c r="G50" s="201" t="str">
        <x:v>Overdue</x:v>
      </x:c>
      <x:c r="H50" s="201" t="str">
        <x:v>Sara Lin</x:v>
      </x:c>
      <x:c r="I50" s="201" t="str">
        <x:v>sara@atlas.example</x:v>
      </x:c>
      <x:c r="J50" s="204" t="str">
        <x:v>Personal follow-up</x:v>
      </x:c>
      <x:c r="K50" s="140"/>
      <x:c r="L50" s="140"/>
    </x:row>
    <x:row r="51">
      <x:c r="A51" s="200" t="str">
        <x:v>High</x:v>
      </x:c>
      <x:c r="B51" s="201" t="str">
        <x:v>INV-0148</x:v>
      </x:c>
      <x:c r="C51" s="201" t="str">
        <x:v>Harbor Legal Partners</x:v>
      </x:c>
      <x:c r="D51" s="202" t="n">
        <x:v>46201</x:v>
      </x:c>
      <x:c r="E51" s="203" t="n">
        <x:v>2061.9</x:v>
      </x:c>
      <x:c r="F51" s="201" t="n">
        <x:v>41</x:v>
      </x:c>
      <x:c r="G51" s="201" t="str">
        <x:v>Overdue</x:v>
      </x:c>
      <x:c r="H51" s="201" t="str">
        <x:v>Owen Brooks</x:v>
      </x:c>
      <x:c r="I51" s="201" t="str">
        <x:v>owen@harbor.example</x:v>
      </x:c>
      <x:c r="J51" s="204" t="str">
        <x:v>Personal follow-up</x:v>
      </x:c>
      <x:c r="K51" s="140"/>
      <x:c r="L51" s="140"/>
    </x:row>
    <x:row r="52">
      <x:c r="A52" s="200" t="str">
        <x:v>High</x:v>
      </x:c>
      <x:c r="B52" s="201" t="str">
        <x:v>INV-0156</x:v>
      </x:c>
      <x:c r="C52" s="201" t="str">
        <x:v>Bluebird Media</x:v>
      </x:c>
      <x:c r="D52" s="202" t="n">
        <x:v>46208</x:v>
      </x:c>
      <x:c r="E52" s="203" t="n">
        <x:v>1451.97</x:v>
      </x:c>
      <x:c r="F52" s="201" t="n">
        <x:v>34</x:v>
      </x:c>
      <x:c r="G52" s="201" t="str">
        <x:v>Overdue</x:v>
      </x:c>
      <x:c r="H52" s="201" t="str">
        <x:v>Theo King</x:v>
      </x:c>
      <x:c r="I52" s="201" t="str">
        <x:v>theo@bluebird.example</x:v>
      </x:c>
      <x:c r="J52" s="204" t="str">
        <x:v>Personal follow-up</x:v>
      </x:c>
      <x:c r="K52" s="140"/>
      <x:c r="L52" s="140"/>
    </x:row>
    <x:row r="53">
      <x:c r="A53" s="200" t="str">
        <x:v>High</x:v>
      </x:c>
      <x:c r="B53" s="201" t="str">
        <x:v>INV-0153</x:v>
      </x:c>
      <x:c r="C53" s="201" t="str">
        <x:v>Orbit SaaS Labs</x:v>
      </x:c>
      <x:c r="D53" s="202" t="n">
        <x:v>46211</x:v>
      </x:c>
      <x:c r="E53" s="203" t="n">
        <x:v>2899.88</x:v>
      </x:c>
      <x:c r="F53" s="201" t="n">
        <x:v>31</x:v>
      </x:c>
      <x:c r="G53" s="201" t="str">
        <x:v>Overdue</x:v>
      </x:c>
      <x:c r="H53" s="201" t="str">
        <x:v>Leo Martin</x:v>
      </x:c>
      <x:c r="I53" s="201" t="str">
        <x:v>leo@orbit.example</x:v>
      </x:c>
      <x:c r="J53" s="204" t="str">
        <x:v>Personal follow-up</x:v>
      </x:c>
      <x:c r="K53" s="140"/>
      <x:c r="L53" s="140"/>
    </x:row>
    <x:row r="54">
      <x:c r="A54" s="200" t="str">
        <x:v>Medium</x:v>
      </x:c>
      <x:c r="B54" s="201" t="str">
        <x:v>INV-0162</x:v>
      </x:c>
      <x:c r="C54" s="201" t="str">
        <x:v>BrightPath Learning</x:v>
      </x:c>
      <x:c r="D54" s="202" t="n">
        <x:v>46214</x:v>
      </x:c>
      <x:c r="E54" s="203" t="n">
        <x:v>728.31</x:v>
      </x:c>
      <x:c r="F54" s="201" t="n">
        <x:v>28</x:v>
      </x:c>
      <x:c r="G54" s="201" t="str">
        <x:v>Overdue</x:v>
      </x:c>
      <x:c r="H54" s="201" t="str">
        <x:v>Lina Costa</x:v>
      </x:c>
      <x:c r="I54" s="201" t="str">
        <x:v>lina@brightpath.example</x:v>
      </x:c>
      <x:c r="J54" s="204" t="str">
        <x:v>Send reminder</x:v>
      </x:c>
      <x:c r="K54" s="140"/>
      <x:c r="L54" s="140"/>
    </x:row>
    <x:row r="55">
      <x:c r="A55" s="200" t="str">
        <x:v>Medium</x:v>
      </x:c>
      <x:c r="B55" s="201" t="str">
        <x:v>INV-0157</x:v>
      </x:c>
      <x:c r="C55" s="201" t="str">
        <x:v>Northstar Creative</x:v>
      </x:c>
      <x:c r="D55" s="202" t="n">
        <x:v>46219</x:v>
      </x:c>
      <x:c r="E55" s="203" t="n">
        <x:v>1455.38</x:v>
      </x:c>
      <x:c r="F55" s="201" t="n">
        <x:v>23</x:v>
      </x:c>
      <x:c r="G55" s="201" t="str">
        <x:v>Overdue</x:v>
      </x:c>
      <x:c r="H55" s="201" t="str">
        <x:v>Maya Chen</x:v>
      </x:c>
      <x:c r="I55" s="201" t="str">
        <x:v>maya@northstar.example</x:v>
      </x:c>
      <x:c r="J55" s="204" t="str">
        <x:v>Send reminder</x:v>
      </x:c>
      <x:c r="K55" s="140"/>
      <x:c r="L55" s="140"/>
    </x:row>
    <x:row r="56">
      <x:c r="A56" s="200" t="str">
        <x:v>Medium</x:v>
      </x:c>
      <x:c r="B56" s="201" t="str">
        <x:v>INV-0168</x:v>
      </x:c>
      <x:c r="C56" s="201" t="str">
        <x:v>Bluebird Media</x:v>
      </x:c>
      <x:c r="D56" s="202" t="n">
        <x:v>46232</x:v>
      </x:c>
      <x:c r="E56" s="203" t="n">
        <x:v>1082.98</x:v>
      </x:c>
      <x:c r="F56" s="201" t="n">
        <x:v>10</x:v>
      </x:c>
      <x:c r="G56" s="201" t="str">
        <x:v>Partially Paid - Overdue</x:v>
      </x:c>
      <x:c r="H56" s="201" t="str">
        <x:v>Theo King</x:v>
      </x:c>
      <x:c r="I56" s="201" t="str">
        <x:v>theo@bluebird.example</x:v>
      </x:c>
      <x:c r="J56" s="204" t="str">
        <x:v>Send reminder</x:v>
      </x:c>
      <x:c r="K56" s="140"/>
      <x:c r="L56" s="140"/>
    </x:row>
    <x:row r="57">
      <x:c r="A57" s="200" t="str">
        <x:v>Medium</x:v>
      </x:c>
      <x:c r="B57" s="201" t="str">
        <x:v>INV-0165</x:v>
      </x:c>
      <x:c r="C57" s="201" t="str">
        <x:v>Orbit SaaS Labs</x:v>
      </x:c>
      <x:c r="D57" s="202" t="n">
        <x:v>46235</x:v>
      </x:c>
      <x:c r="E57" s="203" t="n">
        <x:v>903.81</x:v>
      </x:c>
      <x:c r="F57" s="201" t="n">
        <x:v>7</x:v>
      </x:c>
      <x:c r="G57" s="201" t="str">
        <x:v>Partially Paid - Overdue</x:v>
      </x:c>
      <x:c r="H57" s="201" t="str">
        <x:v>Leo Martin</x:v>
      </x:c>
      <x:c r="I57" s="201" t="str">
        <x:v>leo@orbit.example</x:v>
      </x:c>
      <x:c r="J57" s="204" t="str">
        <x:v>Send reminder</x:v>
      </x:c>
      <x:c r="K57" s="140"/>
      <x:c r="L57" s="140"/>
    </x:row>
    <x:row r="58">
      <x:c r="A58" s="200" t="str">
        <x:v>Routine</x:v>
      </x:c>
      <x:c r="B58" s="201" t="str">
        <x:v>INV-0177</x:v>
      </x:c>
      <x:c r="C58" s="201" t="str">
        <x:v>Orbit SaaS Labs</x:v>
      </x:c>
      <x:c r="D58" s="202" t="n">
        <x:v>46259</x:v>
      </x:c>
      <x:c r="E58" s="203" t="n">
        <x:v>413.37</x:v>
      </x:c>
      <x:c r="F58" s="201" t="n">
        <x:v>0</x:v>
      </x:c>
      <x:c r="G58" s="201" t="str">
        <x:v>Partially Paid</x:v>
      </x:c>
      <x:c r="H58" s="201" t="str">
        <x:v>Leo Martin</x:v>
      </x:c>
      <x:c r="I58" s="201" t="str">
        <x:v>leo@orbit.example</x:v>
      </x:c>
      <x:c r="J58" s="204" t="str">
        <x:v>Monitor due date</x:v>
      </x:c>
      <x:c r="K58" s="140"/>
      <x:c r="L58" s="140"/>
    </x:row>
    <x:row r="59">
      <x:c r="A59" s="200" t="str">
        <x:v>Routine</x:v>
      </x:c>
      <x:c r="B59" s="201" t="str">
        <x:v>INV-0178</x:v>
      </x:c>
      <x:c r="C59" s="201" t="str">
        <x:v>Willow Events</x:v>
      </x:c>
      <x:c r="D59" s="202" t="n">
        <x:v>46246</x:v>
      </x:c>
      <x:c r="E59" s="203" t="n">
        <x:v>1377.43</x:v>
      </x:c>
      <x:c r="F59" s="201" t="n">
        <x:v>0</x:v>
      </x:c>
      <x:c r="G59" s="201" t="str">
        <x:v>Open</x:v>
      </x:c>
      <x:c r="H59" s="201" t="str">
        <x:v>Emma Hayes</x:v>
      </x:c>
      <x:c r="I59" s="201" t="str">
        <x:v>emma@willow.example</x:v>
      </x:c>
      <x:c r="J59" s="204" t="str">
        <x:v>Monitor due date</x:v>
      </x:c>
      <x:c r="K59" s="140"/>
      <x:c r="L59" s="140"/>
    </x:row>
    <x:row r="60">
      <x:c r="A60" s="205" t="str">
        <x:v>Routine</x:v>
      </x:c>
      <x:c r="B60" s="206" t="str">
        <x:v>INV-0180</x:v>
      </x:c>
      <x:c r="C60" s="206" t="str">
        <x:v>Bluebird Media</x:v>
      </x:c>
      <x:c r="D60" s="207" t="n">
        <x:v>46256</x:v>
      </x:c>
      <x:c r="E60" s="208" t="n">
        <x:v>1049.5</x:v>
      </x:c>
      <x:c r="F60" s="206" t="n">
        <x:v>0</x:v>
      </x:c>
      <x:c r="G60" s="206" t="str">
        <x:v>Partially Paid</x:v>
      </x:c>
      <x:c r="H60" s="206" t="str">
        <x:v>Theo King</x:v>
      </x:c>
      <x:c r="I60" s="206" t="str">
        <x:v>theo@bluebird.example</x:v>
      </x:c>
      <x:c r="J60" s="209" t="str">
        <x:v>Monitor due date</x:v>
      </x:c>
      <x:c r="K60" s="140"/>
      <x:c r="L60" s="140"/>
    </x:row>
  </x:sheetData>
  <x:mergeCells>
    <x:mergeCell ref="A1:J1"/>
    <x:mergeCell ref="A2:L2"/>
  </x:mergeCells>
  <x:conditionalFormatting sqref="A5:A60">
    <x:cfRule type="containsText" dxfId="1" priority="1" operator="containsText" text="Critical"/>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5" hidden="0" customWidth="1"/>
    <x:col min="2" max="2" width="18" hidden="0" customWidth="1"/>
    <x:col min="3" max="3" width="12" hidden="0" customWidth="1"/>
    <x:col min="4" max="4" width="15" hidden="0" customWidth="1"/>
    <x:col min="5" max="5" width="15" hidden="0" customWidth="1"/>
    <x:col min="6" max="6" width="15" hidden="0" customWidth="1"/>
    <x:col min="7" max="7" width="15" hidden="0" customWidth="1"/>
    <x:col min="8" max="8" width="15" hidden="0" customWidth="1"/>
  </x:cols>
  <x:sheetData>
    <x:row r="1" ht="25" customHeight="1">
      <x:c r="A1" s="3" t="str">
        <x:v>Client Summary</x:v>
      </x:c>
      <x:c r="B1" s="3"/>
      <x:c r="C1" s="3"/>
      <x:c r="D1" s="3"/>
      <x:c r="E1" s="3"/>
      <x:c r="F1" s="3"/>
      <x:c r="G1" s="3"/>
      <x:c r="H1" s="3"/>
      <x:c r="I1" s="140"/>
      <x:c r="J1" s="140"/>
      <x:c r="K1" s="140"/>
      <x:c r="L1" s="140"/>
    </x:row>
    <x:row r="2" ht="25" customHeight="1">
      <x:c r="A2" s="139" t="str">
        <x:v>Portfolio-level billing and collection performance by client</x:v>
      </x:c>
      <x:c r="B2" s="139"/>
      <x:c r="C2" s="139"/>
      <x:c r="D2" s="139"/>
      <x:c r="E2" s="139"/>
      <x:c r="F2" s="139"/>
      <x:c r="G2" s="139"/>
      <x:c r="H2" s="139"/>
      <x:c r="I2" s="139"/>
      <x:c r="J2" s="139"/>
      <x:c r="K2" s="139"/>
      <x:c r="L2" s="139"/>
    </x:row>
    <x:row r="3">
      <x:c r="A3" s="140"/>
      <x:c r="B3" s="140"/>
      <x:c r="C3" s="140"/>
      <x:c r="D3" s="140"/>
      <x:c r="E3" s="140"/>
      <x:c r="F3" s="140"/>
      <x:c r="G3" s="140"/>
      <x:c r="H3" s="140"/>
      <x:c r="I3" s="140"/>
      <x:c r="J3" s="140"/>
      <x:c r="K3" s="140"/>
      <x:c r="L3" s="140"/>
    </x:row>
    <x:row r="4">
      <x:c r="A4" s="197" t="str">
        <x:v>Client</x:v>
      </x:c>
      <x:c r="B4" s="198" t="str">
        <x:v>Industry</x:v>
      </x:c>
      <x:c r="C4" s="198" t="str">
        <x:v>Invoice Count</x:v>
      </x:c>
      <x:c r="D4" s="198" t="str">
        <x:v>Invoiced</x:v>
      </x:c>
      <x:c r="E4" s="198" t="str">
        <x:v>Collected</x:v>
      </x:c>
      <x:c r="F4" s="198" t="str">
        <x:v>Outstanding</x:v>
      </x:c>
      <x:c r="G4" s="198" t="str">
        <x:v>Overdue</x:v>
      </x:c>
      <x:c r="H4" s="199" t="str">
        <x:v>Collection Rate</x:v>
      </x:c>
      <x:c r="I4" s="140"/>
      <x:c r="J4" s="140"/>
      <x:c r="K4" s="140"/>
      <x:c r="L4" s="140"/>
    </x:row>
    <x:row r="5">
      <x:c r="A5" s="200" t="str">
        <x:v>Northstar Creative</x:v>
      </x:c>
      <x:c r="B5" s="201" t="str">
        <x:v>Agency</x:v>
      </x:c>
      <x:c r="C5" s="201" t="n">
        <x:f>COUNTIF('Invoice Register'!$C$5:$C$184,A5)</x:f>
        <x:v>15</x:v>
      </x:c>
      <x:c r="D5" s="203" t="n">
        <x:f>SUMIF('Invoice Register'!$C$5:$C$184,A5,'Invoice Register'!$J$5:$J$184)</x:f>
        <x:v>28963.54000000001</x:v>
      </x:c>
      <x:c r="E5" s="203" t="n">
        <x:f>SUMIF('Invoice Register'!$C$5:$C$184,A5,'Invoice Register'!$M$5:$M$184)</x:f>
        <x:v>27508.16000000001</x:v>
      </x:c>
      <x:c r="F5" s="203" t="n">
        <x:f>SUMIF('Invoice Register'!$C$5:$C$184,A5,'Invoice Register'!$N$5:$N$184)</x:f>
        <x:v>1455.38</x:v>
      </x:c>
      <x:c r="G5" s="203" t="n">
        <x:f>SUMIFS('Invoice Register'!$N$5:$N$184,'Invoice Register'!$C$5:$C$184,A5,'Invoice Register'!$O$5:$O$184,"&gt;0")</x:f>
        <x:v>1455.38</x:v>
      </x:c>
      <x:c r="H5" s="210" t="n">
        <x:f>IF(D5=0,0,E5/D5)</x:f>
        <x:v>0.949751308023812</x:v>
      </x:c>
      <x:c r="I5" s="140"/>
      <x:c r="J5" s="140"/>
      <x:c r="K5" s="140"/>
      <x:c r="L5" s="140"/>
    </x:row>
    <x:row r="6">
      <x:c r="A6" s="200" t="str">
        <x:v>Lumen Health Studio</x:v>
      </x:c>
      <x:c r="B6" s="201" t="str">
        <x:v>Healthcare</x:v>
      </x:c>
      <x:c r="C6" s="201" t="n">
        <x:f>COUNTIF('Invoice Register'!$C$5:$C$184,A6)</x:f>
        <x:v>15</x:v>
      </x:c>
      <x:c r="D6" s="203" t="n">
        <x:f>SUMIF('Invoice Register'!$C$5:$C$184,A6,'Invoice Register'!$J$5:$J$184)</x:f>
        <x:v>25078.640000000003</x:v>
      </x:c>
      <x:c r="E6" s="203" t="n">
        <x:f>SUMIF('Invoice Register'!$C$5:$C$184,A6,'Invoice Register'!$M$5:$M$184)</x:f>
        <x:v>22044.71</x:v>
      </x:c>
      <x:c r="F6" s="203" t="n">
        <x:f>SUMIF('Invoice Register'!$C$5:$C$184,A6,'Invoice Register'!$N$5:$N$184)</x:f>
        <x:v>3033.93</x:v>
      </x:c>
      <x:c r="G6" s="203" t="n">
        <x:f>SUMIFS('Invoice Register'!$N$5:$N$184,'Invoice Register'!$C$5:$C$184,A6,'Invoice Register'!$O$5:$O$184,"&gt;0")</x:f>
        <x:v>3033.93</x:v>
      </x:c>
      <x:c r="H6" s="210" t="n">
        <x:f>IF(D6=0,0,E6/D6)</x:f>
        <x:v>0.8790233441685832</x:v>
      </x:c>
      <x:c r="I6" s="140"/>
      <x:c r="J6" s="140"/>
      <x:c r="K6" s="140"/>
      <x:c r="L6" s="140"/>
    </x:row>
    <x:row r="7">
      <x:c r="A7" s="200" t="str">
        <x:v>Cedar &amp; Co. Retail</x:v>
      </x:c>
      <x:c r="B7" s="201" t="str">
        <x:v>Retail</x:v>
      </x:c>
      <x:c r="C7" s="201" t="n">
        <x:f>COUNTIF('Invoice Register'!$C$5:$C$184,A7)</x:f>
        <x:v>15</x:v>
      </x:c>
      <x:c r="D7" s="203" t="n">
        <x:f>SUMIF('Invoice Register'!$C$5:$C$184,A7,'Invoice Register'!$J$5:$J$184)</x:f>
        <x:v>28398.389999999996</x:v>
      </x:c>
      <x:c r="E7" s="203" t="n">
        <x:f>SUMIF('Invoice Register'!$C$5:$C$184,A7,'Invoice Register'!$M$5:$M$184)</x:f>
        <x:v>22538.149999999998</x:v>
      </x:c>
      <x:c r="F7" s="203" t="n">
        <x:f>SUMIF('Invoice Register'!$C$5:$C$184,A7,'Invoice Register'!$N$5:$N$184)</x:f>
        <x:v>5860.24</x:v>
      </x:c>
      <x:c r="G7" s="203" t="n">
        <x:f>SUMIFS('Invoice Register'!$N$5:$N$184,'Invoice Register'!$C$5:$C$184,A7,'Invoice Register'!$O$5:$O$184,"&gt;0")</x:f>
        <x:v>5860.24</x:v>
      </x:c>
      <x:c r="H7" s="210" t="n">
        <x:f>IF(D7=0,0,E7/D7)</x:f>
        <x:v>0.7936418226526223</x:v>
      </x:c>
      <x:c r="I7" s="140"/>
      <x:c r="J7" s="140"/>
      <x:c r="K7" s="140"/>
      <x:c r="L7" s="140"/>
    </x:row>
    <x:row r="8">
      <x:c r="A8" s="200" t="str">
        <x:v>Harbor Legal Partners</x:v>
      </x:c>
      <x:c r="B8" s="201" t="str">
        <x:v>Legal</x:v>
      </x:c>
      <x:c r="C8" s="201" t="n">
        <x:f>COUNTIF('Invoice Register'!$C$5:$C$184,A8)</x:f>
        <x:v>15</x:v>
      </x:c>
      <x:c r="D8" s="203" t="n">
        <x:f>SUMIF('Invoice Register'!$C$5:$C$184,A8,'Invoice Register'!$J$5:$J$184)</x:f>
        <x:v>28761.480000000007</x:v>
      </x:c>
      <x:c r="E8" s="203" t="n">
        <x:f>SUMIF('Invoice Register'!$C$5:$C$184,A8,'Invoice Register'!$M$5:$M$184)</x:f>
        <x:v>18345.93</x:v>
      </x:c>
      <x:c r="F8" s="203" t="n">
        <x:f>SUMIF('Invoice Register'!$C$5:$C$184,A8,'Invoice Register'!$N$5:$N$184)</x:f>
        <x:v>10415.55</x:v>
      </x:c>
      <x:c r="G8" s="203" t="n">
        <x:f>SUMIFS('Invoice Register'!$N$5:$N$184,'Invoice Register'!$C$5:$C$184,A8,'Invoice Register'!$O$5:$O$184,"&gt;0")</x:f>
        <x:v>10415.55</x:v>
      </x:c>
      <x:c r="H8" s="210" t="n">
        <x:f>IF(D8=0,0,E8/D8)</x:f>
        <x:v>0.6378646022388276</x:v>
      </x:c>
      <x:c r="I8" s="140"/>
      <x:c r="J8" s="140"/>
      <x:c r="K8" s="140"/>
      <x:c r="L8" s="140"/>
    </x:row>
    <x:row r="9">
      <x:c r="A9" s="200" t="str">
        <x:v>Atlas Property Group</x:v>
      </x:c>
      <x:c r="B9" s="201" t="str">
        <x:v>Real Estate</x:v>
      </x:c>
      <x:c r="C9" s="201" t="n">
        <x:f>COUNTIF('Invoice Register'!$C$5:$C$184,A9)</x:f>
        <x:v>15</x:v>
      </x:c>
      <x:c r="D9" s="203" t="n">
        <x:f>SUMIF('Invoice Register'!$C$5:$C$184,A9,'Invoice Register'!$J$5:$J$184)</x:f>
        <x:v>18595.900000000005</x:v>
      </x:c>
      <x:c r="E9" s="203" t="n">
        <x:f>SUMIF('Invoice Register'!$C$5:$C$184,A9,'Invoice Register'!$M$5:$M$184)</x:f>
        <x:v>8733.63</x:v>
      </x:c>
      <x:c r="F9" s="203" t="n">
        <x:f>SUMIF('Invoice Register'!$C$5:$C$184,A9,'Invoice Register'!$N$5:$N$184)</x:f>
        <x:v>9862.27</x:v>
      </x:c>
      <x:c r="G9" s="203" t="n">
        <x:f>SUMIFS('Invoice Register'!$N$5:$N$184,'Invoice Register'!$C$5:$C$184,A9,'Invoice Register'!$O$5:$O$184,"&gt;0")</x:f>
        <x:v>9862.27</x:v>
      </x:c>
      <x:c r="H9" s="210" t="n">
        <x:f>IF(D9=0,0,E9/D9)</x:f>
        <x:v>0.4696535257771873</x:v>
      </x:c>
      <x:c r="I9" s="140"/>
      <x:c r="J9" s="140"/>
      <x:c r="K9" s="140"/>
      <x:c r="L9" s="140"/>
    </x:row>
    <x:row r="10">
      <x:c r="A10" s="200" t="str">
        <x:v>BrightPath Learning</x:v>
      </x:c>
      <x:c r="B10" s="201" t="str">
        <x:v>Education</x:v>
      </x:c>
      <x:c r="C10" s="201" t="n">
        <x:f>COUNTIF('Invoice Register'!$C$5:$C$184,A10)</x:f>
        <x:v>15</x:v>
      </x:c>
      <x:c r="D10" s="203" t="n">
        <x:f>SUMIF('Invoice Register'!$C$5:$C$184,A10,'Invoice Register'!$J$5:$J$184)</x:f>
        <x:v>22975.850000000002</x:v>
      </x:c>
      <x:c r="E10" s="203" t="n">
        <x:f>SUMIF('Invoice Register'!$C$5:$C$184,A10,'Invoice Register'!$M$5:$M$184)</x:f>
        <x:v>13906.849999999997</x:v>
      </x:c>
      <x:c r="F10" s="203" t="n">
        <x:f>SUMIF('Invoice Register'!$C$5:$C$184,A10,'Invoice Register'!$N$5:$N$184)</x:f>
        <x:v>9069</x:v>
      </x:c>
      <x:c r="G10" s="203" t="n">
        <x:f>SUMIFS('Invoice Register'!$N$5:$N$184,'Invoice Register'!$C$5:$C$184,A10,'Invoice Register'!$O$5:$O$184,"&gt;0")</x:f>
        <x:v>9069</x:v>
      </x:c>
      <x:c r="H10" s="210" t="n">
        <x:f>IF(D10=0,0,E10/D10)</x:f>
        <x:v>0.6052811974312157</x:v>
      </x:c>
      <x:c r="I10" s="140"/>
      <x:c r="J10" s="140"/>
      <x:c r="K10" s="140"/>
      <x:c r="L10" s="140"/>
    </x:row>
    <x:row r="11">
      <x:c r="A11" s="200" t="str">
        <x:v>PeakFit Clubs</x:v>
      </x:c>
      <x:c r="B11" s="201" t="str">
        <x:v>Fitness</x:v>
      </x:c>
      <x:c r="C11" s="201" t="n">
        <x:f>COUNTIF('Invoice Register'!$C$5:$C$184,A11)</x:f>
        <x:v>15</x:v>
      </x:c>
      <x:c r="D11" s="203" t="n">
        <x:f>SUMIF('Invoice Register'!$C$5:$C$184,A11,'Invoice Register'!$J$5:$J$184)</x:f>
        <x:v>21335.990000000005</x:v>
      </x:c>
      <x:c r="E11" s="203" t="n">
        <x:f>SUMIF('Invoice Register'!$C$5:$C$184,A11,'Invoice Register'!$M$5:$M$184)</x:f>
        <x:v>18694.260000000002</x:v>
      </x:c>
      <x:c r="F11" s="203" t="n">
        <x:f>SUMIF('Invoice Register'!$C$5:$C$184,A11,'Invoice Register'!$N$5:$N$184)</x:f>
        <x:v>2641.73</x:v>
      </x:c>
      <x:c r="G11" s="203" t="n">
        <x:f>SUMIFS('Invoice Register'!$N$5:$N$184,'Invoice Register'!$C$5:$C$184,A11,'Invoice Register'!$O$5:$O$184,"&gt;0")</x:f>
        <x:v>2641.73</x:v>
      </x:c>
      <x:c r="H11" s="210" t="n">
        <x:f>IF(D11=0,0,E11/D11)</x:f>
        <x:v>0.876184325170756</x:v>
      </x:c>
      <x:c r="I11" s="140"/>
      <x:c r="J11" s="140"/>
      <x:c r="K11" s="140"/>
      <x:c r="L11" s="140"/>
    </x:row>
    <x:row r="12">
      <x:c r="A12" s="200" t="str">
        <x:v>GreenFork Catering</x:v>
      </x:c>
      <x:c r="B12" s="201" t="str">
        <x:v>Hospitality</x:v>
      </x:c>
      <x:c r="C12" s="201" t="n">
        <x:f>COUNTIF('Invoice Register'!$C$5:$C$184,A12)</x:f>
        <x:v>15</x:v>
      </x:c>
      <x:c r="D12" s="203" t="n">
        <x:f>SUMIF('Invoice Register'!$C$5:$C$184,A12,'Invoice Register'!$J$5:$J$184)</x:f>
        <x:v>25018.180000000004</x:v>
      </x:c>
      <x:c r="E12" s="203" t="n">
        <x:f>SUMIF('Invoice Register'!$C$5:$C$184,A12,'Invoice Register'!$M$5:$M$184)</x:f>
        <x:v>25018.180000000004</x:v>
      </x:c>
      <x:c r="F12" s="203" t="n">
        <x:f>SUMIF('Invoice Register'!$C$5:$C$184,A12,'Invoice Register'!$N$5:$N$184)</x:f>
        <x:v>0</x:v>
      </x:c>
      <x:c r="G12" s="203" t="n">
        <x:f>SUMIFS('Invoice Register'!$N$5:$N$184,'Invoice Register'!$C$5:$C$184,A12,'Invoice Register'!$O$5:$O$184,"&gt;0")</x:f>
        <x:v>0</x:v>
      </x:c>
      <x:c r="H12" s="210" t="n">
        <x:f>IF(D12=0,0,E12/D12)</x:f>
        <x:v>1</x:v>
      </x:c>
      <x:c r="I12" s="140"/>
      <x:c r="J12" s="140"/>
      <x:c r="K12" s="140"/>
      <x:c r="L12" s="140"/>
    </x:row>
    <x:row r="13">
      <x:c r="A13" s="200" t="str">
        <x:v>Orbit SaaS Labs</x:v>
      </x:c>
      <x:c r="B13" s="201" t="str">
        <x:v>Technology</x:v>
      </x:c>
      <x:c r="C13" s="201" t="n">
        <x:f>COUNTIF('Invoice Register'!$C$5:$C$184,A13)</x:f>
        <x:v>15</x:v>
      </x:c>
      <x:c r="D13" s="203" t="n">
        <x:f>SUMIF('Invoice Register'!$C$5:$C$184,A13,'Invoice Register'!$J$5:$J$184)</x:f>
        <x:v>26730.260000000002</x:v>
      </x:c>
      <x:c r="E13" s="203" t="n">
        <x:f>SUMIF('Invoice Register'!$C$5:$C$184,A13,'Invoice Register'!$M$5:$M$184)</x:f>
        <x:v>17801.81</x:v>
      </x:c>
      <x:c r="F13" s="203" t="n">
        <x:f>SUMIF('Invoice Register'!$C$5:$C$184,A13,'Invoice Register'!$N$5:$N$184)</x:f>
        <x:v>8928.45</x:v>
      </x:c>
      <x:c r="G13" s="203" t="n">
        <x:f>SUMIFS('Invoice Register'!$N$5:$N$184,'Invoice Register'!$C$5:$C$184,A13,'Invoice Register'!$O$5:$O$184,"&gt;0")</x:f>
        <x:v>8515.08</x:v>
      </x:c>
      <x:c r="H13" s="210" t="n">
        <x:f>IF(D13=0,0,E13/D13)</x:f>
        <x:v>0.6659796799582196</x:v>
      </x:c>
      <x:c r="I13" s="140"/>
      <x:c r="J13" s="140"/>
      <x:c r="K13" s="140"/>
      <x:c r="L13" s="140"/>
    </x:row>
    <x:row r="14">
      <x:c r="A14" s="200" t="str">
        <x:v>Willow Events</x:v>
      </x:c>
      <x:c r="B14" s="201" t="str">
        <x:v>Events</x:v>
      </x:c>
      <x:c r="C14" s="201" t="n">
        <x:f>COUNTIF('Invoice Register'!$C$5:$C$184,A14)</x:f>
        <x:v>15</x:v>
      </x:c>
      <x:c r="D14" s="203" t="n">
        <x:f>SUMIF('Invoice Register'!$C$5:$C$184,A14,'Invoice Register'!$J$5:$J$184)</x:f>
        <x:v>26084.55</x:v>
      </x:c>
      <x:c r="E14" s="203" t="n">
        <x:f>SUMIF('Invoice Register'!$C$5:$C$184,A14,'Invoice Register'!$M$5:$M$184)</x:f>
        <x:v>19079.31</x:v>
      </x:c>
      <x:c r="F14" s="203" t="n">
        <x:f>SUMIF('Invoice Register'!$C$5:$C$184,A14,'Invoice Register'!$N$5:$N$184)</x:f>
        <x:v>7005.24</x:v>
      </x:c>
      <x:c r="G14" s="203" t="n">
        <x:f>SUMIFS('Invoice Register'!$N$5:$N$184,'Invoice Register'!$C$5:$C$184,A14,'Invoice Register'!$O$5:$O$184,"&gt;0")</x:f>
        <x:v>5627.8099999999995</x:v>
      </x:c>
      <x:c r="H14" s="210" t="n">
        <x:f>IF(D14=0,0,E14/D14)</x:f>
        <x:v>0.7314410254345964</x:v>
      </x:c>
      <x:c r="I14" s="140"/>
      <x:c r="J14" s="140"/>
      <x:c r="K14" s="140"/>
      <x:c r="L14" s="140"/>
    </x:row>
    <x:row r="15">
      <x:c r="A15" s="200" t="str">
        <x:v>Copperline Consulting</x:v>
      </x:c>
      <x:c r="B15" s="201" t="str">
        <x:v>Consulting</x:v>
      </x:c>
      <x:c r="C15" s="201" t="n">
        <x:f>COUNTIF('Invoice Register'!$C$5:$C$184,A15)</x:f>
        <x:v>15</x:v>
      </x:c>
      <x:c r="D15" s="203" t="n">
        <x:f>SUMIF('Invoice Register'!$C$5:$C$184,A15,'Invoice Register'!$J$5:$J$184)</x:f>
        <x:v>26977.770000000004</x:v>
      </x:c>
      <x:c r="E15" s="203" t="n">
        <x:f>SUMIF('Invoice Register'!$C$5:$C$184,A15,'Invoice Register'!$M$5:$M$184)</x:f>
        <x:v>20881.690000000002</x:v>
      </x:c>
      <x:c r="F15" s="203" t="n">
        <x:f>SUMIF('Invoice Register'!$C$5:$C$184,A15,'Invoice Register'!$N$5:$N$184)</x:f>
        <x:v>6096.08</x:v>
      </x:c>
      <x:c r="G15" s="203" t="n">
        <x:f>SUMIFS('Invoice Register'!$N$5:$N$184,'Invoice Register'!$C$5:$C$184,A15,'Invoice Register'!$O$5:$O$184,"&gt;0")</x:f>
        <x:v>6096.08</x:v>
      </x:c>
      <x:c r="H15" s="210" t="n">
        <x:f>IF(D15=0,0,E15/D15)</x:f>
        <x:v>0.7740332132715194</x:v>
      </x:c>
      <x:c r="I15" s="140"/>
      <x:c r="J15" s="140"/>
      <x:c r="K15" s="140"/>
      <x:c r="L15" s="140"/>
    </x:row>
    <x:row r="16">
      <x:c r="A16" s="205" t="str">
        <x:v>Bluebird Media</x:v>
      </x:c>
      <x:c r="B16" s="206" t="str">
        <x:v>Media</x:v>
      </x:c>
      <x:c r="C16" s="206" t="n">
        <x:f>COUNTIF('Invoice Register'!$C$5:$C$184,A16)</x:f>
        <x:v>15</x:v>
      </x:c>
      <x:c r="D16" s="208" t="n">
        <x:f>SUMIF('Invoice Register'!$C$5:$C$184,A16,'Invoice Register'!$J$5:$J$184)</x:f>
        <x:v>24407.150000000005</x:v>
      </x:c>
      <x:c r="E16" s="208" t="n">
        <x:f>SUMIF('Invoice Register'!$C$5:$C$184,A16,'Invoice Register'!$M$5:$M$184)</x:f>
        <x:v>13657.370000000003</x:v>
      </x:c>
      <x:c r="F16" s="208" t="n">
        <x:f>SUMIF('Invoice Register'!$C$5:$C$184,A16,'Invoice Register'!$N$5:$N$184)</x:f>
        <x:v>10749.779999999999</x:v>
      </x:c>
      <x:c r="G16" s="208" t="n">
        <x:f>SUMIFS('Invoice Register'!$N$5:$N$184,'Invoice Register'!$C$5:$C$184,A16,'Invoice Register'!$O$5:$O$184,"&gt;0")</x:f>
        <x:v>9700.279999999999</x:v>
      </x:c>
      <x:c r="H16" s="211" t="n">
        <x:f>IF(D16=0,0,E16/D16)</x:f>
        <x:v>0.5595643079999099</x:v>
      </x:c>
      <x:c r="I16" s="140"/>
      <x:c r="J16" s="140"/>
      <x:c r="K16" s="140"/>
      <x:c r="L16" s="140"/>
    </x:row>
  </x:sheetData>
  <x:mergeCells>
    <x:mergeCell ref="A1:H1"/>
    <x:mergeCell ref="A2:L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1" hidden="0" customWidth="1"/>
    <x:col min="2" max="2" width="16" hidden="0" customWidth="1"/>
    <x:col min="3" max="3" width="16" hidden="0" customWidth="1"/>
    <x:col min="4" max="4" width="16" hidden="0" customWidth="1"/>
    <x:col min="5" max="5" width="12" hidden="0" customWidth="1"/>
    <x:col min="6" max="6" width="22" hidden="0" customWidth="1"/>
  </x:cols>
  <x:sheetData>
    <x:row r="1" ht="25" customHeight="1">
      <x:c r="A1" s="3" t="str">
        <x:v>Checks &amp; Controls</x:v>
      </x:c>
      <x:c r="B1" s="3"/>
      <x:c r="C1" s="3"/>
      <x:c r="D1" s="3"/>
      <x:c r="E1" s="3"/>
      <x:c r="F1" s="3"/>
      <x:c r="G1" s="140"/>
      <x:c r="H1" s="140"/>
      <x:c r="I1" s="140"/>
      <x:c r="J1" s="140"/>
      <x:c r="K1" s="140"/>
      <x:c r="L1" s="140"/>
    </x:row>
    <x:row r="2" ht="25" customHeight="1">
      <x:c r="A2" s="139" t="str">
        <x:v>Model status is PASS only when every control returns PASS</x:v>
      </x:c>
      <x:c r="B2" s="139"/>
      <x:c r="C2" s="139"/>
      <x:c r="D2" s="139"/>
      <x:c r="E2" s="139"/>
      <x:c r="F2" s="139"/>
      <x:c r="G2" s="139"/>
      <x:c r="H2" s="139"/>
      <x:c r="I2" s="139"/>
      <x:c r="J2" s="139"/>
      <x:c r="K2" s="139"/>
      <x:c r="L2" s="139"/>
    </x:row>
    <x:row r="3">
      <x:c r="A3" s="140" t="str">
        <x:v>Reporting Date</x:v>
      </x:c>
      <x:c r="B3" s="212" t="n">
        <x:v>46242</x:v>
      </x:c>
      <x:c r="C3" s="140"/>
      <x:c r="D3" s="140"/>
      <x:c r="E3" s="140"/>
      <x:c r="F3" s="140"/>
      <x:c r="G3" s="140"/>
      <x:c r="H3" s="140"/>
      <x:c r="I3" s="140"/>
      <x:c r="J3" s="140"/>
      <x:c r="K3" s="140"/>
      <x:c r="L3" s="140"/>
    </x:row>
    <x:row r="4">
      <x:c r="A4" s="140"/>
      <x:c r="B4" s="140"/>
      <x:c r="C4" s="140"/>
      <x:c r="D4" s="140"/>
      <x:c r="E4" s="140"/>
      <x:c r="F4" s="140"/>
      <x:c r="G4" s="140"/>
      <x:c r="H4" s="140"/>
      <x:c r="I4" s="140"/>
      <x:c r="J4" s="140"/>
      <x:c r="K4" s="140"/>
      <x:c r="L4" s="140"/>
    </x:row>
    <x:row r="5">
      <x:c r="A5" s="197" t="str">
        <x:v>Check</x:v>
      </x:c>
      <x:c r="B5" s="198" t="str">
        <x:v>Expected</x:v>
      </x:c>
      <x:c r="C5" s="198" t="str">
        <x:v>Actual</x:v>
      </x:c>
      <x:c r="D5" s="198" t="str">
        <x:v>Delta</x:v>
      </x:c>
      <x:c r="E5" s="198" t="str">
        <x:v>Status</x:v>
      </x:c>
      <x:c r="F5" s="199" t="str">
        <x:v>Where to fix</x:v>
      </x:c>
      <x:c r="G5" s="140"/>
      <x:c r="H5" s="140"/>
      <x:c r="I5" s="140"/>
      <x:c r="J5" s="140"/>
      <x:c r="K5" s="140"/>
      <x:c r="L5" s="140"/>
    </x:row>
    <x:row r="6">
      <x:c r="A6" s="200" t="str">
        <x:v>Invoice count</x:v>
      </x:c>
      <x:c r="B6" s="213" t="n">
        <x:v>180</x:v>
      </x:c>
      <x:c r="C6" s="213" t="n">
        <x:f>COUNTA('Invoice Register'!$A$5:$A$184)</x:f>
        <x:v>180</x:v>
      </x:c>
      <x:c r="D6" s="213" t="n">
        <x:f>C6-B6</x:f>
        <x:v>0</x:v>
      </x:c>
      <x:c r="E6" s="201" t="str">
        <x:f>IF(ABS(D6)&lt;0.01,"PASS","FAIL")</x:f>
        <x:v>PASS</x:v>
      </x:c>
      <x:c r="F6" s="204" t="str">
        <x:v>Invoice Register</x:v>
      </x:c>
      <x:c r="G6" s="140"/>
      <x:c r="H6" s="140"/>
      <x:c r="I6" s="140"/>
      <x:c r="J6" s="140"/>
      <x:c r="K6" s="140"/>
      <x:c r="L6" s="140"/>
    </x:row>
    <x:row r="7">
      <x:c r="A7" s="200" t="str">
        <x:v>Invoice total ties to source</x:v>
      </x:c>
      <x:c r="B7" s="213" t="n">
        <x:v>303327.7</x:v>
      </x:c>
      <x:c r="C7" s="213" t="n">
        <x:f>SUM('Invoice Register'!$J$5:$J$184)</x:f>
        <x:v>303327.7000000002</x:v>
      </x:c>
      <x:c r="D7" s="213" t="n">
        <x:f>C7-B7</x:f>
        <x:v>1.7462298274040222e-10</x:v>
      </x:c>
      <x:c r="E7" s="201" t="str">
        <x:f>IF(ABS(D7)&lt;0.01,"PASS","FAIL")</x:f>
        <x:v>PASS</x:v>
      </x:c>
      <x:c r="F7" s="204" t="str">
        <x:v>Invoice Register</x:v>
      </x:c>
      <x:c r="G7" s="140"/>
      <x:c r="H7" s="140"/>
      <x:c r="I7" s="140"/>
      <x:c r="J7" s="140"/>
      <x:c r="K7" s="140"/>
      <x:c r="L7" s="140"/>
    </x:row>
    <x:row r="8">
      <x:c r="A8" s="200" t="str">
        <x:v>Payments total ties to source</x:v>
      </x:c>
      <x:c r="B8" s="213" t="n">
        <x:v>228210.05</x:v>
      </x:c>
      <x:c r="C8" s="213" t="n">
        <x:f>SUM('Payment Log'!$D$5:$D$220)</x:f>
        <x:v>228210.05000000002</x:v>
      </x:c>
      <x:c r="D8" s="213" t="n">
        <x:f>C8-B8</x:f>
        <x:v>2.9103830456733704e-11</x:v>
      </x:c>
      <x:c r="E8" s="201" t="str">
        <x:f>IF(ABS(D8)&lt;0.01,"PASS","FAIL")</x:f>
        <x:v>PASS</x:v>
      </x:c>
      <x:c r="F8" s="204" t="str">
        <x:v>Payment Log</x:v>
      </x:c>
      <x:c r="G8" s="140"/>
      <x:c r="H8" s="140"/>
      <x:c r="I8" s="140"/>
      <x:c r="J8" s="140"/>
      <x:c r="K8" s="140"/>
      <x:c r="L8" s="140"/>
    </x:row>
    <x:row r="9">
      <x:c r="A9" s="200" t="str">
        <x:v>AR roll-forward</x:v>
      </x:c>
      <x:c r="B9" s="213" t="n">
        <x:v>0</x:v>
      </x:c>
      <x:c r="C9" s="213" t="n">
        <x:f>SUM('Invoice Register'!$J$5:$J$184)-SUM('Invoice Register'!$M$5:$M$184)-SUM('Invoice Register'!$N$5:$N$184)</x:f>
        <x:v>1.7462298274040222e-10</x:v>
      </x:c>
      <x:c r="D9" s="213" t="n">
        <x:f>C9-B9</x:f>
        <x:v>1.7462298274040222e-10</x:v>
      </x:c>
      <x:c r="E9" s="201" t="str">
        <x:f>IF(ABS(D9)&lt;0.01,"PASS","FAIL")</x:f>
        <x:v>PASS</x:v>
      </x:c>
      <x:c r="F9" s="204" t="str">
        <x:v>Invoice Register</x:v>
      </x:c>
      <x:c r="G9" s="140"/>
      <x:c r="H9" s="140"/>
      <x:c r="I9" s="140"/>
      <x:c r="J9" s="140"/>
      <x:c r="K9" s="140"/>
      <x:c r="L9" s="140"/>
    </x:row>
    <x:row r="10">
      <x:c r="A10" s="200" t="str">
        <x:v>Negative balances</x:v>
      </x:c>
      <x:c r="B10" s="213" t="n">
        <x:v>0</x:v>
      </x:c>
      <x:c r="C10" s="213" t="n">
        <x:f>COUNTIF('Invoice Register'!$N$5:$N$184,"&lt;0")</x:f>
        <x:v>0</x:v>
      </x:c>
      <x:c r="D10" s="213" t="n">
        <x:f>C10-B10</x:f>
        <x:v>0</x:v>
      </x:c>
      <x:c r="E10" s="201" t="str">
        <x:f>IF(ABS(D10)&lt;0.01,"PASS","FAIL")</x:f>
        <x:v>PASS</x:v>
      </x:c>
      <x:c r="F10" s="204" t="str">
        <x:v>Invoice Register</x:v>
      </x:c>
      <x:c r="G10" s="140"/>
      <x:c r="H10" s="140"/>
      <x:c r="I10" s="140"/>
      <x:c r="J10" s="140"/>
      <x:c r="K10" s="140"/>
      <x:c r="L10" s="140"/>
    </x:row>
    <x:row r="11">
      <x:c r="A11" s="200" t="str">
        <x:v>Unmatched payment invoice IDs</x:v>
      </x:c>
      <x:c r="B11" s="213" t="n">
        <x:v>0</x:v>
      </x:c>
      <x:c r="C11" s="213" t="n">
        <x:f>COUNTIF('Payment Log'!$G$5:$G$173,"UNMATCHED")</x:f>
        <x:v>0</x:v>
      </x:c>
      <x:c r="D11" s="213" t="n">
        <x:f>C11-B11</x:f>
        <x:v>0</x:v>
      </x:c>
      <x:c r="E11" s="201" t="str">
        <x:f>IF(ABS(D11)&lt;0.01,"PASS","FAIL")</x:f>
        <x:v>PASS</x:v>
      </x:c>
      <x:c r="F11" s="204" t="str">
        <x:v>Payment Log</x:v>
      </x:c>
      <x:c r="G11" s="140"/>
      <x:c r="H11" s="140"/>
      <x:c r="I11" s="140"/>
      <x:c r="J11" s="140"/>
      <x:c r="K11" s="140"/>
      <x:c r="L11" s="140"/>
    </x:row>
    <x:row r="12">
      <x:c r="A12" s="200" t="str">
        <x:v>Missing invoice IDs</x:v>
      </x:c>
      <x:c r="B12" s="213" t="n">
        <x:v>0</x:v>
      </x:c>
      <x:c r="C12" s="213" t="n">
        <x:f>COUNTIF('Invoice Register'!$A$5:$A$184,"")</x:f>
        <x:v>0</x:v>
      </x:c>
      <x:c r="D12" s="213" t="n">
        <x:f>C12-B12</x:f>
        <x:v>0</x:v>
      </x:c>
      <x:c r="E12" s="201" t="str">
        <x:f>IF(ABS(D12)&lt;0.01,"PASS","FAIL")</x:f>
        <x:v>PASS</x:v>
      </x:c>
      <x:c r="F12" s="204" t="str">
        <x:v>Invoice Register</x:v>
      </x:c>
      <x:c r="G12" s="140"/>
      <x:c r="H12" s="140"/>
      <x:c r="I12" s="140"/>
      <x:c r="J12" s="140"/>
      <x:c r="K12" s="140"/>
      <x:c r="L12" s="140"/>
    </x:row>
    <x:row r="13">
      <x:c r="A13" s="200" t="str">
        <x:v>Overdue balance ties to dashboard</x:v>
      </x:c>
      <x:c r="B13" s="213" t="n">
        <x:v>72277.35</x:v>
      </x:c>
      <x:c r="C13" s="213" t="n">
        <x:f>SUMIFS('Invoice Register'!$N$5:$N$184,'Invoice Register'!$O$5:$O$184,"&gt;0")</x:f>
        <x:v>72277.35</x:v>
      </x:c>
      <x:c r="D13" s="213" t="n">
        <x:f>C13-B13</x:f>
        <x:v>0</x:v>
      </x:c>
      <x:c r="E13" s="201" t="str">
        <x:f>IF(ABS(D13)&lt;0.01,"PASS","FAIL")</x:f>
        <x:v>PASS</x:v>
      </x:c>
      <x:c r="F13" s="204" t="str">
        <x:v>Dashboard</x:v>
      </x:c>
      <x:c r="G13" s="140"/>
      <x:c r="H13" s="140"/>
      <x:c r="I13" s="140"/>
      <x:c r="J13" s="140"/>
      <x:c r="K13" s="140"/>
      <x:c r="L13" s="140"/>
    </x:row>
    <x:row r="14">
      <x:c r="A14" s="200" t="str">
        <x:v>Aging buckets tie to AR</x:v>
      </x:c>
      <x:c r="B14" s="213" t="n">
        <x:v>0</x:v>
      </x:c>
      <x:c r="C14" s="213" t="n">
        <x:f>SUM('Dashboard'!$B$10:$B$14)-SUM('Invoice Register'!$N$5:$N$184)</x:f>
        <x:v>1.4551915228366852e-11</x:v>
      </x:c>
      <x:c r="D14" s="213" t="n">
        <x:f>C14-B14</x:f>
        <x:v>1.4551915228366852e-11</x:v>
      </x:c>
      <x:c r="E14" s="201" t="str">
        <x:f>IF(ABS(D14)&lt;0.01,"PASS","FAIL")</x:f>
        <x:v>PASS</x:v>
      </x:c>
      <x:c r="F14" s="204" t="str">
        <x:v>Dashboard</x:v>
      </x:c>
      <x:c r="G14" s="140"/>
      <x:c r="H14" s="140"/>
      <x:c r="I14" s="140"/>
      <x:c r="J14" s="140"/>
      <x:c r="K14" s="140"/>
      <x:c r="L14" s="140"/>
    </x:row>
    <x:row r="15">
      <x:c r="A15" s="205" t="str">
        <x:v>Queue row count ties to open AR</x:v>
      </x:c>
      <x:c r="B15" s="214" t="n">
        <x:v>56</x:v>
      </x:c>
      <x:c r="C15" s="214" t="n">
        <x:f>56</x:f>
        <x:v>56</x:v>
      </x:c>
      <x:c r="D15" s="214" t="n">
        <x:f>C15-B15</x:f>
        <x:v>0</x:v>
      </x:c>
      <x:c r="E15" s="206" t="str">
        <x:f>IF(ABS(D15)&lt;0.01,"PASS","FAIL")</x:f>
        <x:v>PASS</x:v>
      </x:c>
      <x:c r="F15" s="209" t="str">
        <x:v>Collection Queue</x:v>
      </x:c>
      <x:c r="G15" s="140"/>
      <x:c r="H15" s="140"/>
      <x:c r="I15" s="140"/>
      <x:c r="J15" s="140"/>
      <x:c r="K15" s="140"/>
      <x:c r="L15" s="140"/>
    </x:row>
    <x:row r="16">
      <x:c r="A16" s="140"/>
      <x:c r="B16" s="140"/>
      <x:c r="C16" s="140"/>
      <x:c r="D16" s="140"/>
      <x:c r="E16" s="140"/>
      <x:c r="F16" s="140"/>
      <x:c r="G16" s="140"/>
      <x:c r="H16" s="140"/>
      <x:c r="I16" s="140"/>
      <x:c r="J16" s="140"/>
      <x:c r="K16" s="140"/>
      <x:c r="L16" s="140"/>
    </x:row>
    <x:row r="17">
      <x:c r="A17" s="215" t="str">
        <x:v>MODEL STATUS</x:v>
      </x:c>
      <x:c r="B17" s="216" t="str">
        <x:f>IF(COUNTIF(E6:E15,"FAIL")=0,"PASS","FAIL")</x:f>
        <x:v>PASS</x:v>
      </x:c>
      <x:c r="C17" s="140"/>
      <x:c r="D17" s="140"/>
      <x:c r="E17" s="140"/>
      <x:c r="F17" s="140"/>
      <x:c r="G17" s="140"/>
      <x:c r="H17" s="140"/>
      <x:c r="I17" s="140"/>
      <x:c r="J17" s="140"/>
      <x:c r="K17" s="140"/>
      <x:c r="L17" s="140"/>
    </x:row>
    <x:row r="18">
      <x:c r="A18" s="217" t="str">
        <x:v>Passed controls</x:v>
      </x:c>
      <x:c r="B18" s="218" t="str">
        <x:f>COUNTIF(E6:E15,"PASS")&amp;" / 10"</x:f>
        <x:v>10 / 10</x:v>
      </x:c>
      <x:c r="C18" s="140"/>
      <x:c r="D18" s="140"/>
      <x:c r="E18" s="140"/>
      <x:c r="F18" s="140"/>
      <x:c r="G18" s="140"/>
      <x:c r="H18" s="140"/>
      <x:c r="I18" s="140"/>
      <x:c r="J18" s="140"/>
      <x:c r="K18" s="140"/>
      <x:c r="L18" s="140"/>
    </x:row>
  </x:sheetData>
  <x:mergeCells>
    <x:mergeCell ref="A1:F1"/>
    <x:mergeCell ref="A2:L2"/>
  </x:mergeCells>
  <x:conditionalFormatting sqref="E6:E15">
    <x:cfRule type="containsText" dxfId="2" priority="1" operator="containsText" text="PASS"/>
    <x:cfRule type="containsText" dxfId="3" priority="2" operator="containsText" text="FAIL"/>
  </x:conditionalFormatting>
  <x:pageMargins left="0.7" right="0.7" top="0.75" bottom="0.75" header="0.3" footer="0.3"/>
</x:worksheet>
</file>