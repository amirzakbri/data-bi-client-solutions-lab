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2eb4a4b66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c455486af54346"/>
    <x:sheet xmlns:r="http://schemas.openxmlformats.org/officeDocument/2006/relationships" name="Consolidated Data" sheetId="2" r:id="R3af75e45c18b4af6"/>
    <x:sheet xmlns:r="http://schemas.openxmlformats.org/officeDocument/2006/relationships" name="Monthly Summary" sheetId="3" r:id="R48b4bcb892d847a9"/>
    <x:sheet xmlns:r="http://schemas.openxmlformats.org/officeDocument/2006/relationships" name="Product Summary" sheetId="4" r:id="R958d050805df45c4"/>
    <x:sheet xmlns:r="http://schemas.openxmlformats.org/officeDocument/2006/relationships" name="Refresh Guide" sheetId="5" r:id="R2225908d10ff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&quot;$&quot;#,##0.00"/>
    <x:numFmt numFmtId="203" formatCode="0%"/>
    <x:numFmt numFmtId="204" formatCode="&quot;$&quot;#,##0"/>
    <x:numFmt numFmtId="205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0F766E"/>
      <x:name val="Carlito"/>
    </x:font>
    <x:font>
      <x:b/>
      <x:sz val="20"/>
      <x:color rgb="FF1F2937"/>
      <x:name val="Carlito"/>
    </x:font>
    <x:font>
      <x:b/>
      <x:sz val="11"/>
      <x:color rgb="FF7A4E00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DDF4F1"/>
      </x:patternFill>
    </x:fill>
    <x:fill>
      <x:patternFill patternType="solid">
        <x:fgColor rgb="FFFFF4D6"/>
      </x:patternFill>
    </x:fill>
  </x:fills>
  <x:borders count="18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A7DAD4"/>
      </x:left>
      <x:top style="thin">
        <x:color rgb="FFA7DAD4"/>
      </x:top>
    </x:border>
    <x:border>
      <x:top style="thin">
        <x:color rgb="FFA7DAD4"/>
      </x:top>
    </x:border>
    <x:border>
      <x:right style="thin">
        <x:color rgb="FFA7DAD4"/>
      </x:right>
      <x:top style="thin">
        <x:color rgb="FFA7DAD4"/>
      </x:top>
    </x:border>
    <x:border>
      <x:left style="thin">
        <x:color rgb="FFA7DAD4"/>
      </x:left>
    </x:border>
    <x:border>
      <x:right style="thin">
        <x:color rgb="FFA7DAD4"/>
      </x:right>
    </x:border>
    <x:border>
      <x:left style="thin">
        <x:color rgb="FFA7DAD4"/>
      </x:left>
      <x:bottom style="thin">
        <x:color rgb="FFA7DAD4"/>
      </x:bottom>
    </x:border>
    <x:border>
      <x:bottom style="thin">
        <x:color rgb="FFA7DAD4"/>
      </x:bottom>
    </x:border>
    <x:border>
      <x:right style="thin">
        <x:color rgb="FFA7DAD4"/>
      </x:right>
      <x:bottom style="thin">
        <x:color rgb="FFA7DAD4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4" fontId="0" fillId="0" borderId="8" xfId="0" applyNumberFormat="1" applyFont="1" applyFill="1" applyBorder="1"/>
    <x:xf numFmtId="205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5" fontId="0" fillId="0" borderId="6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5" fontId="0" fillId="0" borderId="9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/>
    <x:xf numFmtId="0" fontId="5" fillId="4" borderId="0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204" fontId="5" fillId="4" borderId="13" xfId="0" applyNumberFormat="1" applyFont="1" applyFill="1" applyBorder="1"/>
    <x:xf numFmtId="204" fontId="5" fillId="4" borderId="0" xfId="0" applyNumberFormat="1" applyFont="1" applyFill="1" applyBorder="1"/>
    <x:xf numFmtId="204" fontId="5" fillId="4" borderId="14" xfId="0" applyNumberFormat="1" applyFont="1" applyFill="1" applyBorder="1"/>
    <x:xf numFmtId="204" fontId="5" fillId="4" borderId="15" xfId="0" applyNumberFormat="1" applyFont="1" applyFill="1" applyBorder="1"/>
    <x:xf numFmtId="204" fontId="5" fillId="4" borderId="16" xfId="0" applyNumberFormat="1" applyFont="1" applyFill="1" applyBorder="1"/>
    <x:xf numFmtId="204" fontId="5" fillId="4" borderId="17" xfId="0" applyNumberFormat="1" applyFont="1" applyFill="1" applyBorder="1"/>
    <x:xf numFmtId="204" fontId="5" fillId="4" borderId="13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14" xfId="0" applyNumberFormat="1" applyFont="1" applyFill="1" applyBorder="1" applyAlignment="1">
      <x:alignment vertical="center"/>
    </x:xf>
    <x:xf numFmtId="204" fontId="5" fillId="4" borderId="15" xfId="0" applyNumberFormat="1" applyFont="1" applyFill="1" applyBorder="1" applyAlignment="1">
      <x:alignment vertical="center"/>
    </x:xf>
    <x:xf numFmtId="204" fontId="5" fillId="4" borderId="16" xfId="0" applyNumberFormat="1" applyFont="1" applyFill="1" applyBorder="1" applyAlignment="1">
      <x:alignment vertical="center"/>
    </x:xf>
    <x:xf numFmtId="204" fontId="5" fillId="4" borderId="17" xfId="0" applyNumberFormat="1" applyFont="1" applyFill="1" applyBorder="1" applyAlignment="1">
      <x:alignment vertical="center"/>
    </x:xf>
    <x:xf numFmtId="205" fontId="5" fillId="4" borderId="13" xfId="0" applyNumberFormat="1" applyFont="1" applyFill="1" applyBorder="1"/>
    <x:xf numFmtId="205" fontId="5" fillId="4" borderId="0" xfId="0" applyNumberFormat="1" applyFont="1" applyFill="1" applyBorder="1"/>
    <x:xf numFmtId="205" fontId="5" fillId="4" borderId="14" xfId="0" applyNumberFormat="1" applyFont="1" applyFill="1" applyBorder="1"/>
    <x:xf numFmtId="205" fontId="5" fillId="4" borderId="15" xfId="0" applyNumberFormat="1" applyFont="1" applyFill="1" applyBorder="1"/>
    <x:xf numFmtId="205" fontId="5" fillId="4" borderId="16" xfId="0" applyNumberFormat="1" applyFont="1" applyFill="1" applyBorder="1"/>
    <x:xf numFmtId="205" fontId="5" fillId="4" borderId="17" xfId="0" applyNumberFormat="1" applyFont="1" applyFill="1" applyBorder="1"/>
    <x:xf numFmtId="205" fontId="5" fillId="4" borderId="13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vertical="center"/>
    </x:xf>
    <x:xf numFmtId="205" fontId="5" fillId="4" borderId="14" xfId="0" applyNumberFormat="1" applyFont="1" applyFill="1" applyBorder="1" applyAlignment="1">
      <x:alignment vertical="center"/>
    </x:xf>
    <x:xf numFmtId="205" fontId="5" fillId="4" borderId="15" xfId="0" applyNumberFormat="1" applyFont="1" applyFill="1" applyBorder="1" applyAlignment="1">
      <x:alignment vertical="center"/>
    </x:xf>
    <x:xf numFmtId="205" fontId="5" fillId="4" borderId="16" xfId="0" applyNumberFormat="1" applyFont="1" applyFill="1" applyBorder="1" applyAlignment="1">
      <x:alignment vertical="center"/>
    </x:xf>
    <x:xf numFmtId="205" fontId="5" fillId="4" borderId="17" xfId="0" applyNumberFormat="1" applyFont="1" applyFill="1" applyBorder="1" applyAlignment="1">
      <x:alignment vertical="center"/>
    </x:xf>
    <x:xf numFmtId="201" fontId="5" fillId="4" borderId="13" xfId="0" applyNumberFormat="1" applyFont="1" applyFill="1" applyBorder="1"/>
    <x:xf numFmtId="201" fontId="5" fillId="4" borderId="0" xfId="0" applyNumberFormat="1" applyFont="1" applyFill="1" applyBorder="1"/>
    <x:xf numFmtId="201" fontId="5" fillId="4" borderId="14" xfId="0" applyNumberFormat="1" applyFont="1" applyFill="1" applyBorder="1"/>
    <x:xf numFmtId="201" fontId="5" fillId="4" borderId="15" xfId="0" applyNumberFormat="1" applyFont="1" applyFill="1" applyBorder="1"/>
    <x:xf numFmtId="201" fontId="5" fillId="4" borderId="16" xfId="0" applyNumberFormat="1" applyFont="1" applyFill="1" applyBorder="1"/>
    <x:xf numFmtId="201" fontId="5" fillId="4" borderId="17" xfId="0" applyNumberFormat="1" applyFont="1" applyFill="1" applyBorder="1"/>
    <x:xf numFmtId="201" fontId="5" fillId="4" borderId="13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5" fillId="4" borderId="14" xfId="0" applyNumberFormat="1" applyFont="1" applyFill="1" applyBorder="1" applyAlignment="1">
      <x:alignment vertical="center"/>
    </x:xf>
    <x:xf numFmtId="201" fontId="5" fillId="4" borderId="15" xfId="0" applyNumberFormat="1" applyFont="1" applyFill="1" applyBorder="1" applyAlignment="1">
      <x:alignment vertical="center"/>
    </x:xf>
    <x:xf numFmtId="201" fontId="5" fillId="4" borderId="16" xfId="0" applyNumberFormat="1" applyFont="1" applyFill="1" applyBorder="1" applyAlignment="1">
      <x:alignment vertical="center"/>
    </x:xf>
    <x:xf numFmtId="201" fontId="5" fillId="4" borderId="1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0" fillId="0" borderId="6" xfId="0" applyNumberFormat="1" applyFont="1" applyFill="1" applyBorder="1"/>
    <x:xf numFmtId="0" fontId="7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43ac7593a4f4c" /><Relationship Type="http://schemas.openxmlformats.org/officeDocument/2006/relationships/theme" Target="/xl/theme/theme1.xml" Id="R4b1345e628624abc" /><Relationship Type="http://schemas.openxmlformats.org/officeDocument/2006/relationships/sharedStrings" Target="/xl/sharedStrings.xml" Id="R0640a98bcf8040b0" /><Relationship Type="http://schemas.openxmlformats.org/officeDocument/2006/relationships/worksheet" Target="/xl/worksheets/sheet1.xml" Id="Rddc455486af54346" /><Relationship Type="http://schemas.openxmlformats.org/officeDocument/2006/relationships/worksheet" Target="/xl/worksheets/sheet2.xml" Id="R3af75e45c18b4af6" /><Relationship Type="http://schemas.openxmlformats.org/officeDocument/2006/relationships/worksheet" Target="/xl/worksheets/sheet3.xml" Id="R48b4bcb892d847a9" /><Relationship Type="http://schemas.openxmlformats.org/officeDocument/2006/relationships/worksheet" Target="/xl/worksheets/sheet4.xml" Id="R958d050805df45c4" /><Relationship Type="http://schemas.openxmlformats.org/officeDocument/2006/relationships/worksheet" Target="/xl/worksheets/sheet5.xml" Id="R2225908d10ff4c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d8c981ca4544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Revenue, Cost and Profit by Month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Summary'!$A$4:$A$9</c:f>
              <c:strCache>
                <c:ptCount val="0"/>
              </c:strCache>
            </c:strRef>
          </c:cat>
          <c:val>
            <c:numRef>
              <c:f>'Monthly Summary'!$B$4:$B$9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</c:v>
          </c:tx>
          <c:marker>
            <c:symbol val="none"/>
          </c:marker>
          <c:cat>
            <c:strRef>
              <c:f>'Monthly Summary'!$A$4:$A$9</c:f>
              <c:strCache>
                <c:ptCount val="0"/>
              </c:strCache>
            </c:strRef>
          </c:cat>
          <c:val>
            <c:numRef>
              <c:f>'Monthly Summary'!$C$4:$C$9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Profit</c:v>
          </c:tx>
          <c:marker>
            <c:symbol val="none"/>
          </c:marker>
          <c:cat>
            <c:strRef>
              <c:f>'Monthly Summary'!$A$4:$A$9</c:f>
              <c:strCache>
                <c:ptCount val="0"/>
              </c:strCache>
            </c:strRef>
          </c:cat>
          <c:val>
            <c:numRef>
              <c:f>'Monthly Summary'!$D$4:$D$9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d8c981ca4544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M289" headerRowCount="1" totalsRowCount="0" totalsRowShown="0">
  <x:tableColumns count="13">
    <x:tableColumn id="1" name="Order ID"/>
    <x:tableColumn id="2" name="Order Date"/>
    <x:tableColumn id="3" name="Product"/>
    <x:tableColumn id="4" name="Category"/>
    <x:tableColumn id="5" name="Channel"/>
    <x:tableColumn id="6" name="Region"/>
    <x:tableColumn id="7" name="Quantity"/>
    <x:tableColumn id="8" name="Unit Price"/>
    <x:tableColumn id="9" name="Discount"/>
    <x:tableColumn id="10" name="Revenue"/>
    <x:tableColumn id="11" name="Cost"/>
    <x:tableColumn id="12" name="Profit"/>
    <x:tableColumn id="13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e310f30721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6c2b355e34f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9" t="str">
        <x:v>Monthly Sales Consolidation Dashboard</x:v>
      </x:c>
      <x:c r="B1" s="9" t="str">
        <x:v>Monthly Sales Consolidation Dashboard</x:v>
      </x:c>
      <x:c r="C1" s="9" t="str">
        <x:v>Monthly Sales Consolidation Dashboard</x:v>
      </x:c>
      <x:c r="D1" s="9" t="str">
        <x:v>Monthly Sales Consolidation Dashboard</x:v>
      </x:c>
      <x:c r="E1" s="9" t="str">
        <x:v>Monthly Sales Consolidation Dashboard</x:v>
      </x:c>
      <x:c r="F1" s="9" t="str">
        <x:v>Monthly Sales Consolidation Dashboard</x:v>
      </x:c>
      <x:c r="G1" s="9" t="str">
        <x:v>Monthly Sales Consolidation Dashboard</x:v>
      </x:c>
      <x:c r="H1" s="9" t="str">
        <x:v>Monthly Sales Consolidation Dashboard</x:v>
      </x:c>
      <x:c r="I1" s="9" t="str">
        <x:v>Monthly Sales Consolidation Dashboard</x:v>
      </x:c>
      <x:c r="J1" s="9" t="str">
        <x:v>Monthly Sales Consolidation Dashboard</x:v>
      </x:c>
      <x:c r="K1" s="9" t="str">
        <x:v>Monthly Sales Consolidation Dashboard</x:v>
      </x:c>
      <x:c r="L1" s="9" t="str">
        <x:v>Monthly Sales Consolidation Dashboard</x:v>
      </x:c>
    </x:row>
    <x:row r="2" ht="34" customHeight="1">
      <x:c r="A2" s="9" t="str">
        <x:v>Monthly Sales Consolidation Dashboard</x:v>
      </x:c>
      <x:c r="B2" s="9" t="str">
        <x:v>Monthly Sales Consolidation Dashboard</x:v>
      </x:c>
      <x:c r="C2" s="9" t="str">
        <x:v>Monthly Sales Consolidation Dashboard</x:v>
      </x:c>
      <x:c r="D2" s="9" t="str">
        <x:v>Monthly Sales Consolidation Dashboard</x:v>
      </x:c>
      <x:c r="E2" s="9" t="str">
        <x:v>Monthly Sales Consolidation Dashboard</x:v>
      </x:c>
      <x:c r="F2" s="9" t="str">
        <x:v>Monthly Sales Consolidation Dashboard</x:v>
      </x:c>
      <x:c r="G2" s="9" t="str">
        <x:v>Monthly Sales Consolidation Dashboard</x:v>
      </x:c>
      <x:c r="H2" s="9" t="str">
        <x:v>Monthly Sales Consolidation Dashboard</x:v>
      </x:c>
      <x:c r="I2" s="9" t="str">
        <x:v>Monthly Sales Consolidation Dashboard</x:v>
      </x:c>
      <x:c r="J2" s="9" t="str">
        <x:v>Monthly Sales Consolidation Dashboard</x:v>
      </x:c>
      <x:c r="K2" s="9" t="str">
        <x:v>Monthly Sales Consolidation Dashboard</x:v>
      </x:c>
      <x:c r="L2" s="9" t="str">
        <x:v>Monthly Sales Consolidation Dashboard</x:v>
      </x:c>
    </x:row>
    <x:row r="3">
      <x:c r="A3" s="30" t="str">
        <x:v>Six monthly exports combined into one decision-ready report | Jan–Jun 2026</x:v>
      </x:c>
    </x:row>
    <x:row r="5">
      <x:c r="A5" s="43" t="str">
        <x:v>Total Revenue</x:v>
      </x:c>
      <x:c r="B5" s="44" t="str">
        <x:v>Total Revenue</x:v>
      </x:c>
      <x:c r="C5" s="45" t="str">
        <x:v>Total Revenue</x:v>
      </x:c>
      <x:c r="D5" s="43" t="str">
        <x:v>Total Profit</x:v>
      </x:c>
      <x:c r="E5" s="44" t="str">
        <x:v>Total Profit</x:v>
      </x:c>
      <x:c r="F5" s="45" t="str">
        <x:v>Total Profit</x:v>
      </x:c>
      <x:c r="G5" s="43" t="str">
        <x:v>Profit Margin</x:v>
      </x:c>
      <x:c r="H5" s="44" t="str">
        <x:v>Profit Margin</x:v>
      </x:c>
      <x:c r="I5" s="45" t="str">
        <x:v>Profit Margin</x:v>
      </x:c>
      <x:c r="J5" s="43" t="str">
        <x:v>Orders</x:v>
      </x:c>
      <x:c r="K5" s="44" t="str">
        <x:v>Orders</x:v>
      </x:c>
      <x:c r="L5" s="45" t="str">
        <x:v>Orders</x:v>
      </x:c>
    </x:row>
    <x:row r="6">
      <x:c r="A6" s="58" t="n">
        <x:f>SUM('Consolidated Data'!$J$2:$J$289)</x:f>
        <x:v>24411.670000000016</x:v>
      </x:c>
      <x:c r="B6" s="59"/>
      <x:c r="C6" s="60"/>
      <x:c r="D6" s="58" t="n">
        <x:f>SUM('Consolidated Data'!$L$2:$L$289)</x:f>
        <x:v>11494.870000000006</x:v>
      </x:c>
      <x:c r="E6" s="59"/>
      <x:c r="F6" s="60"/>
      <x:c r="G6" s="70" t="n">
        <x:f>IFERROR(D6/A6,0)</x:f>
        <x:v>0.4708760195431119</x:v>
      </x:c>
      <x:c r="H6" s="71"/>
      <x:c r="I6" s="72"/>
      <x:c r="J6" s="82" t="n">
        <x:f>COUNTA('Consolidated Data'!$A$2:$A$289)</x:f>
        <x:v>288</x:v>
      </x:c>
      <x:c r="K6" s="83"/>
      <x:c r="L6" s="84"/>
    </x:row>
    <x:row r="7">
      <x:c r="A7" s="61"/>
      <x:c r="B7" s="62"/>
      <x:c r="C7" s="63"/>
      <x:c r="D7" s="61"/>
      <x:c r="E7" s="62"/>
      <x:c r="F7" s="63"/>
      <x:c r="G7" s="73"/>
      <x:c r="H7" s="74"/>
      <x:c r="I7" s="75"/>
      <x:c r="J7" s="85"/>
      <x:c r="K7" s="86"/>
      <x:c r="L7" s="87"/>
    </x:row>
    <x:row r="10" ht="24" customHeight="1">
      <x:c r="A10" s="2" t="str">
        <x:v>Monthly Trend</x:v>
      </x:c>
      <x:c r="B10" s="2"/>
      <x:c r="C10" s="2"/>
      <x:c r="D10" s="2"/>
      <x:c r="E10" s="2"/>
      <x:c r="F10" s="2"/>
      <x:c r="G10" s="2" t="str">
        <x:v>Channel Performance</x:v>
      </x:c>
      <x:c r="H10" s="2"/>
      <x:c r="I10" s="2"/>
      <x:c r="J10" s="2"/>
      <x:c r="K10" s="2"/>
      <x:c r="L10" s="2"/>
    </x:row>
    <x:row r="12" ht="24" customHeight="1">
      <x:c r="G12" s="12" t="str">
        <x:v>Channel</x:v>
      </x:c>
      <x:c r="H12" s="13" t="str">
        <x:v>Revenue</x:v>
      </x:c>
      <x:c r="I12" s="13" t="str">
        <x:v>Profit</x:v>
      </x:c>
      <x:c r="J12" s="14" t="str">
        <x:v>Margin</x:v>
      </x:c>
    </x:row>
    <x:row r="13">
      <x:c r="G13" s="15" t="str">
        <x:v>Retail Store</x:v>
      </x:c>
      <x:c r="H13" s="16" t="n">
        <x:f>SUMIFS('Consolidated Data'!$J$2:$J$289,'Consolidated Data'!$E$2:$E$289,G13)</x:f>
        <x:v>8189.1700000000055</x:v>
      </x:c>
      <x:c r="I13" s="16" t="n">
        <x:f>SUMIFS('Consolidated Data'!$L$2:$L$289,'Consolidated Data'!$E$2:$E$289,G13)</x:f>
        <x:v>3883.570000000001</x:v>
      </x:c>
      <x:c r="J13" s="25" t="n">
        <x:f>IFERROR(I13/H13,0)</x:f>
        <x:v>0.4742324313697235</x:v>
      </x:c>
    </x:row>
    <x:row r="14">
      <x:c r="G14" s="15" t="str">
        <x:v>Online</x:v>
      </x:c>
      <x:c r="H14" s="16" t="n">
        <x:f>SUMIFS('Consolidated Data'!$J$2:$J$289,'Consolidated Data'!$E$2:$E$289,G14)</x:f>
        <x:v>8156.960000000005</x:v>
      </x:c>
      <x:c r="I14" s="16" t="n">
        <x:f>SUMIFS('Consolidated Data'!$L$2:$L$289,'Consolidated Data'!$E$2:$E$289,G14)</x:f>
        <x:v>3851.3600000000006</x:v>
      </x:c>
      <x:c r="J14" s="25" t="n">
        <x:f>IFERROR(I14/H14,0)</x:f>
        <x:v>0.4721562935211155</x:v>
      </x:c>
    </x:row>
    <x:row r="15">
      <x:c r="G15" s="19" t="str">
        <x:v>Wholesale</x:v>
      </x:c>
      <x:c r="H15" s="20" t="n">
        <x:f>SUMIFS('Consolidated Data'!$J$2:$J$289,'Consolidated Data'!$E$2:$E$289,G15)</x:f>
        <x:v>8065.540000000005</x:v>
      </x:c>
      <x:c r="I15" s="20" t="n">
        <x:f>SUMIFS('Consolidated Data'!$L$2:$L$289,'Consolidated Data'!$E$2:$E$289,G15)</x:f>
        <x:v>3759.9400000000014</x:v>
      </x:c>
      <x:c r="J15" s="28" t="n">
        <x:f>IFERROR(I15/H15,0)</x:f>
        <x:v>0.46617337462835706</x:v>
      </x:c>
    </x:row>
    <x:row r="18" ht="24" customHeight="1">
      <x:c r="G18" s="2" t="str">
        <x:v>Top Products by Revenue</x:v>
      </x:c>
      <x:c r="H18" s="2"/>
      <x:c r="I18" s="2"/>
      <x:c r="J18" s="2"/>
      <x:c r="K18" s="2"/>
      <x:c r="L18" s="2"/>
    </x:row>
    <x:row r="20" ht="24" customHeight="1">
      <x:c r="G20" s="12" t="str">
        <x:v>Product</x:v>
      </x:c>
      <x:c r="H20" s="13" t="str">
        <x:v>Revenue</x:v>
      </x:c>
      <x:c r="I20" s="14" t="str">
        <x:v>Margin</x:v>
      </x:c>
    </x:row>
    <x:row r="21">
      <x:c r="G21" s="15" t="str">
        <x:v>French Press</x:v>
      </x:c>
      <x:c r="H21" s="16" t="n">
        <x:f>SUMIFS('Consolidated Data'!$J$2:$J$289,'Consolidated Data'!$C$2:$C$289,G21)</x:f>
        <x:v>6805.100000000006</x:v>
      </x:c>
      <x:c r="I21" s="25" t="n">
        <x:f>IFERROR(SUMIFS('Consolidated Data'!$L$2:$L$289,'Consolidated Data'!$C$2:$C$289,G21)/H21,0)</x:f>
        <x:v>0.4286637962704437</x:v>
      </x:c>
    </x:row>
    <x:row r="22">
      <x:c r="G22" s="15" t="str">
        <x:v>Cold Brew Bottle</x:v>
      </x:c>
      <x:c r="H22" s="16" t="n">
        <x:f>SUMIFS('Consolidated Data'!$J$2:$J$289,'Consolidated Data'!$C$2:$C$289,G22)</x:f>
        <x:v>5183.880000000003</x:v>
      </x:c>
      <x:c r="I22" s="25" t="n">
        <x:f>IFERROR(SUMIFS('Consolidated Data'!$L$2:$L$289,'Consolidated Data'!$C$2:$C$289,G22)/H22,0)</x:f>
        <x:v>0.47915461006041793</x:v>
      </x:c>
    </x:row>
    <x:row r="23">
      <x:c r="G23" s="15" t="str">
        <x:v>Filter Beans 1kg</x:v>
      </x:c>
      <x:c r="H23" s="16" t="n">
        <x:f>SUMIFS('Consolidated Data'!$J$2:$J$289,'Consolidated Data'!$C$2:$C$289,G23)</x:f>
        <x:v>4328.340000000001</x:v>
      </x:c>
      <x:c r="I23" s="25" t="n">
        <x:f>IFERROR(SUMIFS('Consolidated Data'!$L$2:$L$289,'Consolidated Data'!$C$2:$C$289,G23)/H23,0)</x:f>
        <x:v>0.4111368330584011</x:v>
      </x:c>
    </x:row>
    <x:row r="24">
      <x:c r="G24" s="19" t="str">
        <x:v>Espresso Beans 1kg</x:v>
      </x:c>
      <x:c r="H24" s="20" t="n">
        <x:f>SUMIFS('Consolidated Data'!$J$2:$J$289,'Consolidated Data'!$C$2:$C$289,G24)</x:f>
        <x:v>3809.2999999999993</x:v>
      </x:c>
      <x:c r="I24" s="28" t="n">
        <x:f>IFERROR(SUMIFS('Consolidated Data'!$L$2:$L$289,'Consolidated Data'!$C$2:$C$289,G24)/H24,0)</x:f>
        <x:v>0.4046150211324916</x:v>
      </x:c>
    </x:row>
    <x:row r="28">
      <x:c r="A28" s="91" t="str">
        <x:v>Refresh workflow: Add a new monthly CSV to the source folder → Data &gt; Refresh All → dashboard updates. See Refresh Guide.</x:v>
      </x:c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10:F10"/>
    <x:mergeCell ref="G10:L10"/>
    <x:mergeCell ref="G18:L18"/>
    <x:mergeCell ref="A28:L29"/>
  </x:mergeCells>
  <x:pageMargins left="0.7" right="0.7" top="0.75" bottom="0.75" header="0.3" footer="0.3"/>
  <x:drawing xmlns:r="http://schemas.openxmlformats.org/officeDocument/2006/relationships" r:id="Rf7e310f307214fc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4" hidden="0" customWidth="1"/>
    <x:col min="4" max="4" width="15" hidden="0" customWidth="1"/>
    <x:col min="5" max="5" width="15" hidden="0" customWidth="1"/>
    <x:col min="6" max="6" width="13" hidden="0" customWidth="1"/>
    <x:col min="7" max="7" width="10" hidden="0" customWidth="1"/>
    <x:col min="8" max="8" width="13" hidden="0" customWidth="1"/>
    <x:col min="9" max="9" width="11" hidden="0" customWidth="1"/>
    <x:col min="10" max="10" width="14" hidden="0" customWidth="1"/>
    <x:col min="11" max="11" width="13" hidden="0" customWidth="1"/>
    <x:col min="12" max="12" width="14" hidden="0" customWidth="1"/>
    <x:col min="13" max="13" width="11" hidden="0" customWidth="1"/>
  </x:cols>
  <x:sheetData>
    <x:row r="1" ht="24" customHeight="1">
      <x:c r="A1" s="2" t="str">
        <x:v>Order ID</x:v>
      </x:c>
      <x:c r="B1" s="2" t="str">
        <x:v>Order Date</x:v>
      </x:c>
      <x:c r="C1" s="2" t="str">
        <x:v>Product</x:v>
      </x:c>
      <x:c r="D1" s="2" t="str">
        <x:v>Category</x:v>
      </x:c>
      <x:c r="E1" s="2" t="str">
        <x:v>Channel</x:v>
      </x:c>
      <x:c r="F1" s="2" t="str">
        <x:v>Region</x:v>
      </x:c>
      <x:c r="G1" s="2" t="str">
        <x:v>Quantity</x:v>
      </x:c>
      <x:c r="H1" s="2" t="str">
        <x:v>Unit Price</x:v>
      </x:c>
      <x:c r="I1" s="2" t="str">
        <x:v>Discount</x:v>
      </x:c>
      <x:c r="J1" s="2" t="str">
        <x:v>Revenue</x:v>
      </x:c>
      <x:c r="K1" s="2" t="str">
        <x:v>Cost</x:v>
      </x:c>
      <x:c r="L1" s="2" t="str">
        <x:v>Profit</x:v>
      </x:c>
      <x:c r="M1" s="2" t="str">
        <x:v>Month</x:v>
      </x:c>
    </x:row>
    <x:row r="2">
      <x:c r="A2" t="str">
        <x:v>ORD-1001</x:v>
      </x:c>
      <x:c r="B2" s="3" t="n">
        <x:v>46023</x:v>
      </x:c>
      <x:c r="C2" t="str">
        <x:v>Espresso Beans 1kg</x:v>
      </x:c>
      <x:c r="D2" t="str">
        <x:v>Coffee</x:v>
      </x:c>
      <x:c r="E2" t="str">
        <x:v>Retail Store</x:v>
      </x:c>
      <x:c r="F2" t="str">
        <x:v>Istanbul</x:v>
      </x:c>
      <x:c r="G2" s="4" t="n">
        <x:v>1</x:v>
      </x:c>
      <x:c r="H2" s="5" t="n">
        <x:v>18</x:v>
      </x:c>
      <x:c r="I2" s="6" t="n">
        <x:v>0.15</x:v>
      </x:c>
      <x:c r="J2" s="5" t="n">
        <x:v>15.3</x:v>
      </x:c>
      <x:c r="K2" s="5" t="n">
        <x:v>10.5</x:v>
      </x:c>
      <x:c r="L2" s="5" t="n">
        <x:v>4.8</x:v>
      </x:c>
      <x:c r="M2" t="str">
        <x:v>2026-01</x:v>
      </x:c>
    </x:row>
    <x:row r="3">
      <x:c r="A3" t="str">
        <x:v>ORD-1002</x:v>
      </x:c>
      <x:c r="B3" s="3" t="n">
        <x:v>46030</x:v>
      </x:c>
      <x:c r="C3" t="str">
        <x:v>French Press</x:v>
      </x:c>
      <x:c r="D3" t="str">
        <x:v>Equipment</x:v>
      </x:c>
      <x:c r="E3" t="str">
        <x:v>Online</x:v>
      </x:c>
      <x:c r="F3" t="str">
        <x:v>Izmir</x:v>
      </x:c>
      <x:c r="G3" s="4" t="n">
        <x:v>6</x:v>
      </x:c>
      <x:c r="H3" s="5" t="n">
        <x:v>32</x:v>
      </x:c>
      <x:c r="I3" s="6" t="n">
        <x:v>0</x:v>
      </x:c>
      <x:c r="J3" s="5" t="n">
        <x:v>192</x:v>
      </x:c>
      <x:c r="K3" s="5" t="n">
        <x:v>108</x:v>
      </x:c>
      <x:c r="L3" s="5" t="n">
        <x:v>84</x:v>
      </x:c>
      <x:c r="M3" t="str">
        <x:v>2026-01</x:v>
      </x:c>
    </x:row>
    <x:row r="4">
      <x:c r="A4" t="str">
        <x:v>ORD-1003</x:v>
      </x:c>
      <x:c r="B4" s="3" t="n">
        <x:v>46037</x:v>
      </x:c>
      <x:c r="C4" t="str">
        <x:v>Espresso Beans 1kg</x:v>
      </x:c>
      <x:c r="D4" t="str">
        <x:v>Coffee</x:v>
      </x:c>
      <x:c r="E4" t="str">
        <x:v>Wholesale</x:v>
      </x:c>
      <x:c r="F4" t="str">
        <x:v>Istanbul</x:v>
      </x:c>
      <x:c r="G4" s="4" t="n">
        <x:v>3</x:v>
      </x:c>
      <x:c r="H4" s="5" t="n">
        <x:v>18</x:v>
      </x:c>
      <x:c r="I4" s="6" t="n">
        <x:v>0</x:v>
      </x:c>
      <x:c r="J4" s="5" t="n">
        <x:v>54</x:v>
      </x:c>
      <x:c r="K4" s="5" t="n">
        <x:v>31.5</x:v>
      </x:c>
      <x:c r="L4" s="5" t="n">
        <x:v>22.5</x:v>
      </x:c>
      <x:c r="M4" t="str">
        <x:v>2026-01</x:v>
      </x:c>
    </x:row>
    <x:row r="5">
      <x:c r="A5" t="str">
        <x:v>ORD-1004</x:v>
      </x:c>
      <x:c r="B5" s="3" t="n">
        <x:v>46044</x:v>
      </x:c>
      <x:c r="C5" t="str">
        <x:v>French Press</x:v>
      </x:c>
      <x:c r="D5" t="str">
        <x:v>Equipment</x:v>
      </x:c>
      <x:c r="E5" t="str">
        <x:v>Retail Store</x:v>
      </x:c>
      <x:c r="F5" t="str">
        <x:v>Izmir</x:v>
      </x:c>
      <x:c r="G5" s="4" t="n">
        <x:v>8</x:v>
      </x:c>
      <x:c r="H5" s="5" t="n">
        <x:v>32</x:v>
      </x:c>
      <x:c r="I5" s="6" t="n">
        <x:v>0</x:v>
      </x:c>
      <x:c r="J5" s="5" t="n">
        <x:v>256</x:v>
      </x:c>
      <x:c r="K5" s="5" t="n">
        <x:v>144</x:v>
      </x:c>
      <x:c r="L5" s="5" t="n">
        <x:v>112</x:v>
      </x:c>
      <x:c r="M5" t="str">
        <x:v>2026-01</x:v>
      </x:c>
    </x:row>
    <x:row r="6">
      <x:c r="A6" t="str">
        <x:v>ORD-1005</x:v>
      </x:c>
      <x:c r="B6" s="3" t="n">
        <x:v>46023</x:v>
      </x:c>
      <x:c r="C6" t="str">
        <x:v>Espresso Beans 1kg</x:v>
      </x:c>
      <x:c r="D6" t="str">
        <x:v>Coffee</x:v>
      </x:c>
      <x:c r="E6" t="str">
        <x:v>Online</x:v>
      </x:c>
      <x:c r="F6" t="str">
        <x:v>Istanbul</x:v>
      </x:c>
      <x:c r="G6" s="4" t="n">
        <x:v>5</x:v>
      </x:c>
      <x:c r="H6" s="5" t="n">
        <x:v>18</x:v>
      </x:c>
      <x:c r="I6" s="6" t="n">
        <x:v>0</x:v>
      </x:c>
      <x:c r="J6" s="5" t="n">
        <x:v>90</x:v>
      </x:c>
      <x:c r="K6" s="5" t="n">
        <x:v>52.5</x:v>
      </x:c>
      <x:c r="L6" s="5" t="n">
        <x:v>37.5</x:v>
      </x:c>
      <x:c r="M6" t="str">
        <x:v>2026-01</x:v>
      </x:c>
    </x:row>
    <x:row r="7">
      <x:c r="A7" t="str">
        <x:v>ORD-1006</x:v>
      </x:c>
      <x:c r="B7" s="3" t="n">
        <x:v>46030</x:v>
      </x:c>
      <x:c r="C7" t="str">
        <x:v>French Press</x:v>
      </x:c>
      <x:c r="D7" t="str">
        <x:v>Equipment</x:v>
      </x:c>
      <x:c r="E7" t="str">
        <x:v>Wholesale</x:v>
      </x:c>
      <x:c r="F7" t="str">
        <x:v>Izmir</x:v>
      </x:c>
      <x:c r="G7" s="4" t="n">
        <x:v>2</x:v>
      </x:c>
      <x:c r="H7" s="5" t="n">
        <x:v>32</x:v>
      </x:c>
      <x:c r="I7" s="6" t="n">
        <x:v>0</x:v>
      </x:c>
      <x:c r="J7" s="5" t="n">
        <x:v>64</x:v>
      </x:c>
      <x:c r="K7" s="5" t="n">
        <x:v>36</x:v>
      </x:c>
      <x:c r="L7" s="5" t="n">
        <x:v>28</x:v>
      </x:c>
      <x:c r="M7" t="str">
        <x:v>2026-01</x:v>
      </x:c>
    </x:row>
    <x:row r="8">
      <x:c r="A8" t="str">
        <x:v>ORD-1007</x:v>
      </x:c>
      <x:c r="B8" s="3" t="n">
        <x:v>46037</x:v>
      </x:c>
      <x:c r="C8" t="str">
        <x:v>Espresso Beans 1kg</x:v>
      </x:c>
      <x:c r="D8" t="str">
        <x:v>Coffee</x:v>
      </x:c>
      <x:c r="E8" t="str">
        <x:v>Retail Store</x:v>
      </x:c>
      <x:c r="F8" t="str">
        <x:v>Istanbul</x:v>
      </x:c>
      <x:c r="G8" s="4" t="n">
        <x:v>7</x:v>
      </x:c>
      <x:c r="H8" s="5" t="n">
        <x:v>18</x:v>
      </x:c>
      <x:c r="I8" s="6" t="n">
        <x:v>0</x:v>
      </x:c>
      <x:c r="J8" s="5" t="n">
        <x:v>126</x:v>
      </x:c>
      <x:c r="K8" s="5" t="n">
        <x:v>73.5</x:v>
      </x:c>
      <x:c r="L8" s="5" t="n">
        <x:v>52.5</x:v>
      </x:c>
      <x:c r="M8" t="str">
        <x:v>2026-01</x:v>
      </x:c>
    </x:row>
    <x:row r="9">
      <x:c r="A9" t="str">
        <x:v>ORD-1008</x:v>
      </x:c>
      <x:c r="B9" s="3" t="n">
        <x:v>46044</x:v>
      </x:c>
      <x:c r="C9" t="str">
        <x:v>French Press</x:v>
      </x:c>
      <x:c r="D9" t="str">
        <x:v>Equipment</x:v>
      </x:c>
      <x:c r="E9" t="str">
        <x:v>Online</x:v>
      </x:c>
      <x:c r="F9" t="str">
        <x:v>Izmir</x:v>
      </x:c>
      <x:c r="G9" s="4" t="n">
        <x:v>4</x:v>
      </x:c>
      <x:c r="H9" s="5" t="n">
        <x:v>32</x:v>
      </x:c>
      <x:c r="I9" s="6" t="n">
        <x:v>0.1</x:v>
      </x:c>
      <x:c r="J9" s="5" t="n">
        <x:v>115.2</x:v>
      </x:c>
      <x:c r="K9" s="5" t="n">
        <x:v>72</x:v>
      </x:c>
      <x:c r="L9" s="5" t="n">
        <x:v>43.2</x:v>
      </x:c>
      <x:c r="M9" t="str">
        <x:v>2026-01</x:v>
      </x:c>
    </x:row>
    <x:row r="10">
      <x:c r="A10" t="str">
        <x:v>ORD-1009</x:v>
      </x:c>
      <x:c r="B10" s="3" t="n">
        <x:v>46023</x:v>
      </x:c>
      <x:c r="C10" t="str">
        <x:v>Espresso Beans 1kg</x:v>
      </x:c>
      <x:c r="D10" t="str">
        <x:v>Coffee</x:v>
      </x:c>
      <x:c r="E10" t="str">
        <x:v>Wholesale</x:v>
      </x:c>
      <x:c r="F10" t="str">
        <x:v>Istanbul</x:v>
      </x:c>
      <x:c r="G10" s="4" t="n">
        <x:v>1</x:v>
      </x:c>
      <x:c r="H10" s="5" t="n">
        <x:v>18</x:v>
      </x:c>
      <x:c r="I10" s="6" t="n">
        <x:v>0</x:v>
      </x:c>
      <x:c r="J10" s="5" t="n">
        <x:v>18</x:v>
      </x:c>
      <x:c r="K10" s="5" t="n">
        <x:v>10.5</x:v>
      </x:c>
      <x:c r="L10" s="5" t="n">
        <x:v>7.5</x:v>
      </x:c>
      <x:c r="M10" t="str">
        <x:v>2026-01</x:v>
      </x:c>
    </x:row>
    <x:row r="11">
      <x:c r="A11" t="str">
        <x:v>ORD-1010</x:v>
      </x:c>
      <x:c r="B11" s="3" t="n">
        <x:v>46030</x:v>
      </x:c>
      <x:c r="C11" t="str">
        <x:v>French Press</x:v>
      </x:c>
      <x:c r="D11" t="str">
        <x:v>Equipment</x:v>
      </x:c>
      <x:c r="E11" t="str">
        <x:v>Retail Store</x:v>
      </x:c>
      <x:c r="F11" t="str">
        <x:v>Izmir</x:v>
      </x:c>
      <x:c r="G11" s="4" t="n">
        <x:v>6</x:v>
      </x:c>
      <x:c r="H11" s="5" t="n">
        <x:v>32</x:v>
      </x:c>
      <x:c r="I11" s="6" t="n">
        <x:v>0</x:v>
      </x:c>
      <x:c r="J11" s="5" t="n">
        <x:v>192</x:v>
      </x:c>
      <x:c r="K11" s="5" t="n">
        <x:v>108</x:v>
      </x:c>
      <x:c r="L11" s="5" t="n">
        <x:v>84</x:v>
      </x:c>
      <x:c r="M11" t="str">
        <x:v>2026-01</x:v>
      </x:c>
    </x:row>
    <x:row r="12">
      <x:c r="A12" t="str">
        <x:v>ORD-1011</x:v>
      </x:c>
      <x:c r="B12" s="3" t="n">
        <x:v>46037</x:v>
      </x:c>
      <x:c r="C12" t="str">
        <x:v>Espresso Beans 1kg</x:v>
      </x:c>
      <x:c r="D12" t="str">
        <x:v>Coffee</x:v>
      </x:c>
      <x:c r="E12" t="str">
        <x:v>Online</x:v>
      </x:c>
      <x:c r="F12" t="str">
        <x:v>Istanbul</x:v>
      </x:c>
      <x:c r="G12" s="4" t="n">
        <x:v>3</x:v>
      </x:c>
      <x:c r="H12" s="5" t="n">
        <x:v>18</x:v>
      </x:c>
      <x:c r="I12" s="6" t="n">
        <x:v>0</x:v>
      </x:c>
      <x:c r="J12" s="5" t="n">
        <x:v>54</x:v>
      </x:c>
      <x:c r="K12" s="5" t="n">
        <x:v>31.5</x:v>
      </x:c>
      <x:c r="L12" s="5" t="n">
        <x:v>22.5</x:v>
      </x:c>
      <x:c r="M12" t="str">
        <x:v>2026-01</x:v>
      </x:c>
    </x:row>
    <x:row r="13">
      <x:c r="A13" t="str">
        <x:v>ORD-1012</x:v>
      </x:c>
      <x:c r="B13" s="3" t="n">
        <x:v>46044</x:v>
      </x:c>
      <x:c r="C13" t="str">
        <x:v>French Press</x:v>
      </x:c>
      <x:c r="D13" t="str">
        <x:v>Equipment</x:v>
      </x:c>
      <x:c r="E13" t="str">
        <x:v>Wholesale</x:v>
      </x:c>
      <x:c r="F13" t="str">
        <x:v>Izmir</x:v>
      </x:c>
      <x:c r="G13" s="4" t="n">
        <x:v>8</x:v>
      </x:c>
      <x:c r="H13" s="5" t="n">
        <x:v>32</x:v>
      </x:c>
      <x:c r="I13" s="6" t="n">
        <x:v>0.15</x:v>
      </x:c>
      <x:c r="J13" s="5" t="n">
        <x:v>217.6</x:v>
      </x:c>
      <x:c r="K13" s="5" t="n">
        <x:v>144</x:v>
      </x:c>
      <x:c r="L13" s="5" t="n">
        <x:v>73.6</x:v>
      </x:c>
      <x:c r="M13" t="str">
        <x:v>2026-01</x:v>
      </x:c>
    </x:row>
    <x:row r="14">
      <x:c r="A14" t="str">
        <x:v>ORD-1013</x:v>
      </x:c>
      <x:c r="B14" s="3" t="n">
        <x:v>46023</x:v>
      </x:c>
      <x:c r="C14" t="str">
        <x:v>Espresso Beans 1kg</x:v>
      </x:c>
      <x:c r="D14" t="str">
        <x:v>Coffee</x:v>
      </x:c>
      <x:c r="E14" t="str">
        <x:v>Retail Store</x:v>
      </x:c>
      <x:c r="F14" t="str">
        <x:v>Istanbul</x:v>
      </x:c>
      <x:c r="G14" s="4" t="n">
        <x:v>5</x:v>
      </x:c>
      <x:c r="H14" s="5" t="n">
        <x:v>18</x:v>
      </x:c>
      <x:c r="I14" s="6" t="n">
        <x:v>0</x:v>
      </x:c>
      <x:c r="J14" s="5" t="n">
        <x:v>90</x:v>
      </x:c>
      <x:c r="K14" s="5" t="n">
        <x:v>52.5</x:v>
      </x:c>
      <x:c r="L14" s="5" t="n">
        <x:v>37.5</x:v>
      </x:c>
      <x:c r="M14" t="str">
        <x:v>2026-01</x:v>
      </x:c>
    </x:row>
    <x:row r="15">
      <x:c r="A15" t="str">
        <x:v>ORD-1014</x:v>
      </x:c>
      <x:c r="B15" s="3" t="n">
        <x:v>46030</x:v>
      </x:c>
      <x:c r="C15" t="str">
        <x:v>French Press</x:v>
      </x:c>
      <x:c r="D15" t="str">
        <x:v>Equipment</x:v>
      </x:c>
      <x:c r="E15" t="str">
        <x:v>Online</x:v>
      </x:c>
      <x:c r="F15" t="str">
        <x:v>Izmir</x:v>
      </x:c>
      <x:c r="G15" s="4" t="n">
        <x:v>2</x:v>
      </x:c>
      <x:c r="H15" s="5" t="n">
        <x:v>32</x:v>
      </x:c>
      <x:c r="I15" s="6" t="n">
        <x:v>0</x:v>
      </x:c>
      <x:c r="J15" s="5" t="n">
        <x:v>64</x:v>
      </x:c>
      <x:c r="K15" s="5" t="n">
        <x:v>36</x:v>
      </x:c>
      <x:c r="L15" s="5" t="n">
        <x:v>28</x:v>
      </x:c>
      <x:c r="M15" t="str">
        <x:v>2026-01</x:v>
      </x:c>
    </x:row>
    <x:row r="16">
      <x:c r="A16" t="str">
        <x:v>ORD-1015</x:v>
      </x:c>
      <x:c r="B16" s="3" t="n">
        <x:v>46037</x:v>
      </x:c>
      <x:c r="C16" t="str">
        <x:v>Espresso Beans 1kg</x:v>
      </x:c>
      <x:c r="D16" t="str">
        <x:v>Coffee</x:v>
      </x:c>
      <x:c r="E16" t="str">
        <x:v>Wholesale</x:v>
      </x:c>
      <x:c r="F16" t="str">
        <x:v>Istanbul</x:v>
      </x:c>
      <x:c r="G16" s="4" t="n">
        <x:v>7</x:v>
      </x:c>
      <x:c r="H16" s="5" t="n">
        <x:v>18</x:v>
      </x:c>
      <x:c r="I16" s="6" t="n">
        <x:v>0.1</x:v>
      </x:c>
      <x:c r="J16" s="5" t="n">
        <x:v>113.4</x:v>
      </x:c>
      <x:c r="K16" s="5" t="n">
        <x:v>73.5</x:v>
      </x:c>
      <x:c r="L16" s="5" t="n">
        <x:v>39.9</x:v>
      </x:c>
      <x:c r="M16" t="str">
        <x:v>2026-01</x:v>
      </x:c>
    </x:row>
    <x:row r="17">
      <x:c r="A17" t="str">
        <x:v>ORD-1016</x:v>
      </x:c>
      <x:c r="B17" s="3" t="n">
        <x:v>46044</x:v>
      </x:c>
      <x:c r="C17" t="str">
        <x:v>French Press</x:v>
      </x:c>
      <x:c r="D17" t="str">
        <x:v>Equipment</x:v>
      </x:c>
      <x:c r="E17" t="str">
        <x:v>Retail Store</x:v>
      </x:c>
      <x:c r="F17" t="str">
        <x:v>Izmir</x:v>
      </x:c>
      <x:c r="G17" s="4" t="n">
        <x:v>4</x:v>
      </x:c>
      <x:c r="H17" s="5" t="n">
        <x:v>32</x:v>
      </x:c>
      <x:c r="I17" s="6" t="n">
        <x:v>0</x:v>
      </x:c>
      <x:c r="J17" s="5" t="n">
        <x:v>128</x:v>
      </x:c>
      <x:c r="K17" s="5" t="n">
        <x:v>72</x:v>
      </x:c>
      <x:c r="L17" s="5" t="n">
        <x:v>56</x:v>
      </x:c>
      <x:c r="M17" t="str">
        <x:v>2026-01</x:v>
      </x:c>
    </x:row>
    <x:row r="18">
      <x:c r="A18" t="str">
        <x:v>ORD-1017</x:v>
      </x:c>
      <x:c r="B18" s="3" t="n">
        <x:v>46023</x:v>
      </x:c>
      <x:c r="C18" t="str">
        <x:v>Espresso Beans 1kg</x:v>
      </x:c>
      <x:c r="D18" t="str">
        <x:v>Coffee</x:v>
      </x:c>
      <x:c r="E18" t="str">
        <x:v>Online</x:v>
      </x:c>
      <x:c r="F18" t="str">
        <x:v>Istanbul</x:v>
      </x:c>
      <x:c r="G18" s="4" t="n">
        <x:v>1</x:v>
      </x:c>
      <x:c r="H18" s="5" t="n">
        <x:v>18</x:v>
      </x:c>
      <x:c r="I18" s="6" t="n">
        <x:v>0</x:v>
      </x:c>
      <x:c r="J18" s="5" t="n">
        <x:v>18</x:v>
      </x:c>
      <x:c r="K18" s="5" t="n">
        <x:v>10.5</x:v>
      </x:c>
      <x:c r="L18" s="5" t="n">
        <x:v>7.5</x:v>
      </x:c>
      <x:c r="M18" t="str">
        <x:v>2026-01</x:v>
      </x:c>
    </x:row>
    <x:row r="19">
      <x:c r="A19" t="str">
        <x:v>ORD-1018</x:v>
      </x:c>
      <x:c r="B19" s="3" t="n">
        <x:v>46030</x:v>
      </x:c>
      <x:c r="C19" t="str">
        <x:v>French Press</x:v>
      </x:c>
      <x:c r="D19" t="str">
        <x:v>Equipment</x:v>
      </x:c>
      <x:c r="E19" t="str">
        <x:v>Wholesale</x:v>
      </x:c>
      <x:c r="F19" t="str">
        <x:v>Izmir</x:v>
      </x:c>
      <x:c r="G19" s="4" t="n">
        <x:v>6</x:v>
      </x:c>
      <x:c r="H19" s="5" t="n">
        <x:v>32</x:v>
      </x:c>
      <x:c r="I19" s="6" t="n">
        <x:v>0</x:v>
      </x:c>
      <x:c r="J19" s="5" t="n">
        <x:v>192</x:v>
      </x:c>
      <x:c r="K19" s="5" t="n">
        <x:v>108</x:v>
      </x:c>
      <x:c r="L19" s="5" t="n">
        <x:v>84</x:v>
      </x:c>
      <x:c r="M19" t="str">
        <x:v>2026-01</x:v>
      </x:c>
    </x:row>
    <x:row r="20">
      <x:c r="A20" t="str">
        <x:v>ORD-1019</x:v>
      </x:c>
      <x:c r="B20" s="3" t="n">
        <x:v>46037</x:v>
      </x:c>
      <x:c r="C20" t="str">
        <x:v>Espresso Beans 1kg</x:v>
      </x:c>
      <x:c r="D20" t="str">
        <x:v>Coffee</x:v>
      </x:c>
      <x:c r="E20" t="str">
        <x:v>Retail Store</x:v>
      </x:c>
      <x:c r="F20" t="str">
        <x:v>Istanbul</x:v>
      </x:c>
      <x:c r="G20" s="4" t="n">
        <x:v>3</x:v>
      </x:c>
      <x:c r="H20" s="5" t="n">
        <x:v>18</x:v>
      </x:c>
      <x:c r="I20" s="6" t="n">
        <x:v>0</x:v>
      </x:c>
      <x:c r="J20" s="5" t="n">
        <x:v>54</x:v>
      </x:c>
      <x:c r="K20" s="5" t="n">
        <x:v>31.5</x:v>
      </x:c>
      <x:c r="L20" s="5" t="n">
        <x:v>22.5</x:v>
      </x:c>
      <x:c r="M20" t="str">
        <x:v>2026-01</x:v>
      </x:c>
    </x:row>
    <x:row r="21">
      <x:c r="A21" t="str">
        <x:v>ORD-1020</x:v>
      </x:c>
      <x:c r="B21" s="3" t="n">
        <x:v>46044</x:v>
      </x:c>
      <x:c r="C21" t="str">
        <x:v>French Press</x:v>
      </x:c>
      <x:c r="D21" t="str">
        <x:v>Equipment</x:v>
      </x:c>
      <x:c r="E21" t="str">
        <x:v>Online</x:v>
      </x:c>
      <x:c r="F21" t="str">
        <x:v>Izmir</x:v>
      </x:c>
      <x:c r="G21" s="4" t="n">
        <x:v>8</x:v>
      </x:c>
      <x:c r="H21" s="5" t="n">
        <x:v>32</x:v>
      </x:c>
      <x:c r="I21" s="6" t="n">
        <x:v>0</x:v>
      </x:c>
      <x:c r="J21" s="5" t="n">
        <x:v>256</x:v>
      </x:c>
      <x:c r="K21" s="5" t="n">
        <x:v>144</x:v>
      </x:c>
      <x:c r="L21" s="5" t="n">
        <x:v>112</x:v>
      </x:c>
      <x:c r="M21" t="str">
        <x:v>2026-01</x:v>
      </x:c>
    </x:row>
    <x:row r="22">
      <x:c r="A22" t="str">
        <x:v>ORD-1021</x:v>
      </x:c>
      <x:c r="B22" s="3" t="n">
        <x:v>46023</x:v>
      </x:c>
      <x:c r="C22" t="str">
        <x:v>Espresso Beans 1kg</x:v>
      </x:c>
      <x:c r="D22" t="str">
        <x:v>Coffee</x:v>
      </x:c>
      <x:c r="E22" t="str">
        <x:v>Wholesale</x:v>
      </x:c>
      <x:c r="F22" t="str">
        <x:v>Istanbul</x:v>
      </x:c>
      <x:c r="G22" s="4" t="n">
        <x:v>5</x:v>
      </x:c>
      <x:c r="H22" s="5" t="n">
        <x:v>18</x:v>
      </x:c>
      <x:c r="I22" s="6" t="n">
        <x:v>0</x:v>
      </x:c>
      <x:c r="J22" s="5" t="n">
        <x:v>90</x:v>
      </x:c>
      <x:c r="K22" s="5" t="n">
        <x:v>52.5</x:v>
      </x:c>
      <x:c r="L22" s="5" t="n">
        <x:v>37.5</x:v>
      </x:c>
      <x:c r="M22" t="str">
        <x:v>2026-01</x:v>
      </x:c>
    </x:row>
    <x:row r="23">
      <x:c r="A23" t="str">
        <x:v>ORD-1022</x:v>
      </x:c>
      <x:c r="B23" s="3" t="n">
        <x:v>46030</x:v>
      </x:c>
      <x:c r="C23" t="str">
        <x:v>French Press</x:v>
      </x:c>
      <x:c r="D23" t="str">
        <x:v>Equipment</x:v>
      </x:c>
      <x:c r="E23" t="str">
        <x:v>Retail Store</x:v>
      </x:c>
      <x:c r="F23" t="str">
        <x:v>Izmir</x:v>
      </x:c>
      <x:c r="G23" s="4" t="n">
        <x:v>2</x:v>
      </x:c>
      <x:c r="H23" s="5" t="n">
        <x:v>32</x:v>
      </x:c>
      <x:c r="I23" s="6" t="n">
        <x:v>0.1</x:v>
      </x:c>
      <x:c r="J23" s="5" t="n">
        <x:v>57.6</x:v>
      </x:c>
      <x:c r="K23" s="5" t="n">
        <x:v>36</x:v>
      </x:c>
      <x:c r="L23" s="5" t="n">
        <x:v>21.6</x:v>
      </x:c>
      <x:c r="M23" t="str">
        <x:v>2026-01</x:v>
      </x:c>
    </x:row>
    <x:row r="24">
      <x:c r="A24" t="str">
        <x:v>ORD-1023</x:v>
      </x:c>
      <x:c r="B24" s="3" t="n">
        <x:v>46037</x:v>
      </x:c>
      <x:c r="C24" t="str">
        <x:v>Espresso Beans 1kg</x:v>
      </x:c>
      <x:c r="D24" t="str">
        <x:v>Coffee</x:v>
      </x:c>
      <x:c r="E24" t="str">
        <x:v>Online</x:v>
      </x:c>
      <x:c r="F24" t="str">
        <x:v>Istanbul</x:v>
      </x:c>
      <x:c r="G24" s="4" t="n">
        <x:v>7</x:v>
      </x:c>
      <x:c r="H24" s="5" t="n">
        <x:v>18</x:v>
      </x:c>
      <x:c r="I24" s="6" t="n">
        <x:v>0.15</x:v>
      </x:c>
      <x:c r="J24" s="5" t="n">
        <x:v>107.1</x:v>
      </x:c>
      <x:c r="K24" s="5" t="n">
        <x:v>73.5</x:v>
      </x:c>
      <x:c r="L24" s="5" t="n">
        <x:v>33.6</x:v>
      </x:c>
      <x:c r="M24" t="str">
        <x:v>2026-01</x:v>
      </x:c>
    </x:row>
    <x:row r="25">
      <x:c r="A25" t="str">
        <x:v>ORD-1024</x:v>
      </x:c>
      <x:c r="B25" s="3" t="n">
        <x:v>46044</x:v>
      </x:c>
      <x:c r="C25" t="str">
        <x:v>French Press</x:v>
      </x:c>
      <x:c r="D25" t="str">
        <x:v>Equipment</x:v>
      </x:c>
      <x:c r="E25" t="str">
        <x:v>Wholesale</x:v>
      </x:c>
      <x:c r="F25" t="str">
        <x:v>Izmir</x:v>
      </x:c>
      <x:c r="G25" s="4" t="n">
        <x:v>4</x:v>
      </x:c>
      <x:c r="H25" s="5" t="n">
        <x:v>32</x:v>
      </x:c>
      <x:c r="I25" s="6" t="n">
        <x:v>0</x:v>
      </x:c>
      <x:c r="J25" s="5" t="n">
        <x:v>128</x:v>
      </x:c>
      <x:c r="K25" s="5" t="n">
        <x:v>72</x:v>
      </x:c>
      <x:c r="L25" s="5" t="n">
        <x:v>56</x:v>
      </x:c>
      <x:c r="M25" t="str">
        <x:v>2026-01</x:v>
      </x:c>
    </x:row>
    <x:row r="26">
      <x:c r="A26" t="str">
        <x:v>ORD-1025</x:v>
      </x:c>
      <x:c r="B26" s="3" t="n">
        <x:v>46023</x:v>
      </x:c>
      <x:c r="C26" t="str">
        <x:v>Espresso Beans 1kg</x:v>
      </x:c>
      <x:c r="D26" t="str">
        <x:v>Coffee</x:v>
      </x:c>
      <x:c r="E26" t="str">
        <x:v>Retail Store</x:v>
      </x:c>
      <x:c r="F26" t="str">
        <x:v>Istanbul</x:v>
      </x:c>
      <x:c r="G26" s="4" t="n">
        <x:v>1</x:v>
      </x:c>
      <x:c r="H26" s="5" t="n">
        <x:v>18</x:v>
      </x:c>
      <x:c r="I26" s="6" t="n">
        <x:v>0</x:v>
      </x:c>
      <x:c r="J26" s="5" t="n">
        <x:v>18</x:v>
      </x:c>
      <x:c r="K26" s="5" t="n">
        <x:v>10.5</x:v>
      </x:c>
      <x:c r="L26" s="5" t="n">
        <x:v>7.5</x:v>
      </x:c>
      <x:c r="M26" t="str">
        <x:v>2026-01</x:v>
      </x:c>
    </x:row>
    <x:row r="27">
      <x:c r="A27" t="str">
        <x:v>ORD-1026</x:v>
      </x:c>
      <x:c r="B27" s="3" t="n">
        <x:v>46030</x:v>
      </x:c>
      <x:c r="C27" t="str">
        <x:v>French Press</x:v>
      </x:c>
      <x:c r="D27" t="str">
        <x:v>Equipment</x:v>
      </x:c>
      <x:c r="E27" t="str">
        <x:v>Online</x:v>
      </x:c>
      <x:c r="F27" t="str">
        <x:v>Izmir</x:v>
      </x:c>
      <x:c r="G27" s="4" t="n">
        <x:v>6</x:v>
      </x:c>
      <x:c r="H27" s="5" t="n">
        <x:v>32</x:v>
      </x:c>
      <x:c r="I27" s="6" t="n">
        <x:v>0</x:v>
      </x:c>
      <x:c r="J27" s="5" t="n">
        <x:v>192</x:v>
      </x:c>
      <x:c r="K27" s="5" t="n">
        <x:v>108</x:v>
      </x:c>
      <x:c r="L27" s="5" t="n">
        <x:v>84</x:v>
      </x:c>
      <x:c r="M27" t="str">
        <x:v>2026-01</x:v>
      </x:c>
    </x:row>
    <x:row r="28">
      <x:c r="A28" t="str">
        <x:v>ORD-1027</x:v>
      </x:c>
      <x:c r="B28" s="3" t="n">
        <x:v>46037</x:v>
      </x:c>
      <x:c r="C28" t="str">
        <x:v>Espresso Beans 1kg</x:v>
      </x:c>
      <x:c r="D28" t="str">
        <x:v>Coffee</x:v>
      </x:c>
      <x:c r="E28" t="str">
        <x:v>Wholesale</x:v>
      </x:c>
      <x:c r="F28" t="str">
        <x:v>Istanbul</x:v>
      </x:c>
      <x:c r="G28" s="4" t="n">
        <x:v>3</x:v>
      </x:c>
      <x:c r="H28" s="5" t="n">
        <x:v>18</x:v>
      </x:c>
      <x:c r="I28" s="6" t="n">
        <x:v>0</x:v>
      </x:c>
      <x:c r="J28" s="5" t="n">
        <x:v>54</x:v>
      </x:c>
      <x:c r="K28" s="5" t="n">
        <x:v>31.5</x:v>
      </x:c>
      <x:c r="L28" s="5" t="n">
        <x:v>22.5</x:v>
      </x:c>
      <x:c r="M28" t="str">
        <x:v>2026-01</x:v>
      </x:c>
    </x:row>
    <x:row r="29">
      <x:c r="A29" t="str">
        <x:v>ORD-1028</x:v>
      </x:c>
      <x:c r="B29" s="3" t="n">
        <x:v>46044</x:v>
      </x:c>
      <x:c r="C29" t="str">
        <x:v>French Press</x:v>
      </x:c>
      <x:c r="D29" t="str">
        <x:v>Equipment</x:v>
      </x:c>
      <x:c r="E29" t="str">
        <x:v>Retail Store</x:v>
      </x:c>
      <x:c r="F29" t="str">
        <x:v>Izmir</x:v>
      </x:c>
      <x:c r="G29" s="4" t="n">
        <x:v>8</x:v>
      </x:c>
      <x:c r="H29" s="5" t="n">
        <x:v>32</x:v>
      </x:c>
      <x:c r="I29" s="6" t="n">
        <x:v>0</x:v>
      </x:c>
      <x:c r="J29" s="5" t="n">
        <x:v>256</x:v>
      </x:c>
      <x:c r="K29" s="5" t="n">
        <x:v>144</x:v>
      </x:c>
      <x:c r="L29" s="5" t="n">
        <x:v>112</x:v>
      </x:c>
      <x:c r="M29" t="str">
        <x:v>2026-01</x:v>
      </x:c>
    </x:row>
    <x:row r="30">
      <x:c r="A30" t="str">
        <x:v>ORD-1029</x:v>
      </x:c>
      <x:c r="B30" s="3" t="n">
        <x:v>46023</x:v>
      </x:c>
      <x:c r="C30" t="str">
        <x:v>Espresso Beans 1kg</x:v>
      </x:c>
      <x:c r="D30" t="str">
        <x:v>Coffee</x:v>
      </x:c>
      <x:c r="E30" t="str">
        <x:v>Online</x:v>
      </x:c>
      <x:c r="F30" t="str">
        <x:v>Istanbul</x:v>
      </x:c>
      <x:c r="G30" s="4" t="n">
        <x:v>5</x:v>
      </x:c>
      <x:c r="H30" s="5" t="n">
        <x:v>18</x:v>
      </x:c>
      <x:c r="I30" s="6" t="n">
        <x:v>0.1</x:v>
      </x:c>
      <x:c r="J30" s="5" t="n">
        <x:v>81</x:v>
      </x:c>
      <x:c r="K30" s="5" t="n">
        <x:v>52.5</x:v>
      </x:c>
      <x:c r="L30" s="5" t="n">
        <x:v>28.5</x:v>
      </x:c>
      <x:c r="M30" t="str">
        <x:v>2026-01</x:v>
      </x:c>
    </x:row>
    <x:row r="31">
      <x:c r="A31" t="str">
        <x:v>ORD-1030</x:v>
      </x:c>
      <x:c r="B31" s="3" t="n">
        <x:v>46030</x:v>
      </x:c>
      <x:c r="C31" t="str">
        <x:v>French Press</x:v>
      </x:c>
      <x:c r="D31" t="str">
        <x:v>Equipment</x:v>
      </x:c>
      <x:c r="E31" t="str">
        <x:v>Wholesale</x:v>
      </x:c>
      <x:c r="F31" t="str">
        <x:v>Izmir</x:v>
      </x:c>
      <x:c r="G31" s="4" t="n">
        <x:v>2</x:v>
      </x:c>
      <x:c r="H31" s="5" t="n">
        <x:v>32</x:v>
      </x:c>
      <x:c r="I31" s="6" t="n">
        <x:v>0</x:v>
      </x:c>
      <x:c r="J31" s="5" t="n">
        <x:v>64</x:v>
      </x:c>
      <x:c r="K31" s="5" t="n">
        <x:v>36</x:v>
      </x:c>
      <x:c r="L31" s="5" t="n">
        <x:v>28</x:v>
      </x:c>
      <x:c r="M31" t="str">
        <x:v>2026-01</x:v>
      </x:c>
    </x:row>
    <x:row r="32">
      <x:c r="A32" t="str">
        <x:v>ORD-1031</x:v>
      </x:c>
      <x:c r="B32" s="3" t="n">
        <x:v>46037</x:v>
      </x:c>
      <x:c r="C32" t="str">
        <x:v>Espresso Beans 1kg</x:v>
      </x:c>
      <x:c r="D32" t="str">
        <x:v>Coffee</x:v>
      </x:c>
      <x:c r="E32" t="str">
        <x:v>Retail Store</x:v>
      </x:c>
      <x:c r="F32" t="str">
        <x:v>Istanbul</x:v>
      </x:c>
      <x:c r="G32" s="4" t="n">
        <x:v>7</x:v>
      </x:c>
      <x:c r="H32" s="5" t="n">
        <x:v>18</x:v>
      </x:c>
      <x:c r="I32" s="6" t="n">
        <x:v>0</x:v>
      </x:c>
      <x:c r="J32" s="5" t="n">
        <x:v>126</x:v>
      </x:c>
      <x:c r="K32" s="5" t="n">
        <x:v>73.5</x:v>
      </x:c>
      <x:c r="L32" s="5" t="n">
        <x:v>52.5</x:v>
      </x:c>
      <x:c r="M32" t="str">
        <x:v>2026-01</x:v>
      </x:c>
    </x:row>
    <x:row r="33">
      <x:c r="A33" t="str">
        <x:v>ORD-1032</x:v>
      </x:c>
      <x:c r="B33" s="3" t="n">
        <x:v>46044</x:v>
      </x:c>
      <x:c r="C33" t="str">
        <x:v>French Press</x:v>
      </x:c>
      <x:c r="D33" t="str">
        <x:v>Equipment</x:v>
      </x:c>
      <x:c r="E33" t="str">
        <x:v>Online</x:v>
      </x:c>
      <x:c r="F33" t="str">
        <x:v>Izmir</x:v>
      </x:c>
      <x:c r="G33" s="4" t="n">
        <x:v>4</x:v>
      </x:c>
      <x:c r="H33" s="5" t="n">
        <x:v>32</x:v>
      </x:c>
      <x:c r="I33" s="6" t="n">
        <x:v>0</x:v>
      </x:c>
      <x:c r="J33" s="5" t="n">
        <x:v>128</x:v>
      </x:c>
      <x:c r="K33" s="5" t="n">
        <x:v>72</x:v>
      </x:c>
      <x:c r="L33" s="5" t="n">
        <x:v>56</x:v>
      </x:c>
      <x:c r="M33" t="str">
        <x:v>2026-01</x:v>
      </x:c>
    </x:row>
    <x:row r="34">
      <x:c r="A34" t="str">
        <x:v>ORD-1033</x:v>
      </x:c>
      <x:c r="B34" s="3" t="n">
        <x:v>46023</x:v>
      </x:c>
      <x:c r="C34" t="str">
        <x:v>Espresso Beans 1kg</x:v>
      </x:c>
      <x:c r="D34" t="str">
        <x:v>Coffee</x:v>
      </x:c>
      <x:c r="E34" t="str">
        <x:v>Wholesale</x:v>
      </x:c>
      <x:c r="F34" t="str">
        <x:v>Istanbul</x:v>
      </x:c>
      <x:c r="G34" s="4" t="n">
        <x:v>1</x:v>
      </x:c>
      <x:c r="H34" s="5" t="n">
        <x:v>18</x:v>
      </x:c>
      <x:c r="I34" s="6" t="n">
        <x:v>0</x:v>
      </x:c>
      <x:c r="J34" s="5" t="n">
        <x:v>18</x:v>
      </x:c>
      <x:c r="K34" s="5" t="n">
        <x:v>10.5</x:v>
      </x:c>
      <x:c r="L34" s="5" t="n">
        <x:v>7.5</x:v>
      </x:c>
      <x:c r="M34" t="str">
        <x:v>2026-01</x:v>
      </x:c>
    </x:row>
    <x:row r="35">
      <x:c r="A35" t="str">
        <x:v>ORD-1034</x:v>
      </x:c>
      <x:c r="B35" s="3" t="n">
        <x:v>46030</x:v>
      </x:c>
      <x:c r="C35" t="str">
        <x:v>French Press</x:v>
      </x:c>
      <x:c r="D35" t="str">
        <x:v>Equipment</x:v>
      </x:c>
      <x:c r="E35" t="str">
        <x:v>Retail Store</x:v>
      </x:c>
      <x:c r="F35" t="str">
        <x:v>Izmir</x:v>
      </x:c>
      <x:c r="G35" s="4" t="n">
        <x:v>6</x:v>
      </x:c>
      <x:c r="H35" s="5" t="n">
        <x:v>32</x:v>
      </x:c>
      <x:c r="I35" s="6" t="n">
        <x:v>0.15</x:v>
      </x:c>
      <x:c r="J35" s="5" t="n">
        <x:v>163.2</x:v>
      </x:c>
      <x:c r="K35" s="5" t="n">
        <x:v>108</x:v>
      </x:c>
      <x:c r="L35" s="5" t="n">
        <x:v>55.2</x:v>
      </x:c>
      <x:c r="M35" t="str">
        <x:v>2026-01</x:v>
      </x:c>
    </x:row>
    <x:row r="36">
      <x:c r="A36" t="str">
        <x:v>ORD-1035</x:v>
      </x:c>
      <x:c r="B36" s="3" t="n">
        <x:v>46037</x:v>
      </x:c>
      <x:c r="C36" t="str">
        <x:v>Espresso Beans 1kg</x:v>
      </x:c>
      <x:c r="D36" t="str">
        <x:v>Coffee</x:v>
      </x:c>
      <x:c r="E36" t="str">
        <x:v>Online</x:v>
      </x:c>
      <x:c r="F36" t="str">
        <x:v>Istanbul</x:v>
      </x:c>
      <x:c r="G36" s="4" t="n">
        <x:v>3</x:v>
      </x:c>
      <x:c r="H36" s="5" t="n">
        <x:v>18</x:v>
      </x:c>
      <x:c r="I36" s="6" t="n">
        <x:v>0</x:v>
      </x:c>
      <x:c r="J36" s="5" t="n">
        <x:v>54</x:v>
      </x:c>
      <x:c r="K36" s="5" t="n">
        <x:v>31.5</x:v>
      </x:c>
      <x:c r="L36" s="5" t="n">
        <x:v>22.5</x:v>
      </x:c>
      <x:c r="M36" t="str">
        <x:v>2026-01</x:v>
      </x:c>
    </x:row>
    <x:row r="37">
      <x:c r="A37" t="str">
        <x:v>ORD-1036</x:v>
      </x:c>
      <x:c r="B37" s="3" t="n">
        <x:v>46044</x:v>
      </x:c>
      <x:c r="C37" t="str">
        <x:v>French Press</x:v>
      </x:c>
      <x:c r="D37" t="str">
        <x:v>Equipment</x:v>
      </x:c>
      <x:c r="E37" t="str">
        <x:v>Wholesale</x:v>
      </x:c>
      <x:c r="F37" t="str">
        <x:v>Izmir</x:v>
      </x:c>
      <x:c r="G37" s="4" t="n">
        <x:v>8</x:v>
      </x:c>
      <x:c r="H37" s="5" t="n">
        <x:v>32</x:v>
      </x:c>
      <x:c r="I37" s="6" t="n">
        <x:v>0.1</x:v>
      </x:c>
      <x:c r="J37" s="5" t="n">
        <x:v>230.4</x:v>
      </x:c>
      <x:c r="K37" s="5" t="n">
        <x:v>144</x:v>
      </x:c>
      <x:c r="L37" s="5" t="n">
        <x:v>86.4</x:v>
      </x:c>
      <x:c r="M37" t="str">
        <x:v>2026-01</x:v>
      </x:c>
    </x:row>
    <x:row r="38">
      <x:c r="A38" t="str">
        <x:v>ORD-1037</x:v>
      </x:c>
      <x:c r="B38" s="3" t="n">
        <x:v>46023</x:v>
      </x:c>
      <x:c r="C38" t="str">
        <x:v>Espresso Beans 1kg</x:v>
      </x:c>
      <x:c r="D38" t="str">
        <x:v>Coffee</x:v>
      </x:c>
      <x:c r="E38" t="str">
        <x:v>Retail Store</x:v>
      </x:c>
      <x:c r="F38" t="str">
        <x:v>Istanbul</x:v>
      </x:c>
      <x:c r="G38" s="4" t="n">
        <x:v>5</x:v>
      </x:c>
      <x:c r="H38" s="5" t="n">
        <x:v>18</x:v>
      </x:c>
      <x:c r="I38" s="6" t="n">
        <x:v>0</x:v>
      </x:c>
      <x:c r="J38" s="5" t="n">
        <x:v>90</x:v>
      </x:c>
      <x:c r="K38" s="5" t="n">
        <x:v>52.5</x:v>
      </x:c>
      <x:c r="L38" s="5" t="n">
        <x:v>37.5</x:v>
      </x:c>
      <x:c r="M38" t="str">
        <x:v>2026-01</x:v>
      </x:c>
    </x:row>
    <x:row r="39">
      <x:c r="A39" t="str">
        <x:v>ORD-1038</x:v>
      </x:c>
      <x:c r="B39" s="3" t="n">
        <x:v>46030</x:v>
      </x:c>
      <x:c r="C39" t="str">
        <x:v>French Press</x:v>
      </x:c>
      <x:c r="D39" t="str">
        <x:v>Equipment</x:v>
      </x:c>
      <x:c r="E39" t="str">
        <x:v>Online</x:v>
      </x:c>
      <x:c r="F39" t="str">
        <x:v>Izmir</x:v>
      </x:c>
      <x:c r="G39" s="4" t="n">
        <x:v>2</x:v>
      </x:c>
      <x:c r="H39" s="5" t="n">
        <x:v>32</x:v>
      </x:c>
      <x:c r="I39" s="6" t="n">
        <x:v>0</x:v>
      </x:c>
      <x:c r="J39" s="5" t="n">
        <x:v>64</x:v>
      </x:c>
      <x:c r="K39" s="5" t="n">
        <x:v>36</x:v>
      </x:c>
      <x:c r="L39" s="5" t="n">
        <x:v>28</x:v>
      </x:c>
      <x:c r="M39" t="str">
        <x:v>2026-01</x:v>
      </x:c>
    </x:row>
    <x:row r="40">
      <x:c r="A40" t="str">
        <x:v>ORD-1039</x:v>
      </x:c>
      <x:c r="B40" s="3" t="n">
        <x:v>46037</x:v>
      </x:c>
      <x:c r="C40" t="str">
        <x:v>Espresso Beans 1kg</x:v>
      </x:c>
      <x:c r="D40" t="str">
        <x:v>Coffee</x:v>
      </x:c>
      <x:c r="E40" t="str">
        <x:v>Wholesale</x:v>
      </x:c>
      <x:c r="F40" t="str">
        <x:v>Istanbul</x:v>
      </x:c>
      <x:c r="G40" s="4" t="n">
        <x:v>7</x:v>
      </x:c>
      <x:c r="H40" s="5" t="n">
        <x:v>18</x:v>
      </x:c>
      <x:c r="I40" s="6" t="n">
        <x:v>0</x:v>
      </x:c>
      <x:c r="J40" s="5" t="n">
        <x:v>126</x:v>
      </x:c>
      <x:c r="K40" s="5" t="n">
        <x:v>73.5</x:v>
      </x:c>
      <x:c r="L40" s="5" t="n">
        <x:v>52.5</x:v>
      </x:c>
      <x:c r="M40" t="str">
        <x:v>2026-01</x:v>
      </x:c>
    </x:row>
    <x:row r="41">
      <x:c r="A41" t="str">
        <x:v>ORD-1040</x:v>
      </x:c>
      <x:c r="B41" s="3" t="n">
        <x:v>46044</x:v>
      </x:c>
      <x:c r="C41" t="str">
        <x:v>French Press</x:v>
      </x:c>
      <x:c r="D41" t="str">
        <x:v>Equipment</x:v>
      </x:c>
      <x:c r="E41" t="str">
        <x:v>Retail Store</x:v>
      </x:c>
      <x:c r="F41" t="str">
        <x:v>Izmir</x:v>
      </x:c>
      <x:c r="G41" s="4" t="n">
        <x:v>4</x:v>
      </x:c>
      <x:c r="H41" s="5" t="n">
        <x:v>32</x:v>
      </x:c>
      <x:c r="I41" s="6" t="n">
        <x:v>0</x:v>
      </x:c>
      <x:c r="J41" s="5" t="n">
        <x:v>128</x:v>
      </x:c>
      <x:c r="K41" s="5" t="n">
        <x:v>72</x:v>
      </x:c>
      <x:c r="L41" s="5" t="n">
        <x:v>56</x:v>
      </x:c>
      <x:c r="M41" t="str">
        <x:v>2026-01</x:v>
      </x:c>
    </x:row>
    <x:row r="42">
      <x:c r="A42" t="str">
        <x:v>ORD-1041</x:v>
      </x:c>
      <x:c r="B42" s="3" t="n">
        <x:v>46023</x:v>
      </x:c>
      <x:c r="C42" t="str">
        <x:v>Espresso Beans 1kg</x:v>
      </x:c>
      <x:c r="D42" t="str">
        <x:v>Coffee</x:v>
      </x:c>
      <x:c r="E42" t="str">
        <x:v>Online</x:v>
      </x:c>
      <x:c r="F42" t="str">
        <x:v>Istanbul</x:v>
      </x:c>
      <x:c r="G42" s="4" t="n">
        <x:v>1</x:v>
      </x:c>
      <x:c r="H42" s="5" t="n">
        <x:v>18</x:v>
      </x:c>
      <x:c r="I42" s="6" t="n">
        <x:v>0</x:v>
      </x:c>
      <x:c r="J42" s="5" t="n">
        <x:v>18</x:v>
      </x:c>
      <x:c r="K42" s="5" t="n">
        <x:v>10.5</x:v>
      </x:c>
      <x:c r="L42" s="5" t="n">
        <x:v>7.5</x:v>
      </x:c>
      <x:c r="M42" t="str">
        <x:v>2026-01</x:v>
      </x:c>
    </x:row>
    <x:row r="43">
      <x:c r="A43" t="str">
        <x:v>ORD-1042</x:v>
      </x:c>
      <x:c r="B43" s="3" t="n">
        <x:v>46030</x:v>
      </x:c>
      <x:c r="C43" t="str">
        <x:v>French Press</x:v>
      </x:c>
      <x:c r="D43" t="str">
        <x:v>Equipment</x:v>
      </x:c>
      <x:c r="E43" t="str">
        <x:v>Wholesale</x:v>
      </x:c>
      <x:c r="F43" t="str">
        <x:v>Izmir</x:v>
      </x:c>
      <x:c r="G43" s="4" t="n">
        <x:v>6</x:v>
      </x:c>
      <x:c r="H43" s="5" t="n">
        <x:v>32</x:v>
      </x:c>
      <x:c r="I43" s="6" t="n">
        <x:v>0</x:v>
      </x:c>
      <x:c r="J43" s="5" t="n">
        <x:v>192</x:v>
      </x:c>
      <x:c r="K43" s="5" t="n">
        <x:v>108</x:v>
      </x:c>
      <x:c r="L43" s="5" t="n">
        <x:v>84</x:v>
      </x:c>
      <x:c r="M43" t="str">
        <x:v>2026-01</x:v>
      </x:c>
    </x:row>
    <x:row r="44">
      <x:c r="A44" t="str">
        <x:v>ORD-1043</x:v>
      </x:c>
      <x:c r="B44" s="3" t="n">
        <x:v>46037</x:v>
      </x:c>
      <x:c r="C44" t="str">
        <x:v>Espresso Beans 1kg</x:v>
      </x:c>
      <x:c r="D44" t="str">
        <x:v>Coffee</x:v>
      </x:c>
      <x:c r="E44" t="str">
        <x:v>Retail Store</x:v>
      </x:c>
      <x:c r="F44" t="str">
        <x:v>Istanbul</x:v>
      </x:c>
      <x:c r="G44" s="4" t="n">
        <x:v>3</x:v>
      </x:c>
      <x:c r="H44" s="5" t="n">
        <x:v>18</x:v>
      </x:c>
      <x:c r="I44" s="6" t="n">
        <x:v>0.1</x:v>
      </x:c>
      <x:c r="J44" s="5" t="n">
        <x:v>48.6</x:v>
      </x:c>
      <x:c r="K44" s="5" t="n">
        <x:v>31.5</x:v>
      </x:c>
      <x:c r="L44" s="5" t="n">
        <x:v>17.1</x:v>
      </x:c>
      <x:c r="M44" t="str">
        <x:v>2026-01</x:v>
      </x:c>
    </x:row>
    <x:row r="45">
      <x:c r="A45" t="str">
        <x:v>ORD-1044</x:v>
      </x:c>
      <x:c r="B45" s="3" t="n">
        <x:v>46044</x:v>
      </x:c>
      <x:c r="C45" t="str">
        <x:v>French Press</x:v>
      </x:c>
      <x:c r="D45" t="str">
        <x:v>Equipment</x:v>
      </x:c>
      <x:c r="E45" t="str">
        <x:v>Online</x:v>
      </x:c>
      <x:c r="F45" t="str">
        <x:v>Izmir</x:v>
      </x:c>
      <x:c r="G45" s="4" t="n">
        <x:v>8</x:v>
      </x:c>
      <x:c r="H45" s="5" t="n">
        <x:v>32</x:v>
      </x:c>
      <x:c r="I45" s="6" t="n">
        <x:v>0</x:v>
      </x:c>
      <x:c r="J45" s="5" t="n">
        <x:v>256</x:v>
      </x:c>
      <x:c r="K45" s="5" t="n">
        <x:v>144</x:v>
      </x:c>
      <x:c r="L45" s="5" t="n">
        <x:v>112</x:v>
      </x:c>
      <x:c r="M45" t="str">
        <x:v>2026-01</x:v>
      </x:c>
    </x:row>
    <x:row r="46">
      <x:c r="A46" t="str">
        <x:v>ORD-1045</x:v>
      </x:c>
      <x:c r="B46" s="3" t="n">
        <x:v>46023</x:v>
      </x:c>
      <x:c r="C46" t="str">
        <x:v>Espresso Beans 1kg</x:v>
      </x:c>
      <x:c r="D46" t="str">
        <x:v>Coffee</x:v>
      </x:c>
      <x:c r="E46" t="str">
        <x:v>Wholesale</x:v>
      </x:c>
      <x:c r="F46" t="str">
        <x:v>Istanbul</x:v>
      </x:c>
      <x:c r="G46" s="4" t="n">
        <x:v>5</x:v>
      </x:c>
      <x:c r="H46" s="5" t="n">
        <x:v>18</x:v>
      </x:c>
      <x:c r="I46" s="6" t="n">
        <x:v>0.15</x:v>
      </x:c>
      <x:c r="J46" s="5" t="n">
        <x:v>76.5</x:v>
      </x:c>
      <x:c r="K46" s="5" t="n">
        <x:v>52.5</x:v>
      </x:c>
      <x:c r="L46" s="5" t="n">
        <x:v>24</x:v>
      </x:c>
      <x:c r="M46" t="str">
        <x:v>2026-01</x:v>
      </x:c>
    </x:row>
    <x:row r="47">
      <x:c r="A47" t="str">
        <x:v>ORD-1046</x:v>
      </x:c>
      <x:c r="B47" s="3" t="n">
        <x:v>46030</x:v>
      </x:c>
      <x:c r="C47" t="str">
        <x:v>French Press</x:v>
      </x:c>
      <x:c r="D47" t="str">
        <x:v>Equipment</x:v>
      </x:c>
      <x:c r="E47" t="str">
        <x:v>Retail Store</x:v>
      </x:c>
      <x:c r="F47" t="str">
        <x:v>Izmir</x:v>
      </x:c>
      <x:c r="G47" s="4" t="n">
        <x:v>2</x:v>
      </x:c>
      <x:c r="H47" s="5" t="n">
        <x:v>32</x:v>
      </x:c>
      <x:c r="I47" s="6" t="n">
        <x:v>0</x:v>
      </x:c>
      <x:c r="J47" s="5" t="n">
        <x:v>64</x:v>
      </x:c>
      <x:c r="K47" s="5" t="n">
        <x:v>36</x:v>
      </x:c>
      <x:c r="L47" s="5" t="n">
        <x:v>28</x:v>
      </x:c>
      <x:c r="M47" t="str">
        <x:v>2026-01</x:v>
      </x:c>
    </x:row>
    <x:row r="48">
      <x:c r="A48" t="str">
        <x:v>ORD-1047</x:v>
      </x:c>
      <x:c r="B48" s="3" t="n">
        <x:v>46037</x:v>
      </x:c>
      <x:c r="C48" t="str">
        <x:v>Espresso Beans 1kg</x:v>
      </x:c>
      <x:c r="D48" t="str">
        <x:v>Coffee</x:v>
      </x:c>
      <x:c r="E48" t="str">
        <x:v>Online</x:v>
      </x:c>
      <x:c r="F48" t="str">
        <x:v>Istanbul</x:v>
      </x:c>
      <x:c r="G48" s="4" t="n">
        <x:v>7</x:v>
      </x:c>
      <x:c r="H48" s="5" t="n">
        <x:v>18</x:v>
      </x:c>
      <x:c r="I48" s="6" t="n">
        <x:v>0</x:v>
      </x:c>
      <x:c r="J48" s="5" t="n">
        <x:v>126</x:v>
      </x:c>
      <x:c r="K48" s="5" t="n">
        <x:v>73.5</x:v>
      </x:c>
      <x:c r="L48" s="5" t="n">
        <x:v>52.5</x:v>
      </x:c>
      <x:c r="M48" t="str">
        <x:v>2026-01</x:v>
      </x:c>
    </x:row>
    <x:row r="49">
      <x:c r="A49" t="str">
        <x:v>ORD-1048</x:v>
      </x:c>
      <x:c r="B49" s="3" t="n">
        <x:v>46044</x:v>
      </x:c>
      <x:c r="C49" t="str">
        <x:v>French Press</x:v>
      </x:c>
      <x:c r="D49" t="str">
        <x:v>Equipment</x:v>
      </x:c>
      <x:c r="E49" t="str">
        <x:v>Wholesale</x:v>
      </x:c>
      <x:c r="F49" t="str">
        <x:v>Izmir</x:v>
      </x:c>
      <x:c r="G49" s="4" t="n">
        <x:v>4</x:v>
      </x:c>
      <x:c r="H49" s="5" t="n">
        <x:v>32</x:v>
      </x:c>
      <x:c r="I49" s="6" t="n">
        <x:v>0</x:v>
      </x:c>
      <x:c r="J49" s="5" t="n">
        <x:v>128</x:v>
      </x:c>
      <x:c r="K49" s="5" t="n">
        <x:v>72</x:v>
      </x:c>
      <x:c r="L49" s="5" t="n">
        <x:v>56</x:v>
      </x:c>
      <x:c r="M49" t="str">
        <x:v>2026-01</x:v>
      </x:c>
    </x:row>
    <x:row r="50">
      <x:c r="A50" t="str">
        <x:v>ORD-1049</x:v>
      </x:c>
      <x:c r="B50" s="3" t="n">
        <x:v>46057</x:v>
      </x:c>
      <x:c r="C50" t="str">
        <x:v>Ceramic Mug</x:v>
      </x:c>
      <x:c r="D50" t="str">
        <x:v>Accessories</x:v>
      </x:c>
      <x:c r="E50" t="str">
        <x:v>Online</x:v>
      </x:c>
      <x:c r="F50" t="str">
        <x:v>Ankara</x:v>
      </x:c>
      <x:c r="G50" s="4" t="n">
        <x:v>2</x:v>
      </x:c>
      <x:c r="H50" s="5" t="n">
        <x:v>12.1</x:v>
      </x:c>
      <x:c r="I50" s="6" t="n">
        <x:v>0.15</x:v>
      </x:c>
      <x:c r="J50" s="5" t="n">
        <x:v>20.57</x:v>
      </x:c>
      <x:c r="K50" s="5" t="n">
        <x:v>8.8</x:v>
      </x:c>
      <x:c r="L50" s="5" t="n">
        <x:v>11.77</x:v>
      </x:c>
      <x:c r="M50" t="str">
        <x:v>2026-02</x:v>
      </x:c>
    </x:row>
    <x:row r="51">
      <x:c r="A51" t="str">
        <x:v>ORD-1050</x:v>
      </x:c>
      <x:c r="B51" s="3" t="n">
        <x:v>46064</x:v>
      </x:c>
      <x:c r="C51" t="str">
        <x:v>Paper Filters 100pk</x:v>
      </x:c>
      <x:c r="D51" t="str">
        <x:v>Accessories</x:v>
      </x:c>
      <x:c r="E51" t="str">
        <x:v>Wholesale</x:v>
      </x:c>
      <x:c r="F51" t="str">
        <x:v>Bursa</x:v>
      </x:c>
      <x:c r="G51" s="4" t="n">
        <x:v>7</x:v>
      </x:c>
      <x:c r="H51" s="5" t="n">
        <x:v>8.06</x:v>
      </x:c>
      <x:c r="I51" s="6" t="n">
        <x:v>0</x:v>
      </x:c>
      <x:c r="J51" s="5" t="n">
        <x:v>56.42</x:v>
      </x:c>
      <x:c r="K51" s="5" t="n">
        <x:v>18.2</x:v>
      </x:c>
      <x:c r="L51" s="5" t="n">
        <x:v>38.22</x:v>
      </x:c>
      <x:c r="M51" t="str">
        <x:v>2026-02</x:v>
      </x:c>
    </x:row>
    <x:row r="52">
      <x:c r="A52" t="str">
        <x:v>ORD-1051</x:v>
      </x:c>
      <x:c r="B52" s="3" t="n">
        <x:v>46071</x:v>
      </x:c>
      <x:c r="C52" t="str">
        <x:v>Ceramic Mug</x:v>
      </x:c>
      <x:c r="D52" t="str">
        <x:v>Accessories</x:v>
      </x:c>
      <x:c r="E52" t="str">
        <x:v>Retail Store</x:v>
      </x:c>
      <x:c r="F52" t="str">
        <x:v>Ankara</x:v>
      </x:c>
      <x:c r="G52" s="4" t="n">
        <x:v>4</x:v>
      </x:c>
      <x:c r="H52" s="5" t="n">
        <x:v>12.1</x:v>
      </x:c>
      <x:c r="I52" s="6" t="n">
        <x:v>0</x:v>
      </x:c>
      <x:c r="J52" s="5" t="n">
        <x:v>48.4</x:v>
      </x:c>
      <x:c r="K52" s="5" t="n">
        <x:v>17.6</x:v>
      </x:c>
      <x:c r="L52" s="5" t="n">
        <x:v>30.8</x:v>
      </x:c>
      <x:c r="M52" t="str">
        <x:v>2026-02</x:v>
      </x:c>
    </x:row>
    <x:row r="53">
      <x:c r="A53" t="str">
        <x:v>ORD-1052</x:v>
      </x:c>
      <x:c r="B53" s="3" t="n">
        <x:v>46078</x:v>
      </x:c>
      <x:c r="C53" t="str">
        <x:v>Paper Filters 100pk</x:v>
      </x:c>
      <x:c r="D53" t="str">
        <x:v>Accessories</x:v>
      </x:c>
      <x:c r="E53" t="str">
        <x:v>Online</x:v>
      </x:c>
      <x:c r="F53" t="str">
        <x:v>Bursa</x:v>
      </x:c>
      <x:c r="G53" s="4" t="n">
        <x:v>1</x:v>
      </x:c>
      <x:c r="H53" s="5" t="n">
        <x:v>8.06</x:v>
      </x:c>
      <x:c r="I53" s="6" t="n">
        <x:v>0</x:v>
      </x:c>
      <x:c r="J53" s="5" t="n">
        <x:v>8.06</x:v>
      </x:c>
      <x:c r="K53" s="5" t="n">
        <x:v>2.6</x:v>
      </x:c>
      <x:c r="L53" s="5" t="n">
        <x:v>5.46</x:v>
      </x:c>
      <x:c r="M53" t="str">
        <x:v>2026-02</x:v>
      </x:c>
    </x:row>
    <x:row r="54">
      <x:c r="A54" t="str">
        <x:v>ORD-1053</x:v>
      </x:c>
      <x:c r="B54" s="3" t="n">
        <x:v>46057</x:v>
      </x:c>
      <x:c r="C54" t="str">
        <x:v>Ceramic Mug</x:v>
      </x:c>
      <x:c r="D54" t="str">
        <x:v>Accessories</x:v>
      </x:c>
      <x:c r="E54" t="str">
        <x:v>Wholesale</x:v>
      </x:c>
      <x:c r="F54" t="str">
        <x:v>Ankara</x:v>
      </x:c>
      <x:c r="G54" s="4" t="n">
        <x:v>6</x:v>
      </x:c>
      <x:c r="H54" s="5" t="n">
        <x:v>12.1</x:v>
      </x:c>
      <x:c r="I54" s="6" t="n">
        <x:v>0</x:v>
      </x:c>
      <x:c r="J54" s="5" t="n">
        <x:v>72.6</x:v>
      </x:c>
      <x:c r="K54" s="5" t="n">
        <x:v>26.4</x:v>
      </x:c>
      <x:c r="L54" s="5" t="n">
        <x:v>46.2</x:v>
      </x:c>
      <x:c r="M54" t="str">
        <x:v>2026-02</x:v>
      </x:c>
    </x:row>
    <x:row r="55">
      <x:c r="A55" t="str">
        <x:v>ORD-1054</x:v>
      </x:c>
      <x:c r="B55" s="3" t="n">
        <x:v>46064</x:v>
      </x:c>
      <x:c r="C55" t="str">
        <x:v>Paper Filters 100pk</x:v>
      </x:c>
      <x:c r="D55" t="str">
        <x:v>Accessories</x:v>
      </x:c>
      <x:c r="E55" t="str">
        <x:v>Retail Store</x:v>
      </x:c>
      <x:c r="F55" t="str">
        <x:v>Bursa</x:v>
      </x:c>
      <x:c r="G55" s="4" t="n">
        <x:v>3</x:v>
      </x:c>
      <x:c r="H55" s="5" t="n">
        <x:v>8.06</x:v>
      </x:c>
      <x:c r="I55" s="6" t="n">
        <x:v>0</x:v>
      </x:c>
      <x:c r="J55" s="5" t="n">
        <x:v>24.18</x:v>
      </x:c>
      <x:c r="K55" s="5" t="n">
        <x:v>7.8</x:v>
      </x:c>
      <x:c r="L55" s="5" t="n">
        <x:v>16.38</x:v>
      </x:c>
      <x:c r="M55" t="str">
        <x:v>2026-02</x:v>
      </x:c>
    </x:row>
    <x:row r="56">
      <x:c r="A56" t="str">
        <x:v>ORD-1055</x:v>
      </x:c>
      <x:c r="B56" s="3" t="n">
        <x:v>46071</x:v>
      </x:c>
      <x:c r="C56" t="str">
        <x:v>Ceramic Mug</x:v>
      </x:c>
      <x:c r="D56" t="str">
        <x:v>Accessories</x:v>
      </x:c>
      <x:c r="E56" t="str">
        <x:v>Online</x:v>
      </x:c>
      <x:c r="F56" t="str">
        <x:v>Ankara</x:v>
      </x:c>
      <x:c r="G56" s="4" t="n">
        <x:v>8</x:v>
      </x:c>
      <x:c r="H56" s="5" t="n">
        <x:v>12.1</x:v>
      </x:c>
      <x:c r="I56" s="6" t="n">
        <x:v>0</x:v>
      </x:c>
      <x:c r="J56" s="5" t="n">
        <x:v>96.8</x:v>
      </x:c>
      <x:c r="K56" s="5" t="n">
        <x:v>35.2</x:v>
      </x:c>
      <x:c r="L56" s="5" t="n">
        <x:v>61.6</x:v>
      </x:c>
      <x:c r="M56" t="str">
        <x:v>2026-02</x:v>
      </x:c>
    </x:row>
    <x:row r="57">
      <x:c r="A57" t="str">
        <x:v>ORD-1056</x:v>
      </x:c>
      <x:c r="B57" s="3" t="n">
        <x:v>46078</x:v>
      </x:c>
      <x:c r="C57" t="str">
        <x:v>Paper Filters 100pk</x:v>
      </x:c>
      <x:c r="D57" t="str">
        <x:v>Accessories</x:v>
      </x:c>
      <x:c r="E57" t="str">
        <x:v>Wholesale</x:v>
      </x:c>
      <x:c r="F57" t="str">
        <x:v>Bursa</x:v>
      </x:c>
      <x:c r="G57" s="4" t="n">
        <x:v>5</x:v>
      </x:c>
      <x:c r="H57" s="5" t="n">
        <x:v>8.06</x:v>
      </x:c>
      <x:c r="I57" s="6" t="n">
        <x:v>0.1</x:v>
      </x:c>
      <x:c r="J57" s="5" t="n">
        <x:v>36.27</x:v>
      </x:c>
      <x:c r="K57" s="5" t="n">
        <x:v>13</x:v>
      </x:c>
      <x:c r="L57" s="5" t="n">
        <x:v>23.27</x:v>
      </x:c>
      <x:c r="M57" t="str">
        <x:v>2026-02</x:v>
      </x:c>
    </x:row>
    <x:row r="58">
      <x:c r="A58" t="str">
        <x:v>ORD-1057</x:v>
      </x:c>
      <x:c r="B58" s="3" t="n">
        <x:v>46057</x:v>
      </x:c>
      <x:c r="C58" t="str">
        <x:v>Ceramic Mug</x:v>
      </x:c>
      <x:c r="D58" t="str">
        <x:v>Accessories</x:v>
      </x:c>
      <x:c r="E58" t="str">
        <x:v>Retail Store</x:v>
      </x:c>
      <x:c r="F58" t="str">
        <x:v>Ankara</x:v>
      </x:c>
      <x:c r="G58" s="4" t="n">
        <x:v>2</x:v>
      </x:c>
      <x:c r="H58" s="5" t="n">
        <x:v>12.1</x:v>
      </x:c>
      <x:c r="I58" s="6" t="n">
        <x:v>0</x:v>
      </x:c>
      <x:c r="J58" s="5" t="n">
        <x:v>24.2</x:v>
      </x:c>
      <x:c r="K58" s="5" t="n">
        <x:v>8.8</x:v>
      </x:c>
      <x:c r="L58" s="5" t="n">
        <x:v>15.4</x:v>
      </x:c>
      <x:c r="M58" t="str">
        <x:v>2026-02</x:v>
      </x:c>
    </x:row>
    <x:row r="59">
      <x:c r="A59" t="str">
        <x:v>ORD-1058</x:v>
      </x:c>
      <x:c r="B59" s="3" t="n">
        <x:v>46064</x:v>
      </x:c>
      <x:c r="C59" t="str">
        <x:v>Paper Filters 100pk</x:v>
      </x:c>
      <x:c r="D59" t="str">
        <x:v>Accessories</x:v>
      </x:c>
      <x:c r="E59" t="str">
        <x:v>Online</x:v>
      </x:c>
      <x:c r="F59" t="str">
        <x:v>Bursa</x:v>
      </x:c>
      <x:c r="G59" s="4" t="n">
        <x:v>7</x:v>
      </x:c>
      <x:c r="H59" s="5" t="n">
        <x:v>8.06</x:v>
      </x:c>
      <x:c r="I59" s="6" t="n">
        <x:v>0</x:v>
      </x:c>
      <x:c r="J59" s="5" t="n">
        <x:v>56.42</x:v>
      </x:c>
      <x:c r="K59" s="5" t="n">
        <x:v>18.2</x:v>
      </x:c>
      <x:c r="L59" s="5" t="n">
        <x:v>38.22</x:v>
      </x:c>
      <x:c r="M59" t="str">
        <x:v>2026-02</x:v>
      </x:c>
    </x:row>
    <x:row r="60">
      <x:c r="A60" t="str">
        <x:v>ORD-1059</x:v>
      </x:c>
      <x:c r="B60" s="3" t="n">
        <x:v>46071</x:v>
      </x:c>
      <x:c r="C60" t="str">
        <x:v>Ceramic Mug</x:v>
      </x:c>
      <x:c r="D60" t="str">
        <x:v>Accessories</x:v>
      </x:c>
      <x:c r="E60" t="str">
        <x:v>Wholesale</x:v>
      </x:c>
      <x:c r="F60" t="str">
        <x:v>Ankara</x:v>
      </x:c>
      <x:c r="G60" s="4" t="n">
        <x:v>4</x:v>
      </x:c>
      <x:c r="H60" s="5" t="n">
        <x:v>12.1</x:v>
      </x:c>
      <x:c r="I60" s="6" t="n">
        <x:v>0</x:v>
      </x:c>
      <x:c r="J60" s="5" t="n">
        <x:v>48.4</x:v>
      </x:c>
      <x:c r="K60" s="5" t="n">
        <x:v>17.6</x:v>
      </x:c>
      <x:c r="L60" s="5" t="n">
        <x:v>30.8</x:v>
      </x:c>
      <x:c r="M60" t="str">
        <x:v>2026-02</x:v>
      </x:c>
    </x:row>
    <x:row r="61">
      <x:c r="A61" t="str">
        <x:v>ORD-1060</x:v>
      </x:c>
      <x:c r="B61" s="3" t="n">
        <x:v>46078</x:v>
      </x:c>
      <x:c r="C61" t="str">
        <x:v>Paper Filters 100pk</x:v>
      </x:c>
      <x:c r="D61" t="str">
        <x:v>Accessories</x:v>
      </x:c>
      <x:c r="E61" t="str">
        <x:v>Retail Store</x:v>
      </x:c>
      <x:c r="F61" t="str">
        <x:v>Bursa</x:v>
      </x:c>
      <x:c r="G61" s="4" t="n">
        <x:v>1</x:v>
      </x:c>
      <x:c r="H61" s="5" t="n">
        <x:v>8.06</x:v>
      </x:c>
      <x:c r="I61" s="6" t="n">
        <x:v>0.15</x:v>
      </x:c>
      <x:c r="J61" s="5" t="n">
        <x:v>6.85</x:v>
      </x:c>
      <x:c r="K61" s="5" t="n">
        <x:v>2.6</x:v>
      </x:c>
      <x:c r="L61" s="5" t="n">
        <x:v>4.25</x:v>
      </x:c>
      <x:c r="M61" t="str">
        <x:v>2026-02</x:v>
      </x:c>
    </x:row>
    <x:row r="62">
      <x:c r="A62" t="str">
        <x:v>ORD-1061</x:v>
      </x:c>
      <x:c r="B62" s="3" t="n">
        <x:v>46057</x:v>
      </x:c>
      <x:c r="C62" t="str">
        <x:v>Ceramic Mug</x:v>
      </x:c>
      <x:c r="D62" t="str">
        <x:v>Accessories</x:v>
      </x:c>
      <x:c r="E62" t="str">
        <x:v>Online</x:v>
      </x:c>
      <x:c r="F62" t="str">
        <x:v>Ankara</x:v>
      </x:c>
      <x:c r="G62" s="4" t="n">
        <x:v>6</x:v>
      </x:c>
      <x:c r="H62" s="5" t="n">
        <x:v>12.1</x:v>
      </x:c>
      <x:c r="I62" s="6" t="n">
        <x:v>0</x:v>
      </x:c>
      <x:c r="J62" s="5" t="n">
        <x:v>72.6</x:v>
      </x:c>
      <x:c r="K62" s="5" t="n">
        <x:v>26.4</x:v>
      </x:c>
      <x:c r="L62" s="5" t="n">
        <x:v>46.2</x:v>
      </x:c>
      <x:c r="M62" t="str">
        <x:v>2026-02</x:v>
      </x:c>
    </x:row>
    <x:row r="63">
      <x:c r="A63" t="str">
        <x:v>ORD-1062</x:v>
      </x:c>
      <x:c r="B63" s="3" t="n">
        <x:v>46064</x:v>
      </x:c>
      <x:c r="C63" t="str">
        <x:v>Paper Filters 100pk</x:v>
      </x:c>
      <x:c r="D63" t="str">
        <x:v>Accessories</x:v>
      </x:c>
      <x:c r="E63" t="str">
        <x:v>Wholesale</x:v>
      </x:c>
      <x:c r="F63" t="str">
        <x:v>Bursa</x:v>
      </x:c>
      <x:c r="G63" s="4" t="n">
        <x:v>3</x:v>
      </x:c>
      <x:c r="H63" s="5" t="n">
        <x:v>8.06</x:v>
      </x:c>
      <x:c r="I63" s="6" t="n">
        <x:v>0</x:v>
      </x:c>
      <x:c r="J63" s="5" t="n">
        <x:v>24.18</x:v>
      </x:c>
      <x:c r="K63" s="5" t="n">
        <x:v>7.8</x:v>
      </x:c>
      <x:c r="L63" s="5" t="n">
        <x:v>16.38</x:v>
      </x:c>
      <x:c r="M63" t="str">
        <x:v>2026-02</x:v>
      </x:c>
    </x:row>
    <x:row r="64">
      <x:c r="A64" t="str">
        <x:v>ORD-1063</x:v>
      </x:c>
      <x:c r="B64" s="3" t="n">
        <x:v>46071</x:v>
      </x:c>
      <x:c r="C64" t="str">
        <x:v>Ceramic Mug</x:v>
      </x:c>
      <x:c r="D64" t="str">
        <x:v>Accessories</x:v>
      </x:c>
      <x:c r="E64" t="str">
        <x:v>Retail Store</x:v>
      </x:c>
      <x:c r="F64" t="str">
        <x:v>Ankara</x:v>
      </x:c>
      <x:c r="G64" s="4" t="n">
        <x:v>8</x:v>
      </x:c>
      <x:c r="H64" s="5" t="n">
        <x:v>12.1</x:v>
      </x:c>
      <x:c r="I64" s="6" t="n">
        <x:v>0.1</x:v>
      </x:c>
      <x:c r="J64" s="5" t="n">
        <x:v>87.12</x:v>
      </x:c>
      <x:c r="K64" s="5" t="n">
        <x:v>35.2</x:v>
      </x:c>
      <x:c r="L64" s="5" t="n">
        <x:v>51.92</x:v>
      </x:c>
      <x:c r="M64" t="str">
        <x:v>2026-02</x:v>
      </x:c>
    </x:row>
    <x:row r="65">
      <x:c r="A65" t="str">
        <x:v>ORD-1064</x:v>
      </x:c>
      <x:c r="B65" s="3" t="n">
        <x:v>46078</x:v>
      </x:c>
      <x:c r="C65" t="str">
        <x:v>Paper Filters 100pk</x:v>
      </x:c>
      <x:c r="D65" t="str">
        <x:v>Accessories</x:v>
      </x:c>
      <x:c r="E65" t="str">
        <x:v>Online</x:v>
      </x:c>
      <x:c r="F65" t="str">
        <x:v>Bursa</x:v>
      </x:c>
      <x:c r="G65" s="4" t="n">
        <x:v>5</x:v>
      </x:c>
      <x:c r="H65" s="5" t="n">
        <x:v>8.06</x:v>
      </x:c>
      <x:c r="I65" s="6" t="n">
        <x:v>0</x:v>
      </x:c>
      <x:c r="J65" s="5" t="n">
        <x:v>40.3</x:v>
      </x:c>
      <x:c r="K65" s="5" t="n">
        <x:v>13</x:v>
      </x:c>
      <x:c r="L65" s="5" t="n">
        <x:v>27.3</x:v>
      </x:c>
      <x:c r="M65" t="str">
        <x:v>2026-02</x:v>
      </x:c>
    </x:row>
    <x:row r="66">
      <x:c r="A66" t="str">
        <x:v>ORD-1065</x:v>
      </x:c>
      <x:c r="B66" s="3" t="n">
        <x:v>46057</x:v>
      </x:c>
      <x:c r="C66" t="str">
        <x:v>Ceramic Mug</x:v>
      </x:c>
      <x:c r="D66" t="str">
        <x:v>Accessories</x:v>
      </x:c>
      <x:c r="E66" t="str">
        <x:v>Wholesale</x:v>
      </x:c>
      <x:c r="F66" t="str">
        <x:v>Ankara</x:v>
      </x:c>
      <x:c r="G66" s="4" t="n">
        <x:v>2</x:v>
      </x:c>
      <x:c r="H66" s="5" t="n">
        <x:v>12.1</x:v>
      </x:c>
      <x:c r="I66" s="6" t="n">
        <x:v>0</x:v>
      </x:c>
      <x:c r="J66" s="5" t="n">
        <x:v>24.2</x:v>
      </x:c>
      <x:c r="K66" s="5" t="n">
        <x:v>8.8</x:v>
      </x:c>
      <x:c r="L66" s="5" t="n">
        <x:v>15.4</x:v>
      </x:c>
      <x:c r="M66" t="str">
        <x:v>2026-02</x:v>
      </x:c>
    </x:row>
    <x:row r="67">
      <x:c r="A67" t="str">
        <x:v>ORD-1066</x:v>
      </x:c>
      <x:c r="B67" s="3" t="n">
        <x:v>46064</x:v>
      </x:c>
      <x:c r="C67" t="str">
        <x:v>Paper Filters 100pk</x:v>
      </x:c>
      <x:c r="D67" t="str">
        <x:v>Accessories</x:v>
      </x:c>
      <x:c r="E67" t="str">
        <x:v>Retail Store</x:v>
      </x:c>
      <x:c r="F67" t="str">
        <x:v>Bursa</x:v>
      </x:c>
      <x:c r="G67" s="4" t="n">
        <x:v>7</x:v>
      </x:c>
      <x:c r="H67" s="5" t="n">
        <x:v>8.06</x:v>
      </x:c>
      <x:c r="I67" s="6" t="n">
        <x:v>0</x:v>
      </x:c>
      <x:c r="J67" s="5" t="n">
        <x:v>56.42</x:v>
      </x:c>
      <x:c r="K67" s="5" t="n">
        <x:v>18.2</x:v>
      </x:c>
      <x:c r="L67" s="5" t="n">
        <x:v>38.22</x:v>
      </x:c>
      <x:c r="M67" t="str">
        <x:v>2026-02</x:v>
      </x:c>
    </x:row>
    <x:row r="68">
      <x:c r="A68" t="str">
        <x:v>ORD-1067</x:v>
      </x:c>
      <x:c r="B68" s="3" t="n">
        <x:v>46071</x:v>
      </x:c>
      <x:c r="C68" t="str">
        <x:v>Ceramic Mug</x:v>
      </x:c>
      <x:c r="D68" t="str">
        <x:v>Accessories</x:v>
      </x:c>
      <x:c r="E68" t="str">
        <x:v>Online</x:v>
      </x:c>
      <x:c r="F68" t="str">
        <x:v>Ankara</x:v>
      </x:c>
      <x:c r="G68" s="4" t="n">
        <x:v>4</x:v>
      </x:c>
      <x:c r="H68" s="5" t="n">
        <x:v>12.1</x:v>
      </x:c>
      <x:c r="I68" s="6" t="n">
        <x:v>0</x:v>
      </x:c>
      <x:c r="J68" s="5" t="n">
        <x:v>48.4</x:v>
      </x:c>
      <x:c r="K68" s="5" t="n">
        <x:v>17.6</x:v>
      </x:c>
      <x:c r="L68" s="5" t="n">
        <x:v>30.8</x:v>
      </x:c>
      <x:c r="M68" t="str">
        <x:v>2026-02</x:v>
      </x:c>
    </x:row>
    <x:row r="69">
      <x:c r="A69" t="str">
        <x:v>ORD-1068</x:v>
      </x:c>
      <x:c r="B69" s="3" t="n">
        <x:v>46078</x:v>
      </x:c>
      <x:c r="C69" t="str">
        <x:v>Paper Filters 100pk</x:v>
      </x:c>
      <x:c r="D69" t="str">
        <x:v>Accessories</x:v>
      </x:c>
      <x:c r="E69" t="str">
        <x:v>Wholesale</x:v>
      </x:c>
      <x:c r="F69" t="str">
        <x:v>Bursa</x:v>
      </x:c>
      <x:c r="G69" s="4" t="n">
        <x:v>1</x:v>
      </x:c>
      <x:c r="H69" s="5" t="n">
        <x:v>8.06</x:v>
      </x:c>
      <x:c r="I69" s="6" t="n">
        <x:v>0</x:v>
      </x:c>
      <x:c r="J69" s="5" t="n">
        <x:v>8.06</x:v>
      </x:c>
      <x:c r="K69" s="5" t="n">
        <x:v>2.6</x:v>
      </x:c>
      <x:c r="L69" s="5" t="n">
        <x:v>5.46</x:v>
      </x:c>
      <x:c r="M69" t="str">
        <x:v>2026-02</x:v>
      </x:c>
    </x:row>
    <x:row r="70">
      <x:c r="A70" t="str">
        <x:v>ORD-1069</x:v>
      </x:c>
      <x:c r="B70" s="3" t="n">
        <x:v>46057</x:v>
      </x:c>
      <x:c r="C70" t="str">
        <x:v>Ceramic Mug</x:v>
      </x:c>
      <x:c r="D70" t="str">
        <x:v>Accessories</x:v>
      </x:c>
      <x:c r="E70" t="str">
        <x:v>Retail Store</x:v>
      </x:c>
      <x:c r="F70" t="str">
        <x:v>Ankara</x:v>
      </x:c>
      <x:c r="G70" s="4" t="n">
        <x:v>6</x:v>
      </x:c>
      <x:c r="H70" s="5" t="n">
        <x:v>12.1</x:v>
      </x:c>
      <x:c r="I70" s="6" t="n">
        <x:v>0</x:v>
      </x:c>
      <x:c r="J70" s="5" t="n">
        <x:v>72.6</x:v>
      </x:c>
      <x:c r="K70" s="5" t="n">
        <x:v>26.4</x:v>
      </x:c>
      <x:c r="L70" s="5" t="n">
        <x:v>46.2</x:v>
      </x:c>
      <x:c r="M70" t="str">
        <x:v>2026-02</x:v>
      </x:c>
    </x:row>
    <x:row r="71">
      <x:c r="A71" t="str">
        <x:v>ORD-1070</x:v>
      </x:c>
      <x:c r="B71" s="3" t="n">
        <x:v>46064</x:v>
      </x:c>
      <x:c r="C71" t="str">
        <x:v>Paper Filters 100pk</x:v>
      </x:c>
      <x:c r="D71" t="str">
        <x:v>Accessories</x:v>
      </x:c>
      <x:c r="E71" t="str">
        <x:v>Online</x:v>
      </x:c>
      <x:c r="F71" t="str">
        <x:v>Bursa</x:v>
      </x:c>
      <x:c r="G71" s="4" t="n">
        <x:v>3</x:v>
      </x:c>
      <x:c r="H71" s="5" t="n">
        <x:v>8.06</x:v>
      </x:c>
      <x:c r="I71" s="6" t="n">
        <x:v>0.1</x:v>
      </x:c>
      <x:c r="J71" s="5" t="n">
        <x:v>21.76</x:v>
      </x:c>
      <x:c r="K71" s="5" t="n">
        <x:v>7.8</x:v>
      </x:c>
      <x:c r="L71" s="5" t="n">
        <x:v>13.96</x:v>
      </x:c>
      <x:c r="M71" t="str">
        <x:v>2026-02</x:v>
      </x:c>
    </x:row>
    <x:row r="72">
      <x:c r="A72" t="str">
        <x:v>ORD-1071</x:v>
      </x:c>
      <x:c r="B72" s="3" t="n">
        <x:v>46071</x:v>
      </x:c>
      <x:c r="C72" t="str">
        <x:v>Ceramic Mug</x:v>
      </x:c>
      <x:c r="D72" t="str">
        <x:v>Accessories</x:v>
      </x:c>
      <x:c r="E72" t="str">
        <x:v>Wholesale</x:v>
      </x:c>
      <x:c r="F72" t="str">
        <x:v>Ankara</x:v>
      </x:c>
      <x:c r="G72" s="4" t="n">
        <x:v>8</x:v>
      </x:c>
      <x:c r="H72" s="5" t="n">
        <x:v>12.1</x:v>
      </x:c>
      <x:c r="I72" s="6" t="n">
        <x:v>0.15</x:v>
      </x:c>
      <x:c r="J72" s="5" t="n">
        <x:v>82.28</x:v>
      </x:c>
      <x:c r="K72" s="5" t="n">
        <x:v>35.2</x:v>
      </x:c>
      <x:c r="L72" s="5" t="n">
        <x:v>47.08</x:v>
      </x:c>
      <x:c r="M72" t="str">
        <x:v>2026-02</x:v>
      </x:c>
    </x:row>
    <x:row r="73">
      <x:c r="A73" t="str">
        <x:v>ORD-1072</x:v>
      </x:c>
      <x:c r="B73" s="3" t="n">
        <x:v>46078</x:v>
      </x:c>
      <x:c r="C73" t="str">
        <x:v>Paper Filters 100pk</x:v>
      </x:c>
      <x:c r="D73" t="str">
        <x:v>Accessories</x:v>
      </x:c>
      <x:c r="E73" t="str">
        <x:v>Retail Store</x:v>
      </x:c>
      <x:c r="F73" t="str">
        <x:v>Bursa</x:v>
      </x:c>
      <x:c r="G73" s="4" t="n">
        <x:v>5</x:v>
      </x:c>
      <x:c r="H73" s="5" t="n">
        <x:v>8.06</x:v>
      </x:c>
      <x:c r="I73" s="6" t="n">
        <x:v>0</x:v>
      </x:c>
      <x:c r="J73" s="5" t="n">
        <x:v>40.3</x:v>
      </x:c>
      <x:c r="K73" s="5" t="n">
        <x:v>13</x:v>
      </x:c>
      <x:c r="L73" s="5" t="n">
        <x:v>27.3</x:v>
      </x:c>
      <x:c r="M73" t="str">
        <x:v>2026-02</x:v>
      </x:c>
    </x:row>
    <x:row r="74">
      <x:c r="A74" t="str">
        <x:v>ORD-1073</x:v>
      </x:c>
      <x:c r="B74" s="3" t="n">
        <x:v>46057</x:v>
      </x:c>
      <x:c r="C74" t="str">
        <x:v>Ceramic Mug</x:v>
      </x:c>
      <x:c r="D74" t="str">
        <x:v>Accessories</x:v>
      </x:c>
      <x:c r="E74" t="str">
        <x:v>Online</x:v>
      </x:c>
      <x:c r="F74" t="str">
        <x:v>Ankara</x:v>
      </x:c>
      <x:c r="G74" s="4" t="n">
        <x:v>2</x:v>
      </x:c>
      <x:c r="H74" s="5" t="n">
        <x:v>12.1</x:v>
      </x:c>
      <x:c r="I74" s="6" t="n">
        <x:v>0</x:v>
      </x:c>
      <x:c r="J74" s="5" t="n">
        <x:v>24.2</x:v>
      </x:c>
      <x:c r="K74" s="5" t="n">
        <x:v>8.8</x:v>
      </x:c>
      <x:c r="L74" s="5" t="n">
        <x:v>15.4</x:v>
      </x:c>
      <x:c r="M74" t="str">
        <x:v>2026-02</x:v>
      </x:c>
    </x:row>
    <x:row r="75">
      <x:c r="A75" t="str">
        <x:v>ORD-1074</x:v>
      </x:c>
      <x:c r="B75" s="3" t="n">
        <x:v>46064</x:v>
      </x:c>
      <x:c r="C75" t="str">
        <x:v>Paper Filters 100pk</x:v>
      </x:c>
      <x:c r="D75" t="str">
        <x:v>Accessories</x:v>
      </x:c>
      <x:c r="E75" t="str">
        <x:v>Wholesale</x:v>
      </x:c>
      <x:c r="F75" t="str">
        <x:v>Bursa</x:v>
      </x:c>
      <x:c r="G75" s="4" t="n">
        <x:v>7</x:v>
      </x:c>
      <x:c r="H75" s="5" t="n">
        <x:v>8.06</x:v>
      </x:c>
      <x:c r="I75" s="6" t="n">
        <x:v>0</x:v>
      </x:c>
      <x:c r="J75" s="5" t="n">
        <x:v>56.42</x:v>
      </x:c>
      <x:c r="K75" s="5" t="n">
        <x:v>18.2</x:v>
      </x:c>
      <x:c r="L75" s="5" t="n">
        <x:v>38.22</x:v>
      </x:c>
      <x:c r="M75" t="str">
        <x:v>2026-02</x:v>
      </x:c>
    </x:row>
    <x:row r="76">
      <x:c r="A76" t="str">
        <x:v>ORD-1075</x:v>
      </x:c>
      <x:c r="B76" s="3" t="n">
        <x:v>46071</x:v>
      </x:c>
      <x:c r="C76" t="str">
        <x:v>Ceramic Mug</x:v>
      </x:c>
      <x:c r="D76" t="str">
        <x:v>Accessories</x:v>
      </x:c>
      <x:c r="E76" t="str">
        <x:v>Retail Store</x:v>
      </x:c>
      <x:c r="F76" t="str">
        <x:v>Ankara</x:v>
      </x:c>
      <x:c r="G76" s="4" t="n">
        <x:v>4</x:v>
      </x:c>
      <x:c r="H76" s="5" t="n">
        <x:v>12.1</x:v>
      </x:c>
      <x:c r="I76" s="6" t="n">
        <x:v>0</x:v>
      </x:c>
      <x:c r="J76" s="5" t="n">
        <x:v>48.4</x:v>
      </x:c>
      <x:c r="K76" s="5" t="n">
        <x:v>17.6</x:v>
      </x:c>
      <x:c r="L76" s="5" t="n">
        <x:v>30.8</x:v>
      </x:c>
      <x:c r="M76" t="str">
        <x:v>2026-02</x:v>
      </x:c>
    </x:row>
    <x:row r="77">
      <x:c r="A77" t="str">
        <x:v>ORD-1076</x:v>
      </x:c>
      <x:c r="B77" s="3" t="n">
        <x:v>46078</x:v>
      </x:c>
      <x:c r="C77" t="str">
        <x:v>Paper Filters 100pk</x:v>
      </x:c>
      <x:c r="D77" t="str">
        <x:v>Accessories</x:v>
      </x:c>
      <x:c r="E77" t="str">
        <x:v>Online</x:v>
      </x:c>
      <x:c r="F77" t="str">
        <x:v>Bursa</x:v>
      </x:c>
      <x:c r="G77" s="4" t="n">
        <x:v>1</x:v>
      </x:c>
      <x:c r="H77" s="5" t="n">
        <x:v>8.06</x:v>
      </x:c>
      <x:c r="I77" s="6" t="n">
        <x:v>0</x:v>
      </x:c>
      <x:c r="J77" s="5" t="n">
        <x:v>8.06</x:v>
      </x:c>
      <x:c r="K77" s="5" t="n">
        <x:v>2.6</x:v>
      </x:c>
      <x:c r="L77" s="5" t="n">
        <x:v>5.46</x:v>
      </x:c>
      <x:c r="M77" t="str">
        <x:v>2026-02</x:v>
      </x:c>
    </x:row>
    <x:row r="78">
      <x:c r="A78" t="str">
        <x:v>ORD-1077</x:v>
      </x:c>
      <x:c r="B78" s="3" t="n">
        <x:v>46057</x:v>
      </x:c>
      <x:c r="C78" t="str">
        <x:v>Ceramic Mug</x:v>
      </x:c>
      <x:c r="D78" t="str">
        <x:v>Accessories</x:v>
      </x:c>
      <x:c r="E78" t="str">
        <x:v>Wholesale</x:v>
      </x:c>
      <x:c r="F78" t="str">
        <x:v>Ankara</x:v>
      </x:c>
      <x:c r="G78" s="4" t="n">
        <x:v>6</x:v>
      </x:c>
      <x:c r="H78" s="5" t="n">
        <x:v>12.1</x:v>
      </x:c>
      <x:c r="I78" s="6" t="n">
        <x:v>0.1</x:v>
      </x:c>
      <x:c r="J78" s="5" t="n">
        <x:v>65.34</x:v>
      </x:c>
      <x:c r="K78" s="5" t="n">
        <x:v>26.4</x:v>
      </x:c>
      <x:c r="L78" s="5" t="n">
        <x:v>38.94</x:v>
      </x:c>
      <x:c r="M78" t="str">
        <x:v>2026-02</x:v>
      </x:c>
    </x:row>
    <x:row r="79">
      <x:c r="A79" t="str">
        <x:v>ORD-1078</x:v>
      </x:c>
      <x:c r="B79" s="3" t="n">
        <x:v>46064</x:v>
      </x:c>
      <x:c r="C79" t="str">
        <x:v>Paper Filters 100pk</x:v>
      </x:c>
      <x:c r="D79" t="str">
        <x:v>Accessories</x:v>
      </x:c>
      <x:c r="E79" t="str">
        <x:v>Retail Store</x:v>
      </x:c>
      <x:c r="F79" t="str">
        <x:v>Bursa</x:v>
      </x:c>
      <x:c r="G79" s="4" t="n">
        <x:v>3</x:v>
      </x:c>
      <x:c r="H79" s="5" t="n">
        <x:v>8.06</x:v>
      </x:c>
      <x:c r="I79" s="6" t="n">
        <x:v>0</x:v>
      </x:c>
      <x:c r="J79" s="5" t="n">
        <x:v>24.18</x:v>
      </x:c>
      <x:c r="K79" s="5" t="n">
        <x:v>7.8</x:v>
      </x:c>
      <x:c r="L79" s="5" t="n">
        <x:v>16.38</x:v>
      </x:c>
      <x:c r="M79" t="str">
        <x:v>2026-02</x:v>
      </x:c>
    </x:row>
    <x:row r="80">
      <x:c r="A80" t="str">
        <x:v>ORD-1079</x:v>
      </x:c>
      <x:c r="B80" s="3" t="n">
        <x:v>46071</x:v>
      </x:c>
      <x:c r="C80" t="str">
        <x:v>Ceramic Mug</x:v>
      </x:c>
      <x:c r="D80" t="str">
        <x:v>Accessories</x:v>
      </x:c>
      <x:c r="E80" t="str">
        <x:v>Online</x:v>
      </x:c>
      <x:c r="F80" t="str">
        <x:v>Ankara</x:v>
      </x:c>
      <x:c r="G80" s="4" t="n">
        <x:v>8</x:v>
      </x:c>
      <x:c r="H80" s="5" t="n">
        <x:v>12.1</x:v>
      </x:c>
      <x:c r="I80" s="6" t="n">
        <x:v>0</x:v>
      </x:c>
      <x:c r="J80" s="5" t="n">
        <x:v>96.8</x:v>
      </x:c>
      <x:c r="K80" s="5" t="n">
        <x:v>35.2</x:v>
      </x:c>
      <x:c r="L80" s="5" t="n">
        <x:v>61.6</x:v>
      </x:c>
      <x:c r="M80" t="str">
        <x:v>2026-02</x:v>
      </x:c>
    </x:row>
    <x:row r="81">
      <x:c r="A81" t="str">
        <x:v>ORD-1080</x:v>
      </x:c>
      <x:c r="B81" s="3" t="n">
        <x:v>46078</x:v>
      </x:c>
      <x:c r="C81" t="str">
        <x:v>Paper Filters 100pk</x:v>
      </x:c>
      <x:c r="D81" t="str">
        <x:v>Accessories</x:v>
      </x:c>
      <x:c r="E81" t="str">
        <x:v>Wholesale</x:v>
      </x:c>
      <x:c r="F81" t="str">
        <x:v>Bursa</x:v>
      </x:c>
      <x:c r="G81" s="4" t="n">
        <x:v>5</x:v>
      </x:c>
      <x:c r="H81" s="5" t="n">
        <x:v>8.06</x:v>
      </x:c>
      <x:c r="I81" s="6" t="n">
        <x:v>0</x:v>
      </x:c>
      <x:c r="J81" s="5" t="n">
        <x:v>40.3</x:v>
      </x:c>
      <x:c r="K81" s="5" t="n">
        <x:v>13</x:v>
      </x:c>
      <x:c r="L81" s="5" t="n">
        <x:v>27.3</x:v>
      </x:c>
      <x:c r="M81" t="str">
        <x:v>2026-02</x:v>
      </x:c>
    </x:row>
    <x:row r="82">
      <x:c r="A82" t="str">
        <x:v>ORD-1081</x:v>
      </x:c>
      <x:c r="B82" s="3" t="n">
        <x:v>46057</x:v>
      </x:c>
      <x:c r="C82" t="str">
        <x:v>Ceramic Mug</x:v>
      </x:c>
      <x:c r="D82" t="str">
        <x:v>Accessories</x:v>
      </x:c>
      <x:c r="E82" t="str">
        <x:v>Retail Store</x:v>
      </x:c>
      <x:c r="F82" t="str">
        <x:v>Ankara</x:v>
      </x:c>
      <x:c r="G82" s="4" t="n">
        <x:v>2</x:v>
      </x:c>
      <x:c r="H82" s="5" t="n">
        <x:v>12.1</x:v>
      </x:c>
      <x:c r="I82" s="6" t="n">
        <x:v>0</x:v>
      </x:c>
      <x:c r="J82" s="5" t="n">
        <x:v>24.2</x:v>
      </x:c>
      <x:c r="K82" s="5" t="n">
        <x:v>8.8</x:v>
      </x:c>
      <x:c r="L82" s="5" t="n">
        <x:v>15.4</x:v>
      </x:c>
      <x:c r="M82" t="str">
        <x:v>2026-02</x:v>
      </x:c>
    </x:row>
    <x:row r="83">
      <x:c r="A83" t="str">
        <x:v>ORD-1082</x:v>
      </x:c>
      <x:c r="B83" s="3" t="n">
        <x:v>46064</x:v>
      </x:c>
      <x:c r="C83" t="str">
        <x:v>Paper Filters 100pk</x:v>
      </x:c>
      <x:c r="D83" t="str">
        <x:v>Accessories</x:v>
      </x:c>
      <x:c r="E83" t="str">
        <x:v>Online</x:v>
      </x:c>
      <x:c r="F83" t="str">
        <x:v>Bursa</x:v>
      </x:c>
      <x:c r="G83" s="4" t="n">
        <x:v>7</x:v>
      </x:c>
      <x:c r="H83" s="5" t="n">
        <x:v>8.06</x:v>
      </x:c>
      <x:c r="I83" s="6" t="n">
        <x:v>0.15</x:v>
      </x:c>
      <x:c r="J83" s="5" t="n">
        <x:v>47.96</x:v>
      </x:c>
      <x:c r="K83" s="5" t="n">
        <x:v>18.2</x:v>
      </x:c>
      <x:c r="L83" s="5" t="n">
        <x:v>29.76</x:v>
      </x:c>
      <x:c r="M83" t="str">
        <x:v>2026-02</x:v>
      </x:c>
    </x:row>
    <x:row r="84">
      <x:c r="A84" t="str">
        <x:v>ORD-1083</x:v>
      </x:c>
      <x:c r="B84" s="3" t="n">
        <x:v>46071</x:v>
      </x:c>
      <x:c r="C84" t="str">
        <x:v>Ceramic Mug</x:v>
      </x:c>
      <x:c r="D84" t="str">
        <x:v>Accessories</x:v>
      </x:c>
      <x:c r="E84" t="str">
        <x:v>Wholesale</x:v>
      </x:c>
      <x:c r="F84" t="str">
        <x:v>Ankara</x:v>
      </x:c>
      <x:c r="G84" s="4" t="n">
        <x:v>4</x:v>
      </x:c>
      <x:c r="H84" s="5" t="n">
        <x:v>12.1</x:v>
      </x:c>
      <x:c r="I84" s="6" t="n">
        <x:v>0</x:v>
      </x:c>
      <x:c r="J84" s="5" t="n">
        <x:v>48.4</x:v>
      </x:c>
      <x:c r="K84" s="5" t="n">
        <x:v>17.6</x:v>
      </x:c>
      <x:c r="L84" s="5" t="n">
        <x:v>30.8</x:v>
      </x:c>
      <x:c r="M84" t="str">
        <x:v>2026-02</x:v>
      </x:c>
    </x:row>
    <x:row r="85">
      <x:c r="A85" t="str">
        <x:v>ORD-1084</x:v>
      </x:c>
      <x:c r="B85" s="3" t="n">
        <x:v>46078</x:v>
      </x:c>
      <x:c r="C85" t="str">
        <x:v>Paper Filters 100pk</x:v>
      </x:c>
      <x:c r="D85" t="str">
        <x:v>Accessories</x:v>
      </x:c>
      <x:c r="E85" t="str">
        <x:v>Retail Store</x:v>
      </x:c>
      <x:c r="F85" t="str">
        <x:v>Bursa</x:v>
      </x:c>
      <x:c r="G85" s="4" t="n">
        <x:v>1</x:v>
      </x:c>
      <x:c r="H85" s="5" t="n">
        <x:v>8.06</x:v>
      </x:c>
      <x:c r="I85" s="6" t="n">
        <x:v>0.1</x:v>
      </x:c>
      <x:c r="J85" s="5" t="n">
        <x:v>7.25</x:v>
      </x:c>
      <x:c r="K85" s="5" t="n">
        <x:v>2.6</x:v>
      </x:c>
      <x:c r="L85" s="5" t="n">
        <x:v>4.65</x:v>
      </x:c>
      <x:c r="M85" t="str">
        <x:v>2026-02</x:v>
      </x:c>
    </x:row>
    <x:row r="86">
      <x:c r="A86" t="str">
        <x:v>ORD-1085</x:v>
      </x:c>
      <x:c r="B86" s="3" t="n">
        <x:v>46057</x:v>
      </x:c>
      <x:c r="C86" t="str">
        <x:v>Ceramic Mug</x:v>
      </x:c>
      <x:c r="D86" t="str">
        <x:v>Accessories</x:v>
      </x:c>
      <x:c r="E86" t="str">
        <x:v>Online</x:v>
      </x:c>
      <x:c r="F86" t="str">
        <x:v>Ankara</x:v>
      </x:c>
      <x:c r="G86" s="4" t="n">
        <x:v>6</x:v>
      </x:c>
      <x:c r="H86" s="5" t="n">
        <x:v>12.1</x:v>
      </x:c>
      <x:c r="I86" s="6" t="n">
        <x:v>0</x:v>
      </x:c>
      <x:c r="J86" s="5" t="n">
        <x:v>72.6</x:v>
      </x:c>
      <x:c r="K86" s="5" t="n">
        <x:v>26.4</x:v>
      </x:c>
      <x:c r="L86" s="5" t="n">
        <x:v>46.2</x:v>
      </x:c>
      <x:c r="M86" t="str">
        <x:v>2026-02</x:v>
      </x:c>
    </x:row>
    <x:row r="87">
      <x:c r="A87" t="str">
        <x:v>ORD-1086</x:v>
      </x:c>
      <x:c r="B87" s="3" t="n">
        <x:v>46064</x:v>
      </x:c>
      <x:c r="C87" t="str">
        <x:v>Paper Filters 100pk</x:v>
      </x:c>
      <x:c r="D87" t="str">
        <x:v>Accessories</x:v>
      </x:c>
      <x:c r="E87" t="str">
        <x:v>Wholesale</x:v>
      </x:c>
      <x:c r="F87" t="str">
        <x:v>Bursa</x:v>
      </x:c>
      <x:c r="G87" s="4" t="n">
        <x:v>3</x:v>
      </x:c>
      <x:c r="H87" s="5" t="n">
        <x:v>8.06</x:v>
      </x:c>
      <x:c r="I87" s="6" t="n">
        <x:v>0</x:v>
      </x:c>
      <x:c r="J87" s="5" t="n">
        <x:v>24.18</x:v>
      </x:c>
      <x:c r="K87" s="5" t="n">
        <x:v>7.8</x:v>
      </x:c>
      <x:c r="L87" s="5" t="n">
        <x:v>16.38</x:v>
      </x:c>
      <x:c r="M87" t="str">
        <x:v>2026-02</x:v>
      </x:c>
    </x:row>
    <x:row r="88">
      <x:c r="A88" t="str">
        <x:v>ORD-1087</x:v>
      </x:c>
      <x:c r="B88" s="3" t="n">
        <x:v>46071</x:v>
      </x:c>
      <x:c r="C88" t="str">
        <x:v>Ceramic Mug</x:v>
      </x:c>
      <x:c r="D88" t="str">
        <x:v>Accessories</x:v>
      </x:c>
      <x:c r="E88" t="str">
        <x:v>Retail Store</x:v>
      </x:c>
      <x:c r="F88" t="str">
        <x:v>Ankara</x:v>
      </x:c>
      <x:c r="G88" s="4" t="n">
        <x:v>8</x:v>
      </x:c>
      <x:c r="H88" s="5" t="n">
        <x:v>12.1</x:v>
      </x:c>
      <x:c r="I88" s="6" t="n">
        <x:v>0</x:v>
      </x:c>
      <x:c r="J88" s="5" t="n">
        <x:v>96.8</x:v>
      </x:c>
      <x:c r="K88" s="5" t="n">
        <x:v>35.2</x:v>
      </x:c>
      <x:c r="L88" s="5" t="n">
        <x:v>61.6</x:v>
      </x:c>
      <x:c r="M88" t="str">
        <x:v>2026-02</x:v>
      </x:c>
    </x:row>
    <x:row r="89">
      <x:c r="A89" t="str">
        <x:v>ORD-1088</x:v>
      </x:c>
      <x:c r="B89" s="3" t="n">
        <x:v>46078</x:v>
      </x:c>
      <x:c r="C89" t="str">
        <x:v>Paper Filters 100pk</x:v>
      </x:c>
      <x:c r="D89" t="str">
        <x:v>Accessories</x:v>
      </x:c>
      <x:c r="E89" t="str">
        <x:v>Online</x:v>
      </x:c>
      <x:c r="F89" t="str">
        <x:v>Bursa</x:v>
      </x:c>
      <x:c r="G89" s="4" t="n">
        <x:v>5</x:v>
      </x:c>
      <x:c r="H89" s="5" t="n">
        <x:v>8.06</x:v>
      </x:c>
      <x:c r="I89" s="6" t="n">
        <x:v>0</x:v>
      </x:c>
      <x:c r="J89" s="5" t="n">
        <x:v>40.3</x:v>
      </x:c>
      <x:c r="K89" s="5" t="n">
        <x:v>13</x:v>
      </x:c>
      <x:c r="L89" s="5" t="n">
        <x:v>27.3</x:v>
      </x:c>
      <x:c r="M89" t="str">
        <x:v>2026-02</x:v>
      </x:c>
    </x:row>
    <x:row r="90">
      <x:c r="A90" t="str">
        <x:v>ORD-1089</x:v>
      </x:c>
      <x:c r="B90" s="3" t="n">
        <x:v>46057</x:v>
      </x:c>
      <x:c r="C90" t="str">
        <x:v>Ceramic Mug</x:v>
      </x:c>
      <x:c r="D90" t="str">
        <x:v>Accessories</x:v>
      </x:c>
      <x:c r="E90" t="str">
        <x:v>Wholesale</x:v>
      </x:c>
      <x:c r="F90" t="str">
        <x:v>Ankara</x:v>
      </x:c>
      <x:c r="G90" s="4" t="n">
        <x:v>2</x:v>
      </x:c>
      <x:c r="H90" s="5" t="n">
        <x:v>12.1</x:v>
      </x:c>
      <x:c r="I90" s="6" t="n">
        <x:v>0</x:v>
      </x:c>
      <x:c r="J90" s="5" t="n">
        <x:v>24.2</x:v>
      </x:c>
      <x:c r="K90" s="5" t="n">
        <x:v>8.8</x:v>
      </x:c>
      <x:c r="L90" s="5" t="n">
        <x:v>15.4</x:v>
      </x:c>
      <x:c r="M90" t="str">
        <x:v>2026-02</x:v>
      </x:c>
    </x:row>
    <x:row r="91">
      <x:c r="A91" t="str">
        <x:v>ORD-1090</x:v>
      </x:c>
      <x:c r="B91" s="3" t="n">
        <x:v>46064</x:v>
      </x:c>
      <x:c r="C91" t="str">
        <x:v>Paper Filters 100pk</x:v>
      </x:c>
      <x:c r="D91" t="str">
        <x:v>Accessories</x:v>
      </x:c>
      <x:c r="E91" t="str">
        <x:v>Retail Store</x:v>
      </x:c>
      <x:c r="F91" t="str">
        <x:v>Bursa</x:v>
      </x:c>
      <x:c r="G91" s="4" t="n">
        <x:v>7</x:v>
      </x:c>
      <x:c r="H91" s="5" t="n">
        <x:v>8.06</x:v>
      </x:c>
      <x:c r="I91" s="6" t="n">
        <x:v>0</x:v>
      </x:c>
      <x:c r="J91" s="5" t="n">
        <x:v>56.42</x:v>
      </x:c>
      <x:c r="K91" s="5" t="n">
        <x:v>18.2</x:v>
      </x:c>
      <x:c r="L91" s="5" t="n">
        <x:v>38.22</x:v>
      </x:c>
      <x:c r="M91" t="str">
        <x:v>2026-02</x:v>
      </x:c>
    </x:row>
    <x:row r="92">
      <x:c r="A92" t="str">
        <x:v>ORD-1091</x:v>
      </x:c>
      <x:c r="B92" s="3" t="n">
        <x:v>46071</x:v>
      </x:c>
      <x:c r="C92" t="str">
        <x:v>Ceramic Mug</x:v>
      </x:c>
      <x:c r="D92" t="str">
        <x:v>Accessories</x:v>
      </x:c>
      <x:c r="E92" t="str">
        <x:v>Online</x:v>
      </x:c>
      <x:c r="F92" t="str">
        <x:v>Ankara</x:v>
      </x:c>
      <x:c r="G92" s="4" t="n">
        <x:v>4</x:v>
      </x:c>
      <x:c r="H92" s="5" t="n">
        <x:v>12.1</x:v>
      </x:c>
      <x:c r="I92" s="6" t="n">
        <x:v>0.1</x:v>
      </x:c>
      <x:c r="J92" s="5" t="n">
        <x:v>43.56</x:v>
      </x:c>
      <x:c r="K92" s="5" t="n">
        <x:v>17.6</x:v>
      </x:c>
      <x:c r="L92" s="5" t="n">
        <x:v>25.96</x:v>
      </x:c>
      <x:c r="M92" t="str">
        <x:v>2026-02</x:v>
      </x:c>
    </x:row>
    <x:row r="93">
      <x:c r="A93" t="str">
        <x:v>ORD-1092</x:v>
      </x:c>
      <x:c r="B93" s="3" t="n">
        <x:v>46078</x:v>
      </x:c>
      <x:c r="C93" t="str">
        <x:v>Paper Filters 100pk</x:v>
      </x:c>
      <x:c r="D93" t="str">
        <x:v>Accessories</x:v>
      </x:c>
      <x:c r="E93" t="str">
        <x:v>Wholesale</x:v>
      </x:c>
      <x:c r="F93" t="str">
        <x:v>Bursa</x:v>
      </x:c>
      <x:c r="G93" s="4" t="n">
        <x:v>1</x:v>
      </x:c>
      <x:c r="H93" s="5" t="n">
        <x:v>8.06</x:v>
      </x:c>
      <x:c r="I93" s="6" t="n">
        <x:v>0</x:v>
      </x:c>
      <x:c r="J93" s="5" t="n">
        <x:v>8.06</x:v>
      </x:c>
      <x:c r="K93" s="5" t="n">
        <x:v>2.6</x:v>
      </x:c>
      <x:c r="L93" s="5" t="n">
        <x:v>5.46</x:v>
      </x:c>
      <x:c r="M93" t="str">
        <x:v>2026-02</x:v>
      </x:c>
    </x:row>
    <x:row r="94">
      <x:c r="A94" t="str">
        <x:v>ORD-1093</x:v>
      </x:c>
      <x:c r="B94" s="3" t="n">
        <x:v>46057</x:v>
      </x:c>
      <x:c r="C94" t="str">
        <x:v>Ceramic Mug</x:v>
      </x:c>
      <x:c r="D94" t="str">
        <x:v>Accessories</x:v>
      </x:c>
      <x:c r="E94" t="str">
        <x:v>Retail Store</x:v>
      </x:c>
      <x:c r="F94" t="str">
        <x:v>Ankara</x:v>
      </x:c>
      <x:c r="G94" s="4" t="n">
        <x:v>6</x:v>
      </x:c>
      <x:c r="H94" s="5" t="n">
        <x:v>12.1</x:v>
      </x:c>
      <x:c r="I94" s="6" t="n">
        <x:v>0.15</x:v>
      </x:c>
      <x:c r="J94" s="5" t="n">
        <x:v>61.71</x:v>
      </x:c>
      <x:c r="K94" s="5" t="n">
        <x:v>26.4</x:v>
      </x:c>
      <x:c r="L94" s="5" t="n">
        <x:v>35.31</x:v>
      </x:c>
      <x:c r="M94" t="str">
        <x:v>2026-02</x:v>
      </x:c>
    </x:row>
    <x:row r="95">
      <x:c r="A95" t="str">
        <x:v>ORD-1094</x:v>
      </x:c>
      <x:c r="B95" s="3" t="n">
        <x:v>46064</x:v>
      </x:c>
      <x:c r="C95" t="str">
        <x:v>Paper Filters 100pk</x:v>
      </x:c>
      <x:c r="D95" t="str">
        <x:v>Accessories</x:v>
      </x:c>
      <x:c r="E95" t="str">
        <x:v>Online</x:v>
      </x:c>
      <x:c r="F95" t="str">
        <x:v>Bursa</x:v>
      </x:c>
      <x:c r="G95" s="4" t="n">
        <x:v>3</x:v>
      </x:c>
      <x:c r="H95" s="5" t="n">
        <x:v>8.06</x:v>
      </x:c>
      <x:c r="I95" s="6" t="n">
        <x:v>0</x:v>
      </x:c>
      <x:c r="J95" s="5" t="n">
        <x:v>24.18</x:v>
      </x:c>
      <x:c r="K95" s="5" t="n">
        <x:v>7.8</x:v>
      </x:c>
      <x:c r="L95" s="5" t="n">
        <x:v>16.38</x:v>
      </x:c>
      <x:c r="M95" t="str">
        <x:v>2026-02</x:v>
      </x:c>
    </x:row>
    <x:row r="96">
      <x:c r="A96" t="str">
        <x:v>ORD-1095</x:v>
      </x:c>
      <x:c r="B96" s="3" t="n">
        <x:v>46071</x:v>
      </x:c>
      <x:c r="C96" t="str">
        <x:v>Ceramic Mug</x:v>
      </x:c>
      <x:c r="D96" t="str">
        <x:v>Accessories</x:v>
      </x:c>
      <x:c r="E96" t="str">
        <x:v>Wholesale</x:v>
      </x:c>
      <x:c r="F96" t="str">
        <x:v>Ankara</x:v>
      </x:c>
      <x:c r="G96" s="4" t="n">
        <x:v>8</x:v>
      </x:c>
      <x:c r="H96" s="5" t="n">
        <x:v>12.1</x:v>
      </x:c>
      <x:c r="I96" s="6" t="n">
        <x:v>0</x:v>
      </x:c>
      <x:c r="J96" s="5" t="n">
        <x:v>96.8</x:v>
      </x:c>
      <x:c r="K96" s="5" t="n">
        <x:v>35.2</x:v>
      </x:c>
      <x:c r="L96" s="5" t="n">
        <x:v>61.6</x:v>
      </x:c>
      <x:c r="M96" t="str">
        <x:v>2026-02</x:v>
      </x:c>
    </x:row>
    <x:row r="97">
      <x:c r="A97" t="str">
        <x:v>ORD-1096</x:v>
      </x:c>
      <x:c r="B97" s="3" t="n">
        <x:v>46078</x:v>
      </x:c>
      <x:c r="C97" t="str">
        <x:v>Paper Filters 100pk</x:v>
      </x:c>
      <x:c r="D97" t="str">
        <x:v>Accessories</x:v>
      </x:c>
      <x:c r="E97" t="str">
        <x:v>Retail Store</x:v>
      </x:c>
      <x:c r="F97" t="str">
        <x:v>Bursa</x:v>
      </x:c>
      <x:c r="G97" s="4" t="n">
        <x:v>5</x:v>
      </x:c>
      <x:c r="H97" s="5" t="n">
        <x:v>8.06</x:v>
      </x:c>
      <x:c r="I97" s="6" t="n">
        <x:v>0</x:v>
      </x:c>
      <x:c r="J97" s="5" t="n">
        <x:v>40.3</x:v>
      </x:c>
      <x:c r="K97" s="5" t="n">
        <x:v>13</x:v>
      </x:c>
      <x:c r="L97" s="5" t="n">
        <x:v>27.3</x:v>
      </x:c>
      <x:c r="M97" t="str">
        <x:v>2026-02</x:v>
      </x:c>
    </x:row>
    <x:row r="98">
      <x:c r="A98" t="str">
        <x:v>ORD-1097</x:v>
      </x:c>
      <x:c r="B98" s="3" t="n">
        <x:v>46088</x:v>
      </x:c>
      <x:c r="C98" t="str">
        <x:v>Cold Brew Bottle</x:v>
      </x:c>
      <x:c r="D98" t="str">
        <x:v>Equipment</x:v>
      </x:c>
      <x:c r="E98" t="str">
        <x:v>Wholesale</x:v>
      </x:c>
      <x:c r="F98" t="str">
        <x:v>Izmir</x:v>
      </x:c>
      <x:c r="G98" s="4" t="n">
        <x:v>3</x:v>
      </x:c>
      <x:c r="H98" s="5" t="n">
        <x:v>24.38</x:v>
      </x:c>
      <x:c r="I98" s="6" t="n">
        <x:v>0.15</x:v>
      </x:c>
      <x:c r="J98" s="5" t="n">
        <x:v>62.17</x:v>
      </x:c>
      <x:c r="K98" s="5" t="n">
        <x:v>37.5</x:v>
      </x:c>
      <x:c r="L98" s="5" t="n">
        <x:v>24.67</x:v>
      </x:c>
      <x:c r="M98" t="str">
        <x:v>2026-03</x:v>
      </x:c>
    </x:row>
    <x:row r="99">
      <x:c r="A99" t="str">
        <x:v>ORD-1098</x:v>
      </x:c>
      <x:c r="B99" s="3" t="n">
        <x:v>46095</x:v>
      </x:c>
      <x:c r="C99" t="str">
        <x:v>Filter Beans 1kg</x:v>
      </x:c>
      <x:c r="D99" t="str">
        <x:v>Coffee</x:v>
      </x:c>
      <x:c r="E99" t="str">
        <x:v>Retail Store</x:v>
      </x:c>
      <x:c r="F99" t="str">
        <x:v>Istanbul</x:v>
      </x:c>
      <x:c r="G99" s="4" t="n">
        <x:v>8</x:v>
      </x:c>
      <x:c r="H99" s="5" t="n">
        <x:v>20.32</x:v>
      </x:c>
      <x:c r="I99" s="6" t="n">
        <x:v>0</x:v>
      </x:c>
      <x:c r="J99" s="5" t="n">
        <x:v>162.56</x:v>
      </x:c>
      <x:c r="K99" s="5" t="n">
        <x:v>94.4</x:v>
      </x:c>
      <x:c r="L99" s="5" t="n">
        <x:v>68.16</x:v>
      </x:c>
      <x:c r="M99" t="str">
        <x:v>2026-03</x:v>
      </x:c>
    </x:row>
    <x:row r="100">
      <x:c r="A100" t="str">
        <x:v>ORD-1099</x:v>
      </x:c>
      <x:c r="B100" s="3" t="n">
        <x:v>46102</x:v>
      </x:c>
      <x:c r="C100" t="str">
        <x:v>Cold Brew Bottle</x:v>
      </x:c>
      <x:c r="D100" t="str">
        <x:v>Equipment</x:v>
      </x:c>
      <x:c r="E100" t="str">
        <x:v>Online</x:v>
      </x:c>
      <x:c r="F100" t="str">
        <x:v>Izmir</x:v>
      </x:c>
      <x:c r="G100" s="4" t="n">
        <x:v>5</x:v>
      </x:c>
      <x:c r="H100" s="5" t="n">
        <x:v>24.38</x:v>
      </x:c>
      <x:c r="I100" s="6" t="n">
        <x:v>0</x:v>
      </x:c>
      <x:c r="J100" s="5" t="n">
        <x:v>121.9</x:v>
      </x:c>
      <x:c r="K100" s="5" t="n">
        <x:v>62.5</x:v>
      </x:c>
      <x:c r="L100" s="5" t="n">
        <x:v>59.4</x:v>
      </x:c>
      <x:c r="M100" t="str">
        <x:v>2026-03</x:v>
      </x:c>
    </x:row>
    <x:row r="101">
      <x:c r="A101" t="str">
        <x:v>ORD-1100</x:v>
      </x:c>
      <x:c r="B101" s="3" t="n">
        <x:v>46109</x:v>
      </x:c>
      <x:c r="C101" t="str">
        <x:v>Filter Beans 1kg</x:v>
      </x:c>
      <x:c r="D101" t="str">
        <x:v>Coffee</x:v>
      </x:c>
      <x:c r="E101" t="str">
        <x:v>Wholesale</x:v>
      </x:c>
      <x:c r="F101" t="str">
        <x:v>Istanbul</x:v>
      </x:c>
      <x:c r="G101" s="4" t="n">
        <x:v>2</x:v>
      </x:c>
      <x:c r="H101" s="5" t="n">
        <x:v>20.32</x:v>
      </x:c>
      <x:c r="I101" s="6" t="n">
        <x:v>0</x:v>
      </x:c>
      <x:c r="J101" s="5" t="n">
        <x:v>40.64</x:v>
      </x:c>
      <x:c r="K101" s="5" t="n">
        <x:v>23.6</x:v>
      </x:c>
      <x:c r="L101" s="5" t="n">
        <x:v>17.04</x:v>
      </x:c>
      <x:c r="M101" t="str">
        <x:v>2026-03</x:v>
      </x:c>
    </x:row>
    <x:row r="102">
      <x:c r="A102" t="str">
        <x:v>ORD-1101</x:v>
      </x:c>
      <x:c r="B102" s="3" t="n">
        <x:v>46088</x:v>
      </x:c>
      <x:c r="C102" t="str">
        <x:v>Cold Brew Bottle</x:v>
      </x:c>
      <x:c r="D102" t="str">
        <x:v>Equipment</x:v>
      </x:c>
      <x:c r="E102" t="str">
        <x:v>Retail Store</x:v>
      </x:c>
      <x:c r="F102" t="str">
        <x:v>Izmir</x:v>
      </x:c>
      <x:c r="G102" s="4" t="n">
        <x:v>7</x:v>
      </x:c>
      <x:c r="H102" s="5" t="n">
        <x:v>24.38</x:v>
      </x:c>
      <x:c r="I102" s="6" t="n">
        <x:v>0</x:v>
      </x:c>
      <x:c r="J102" s="5" t="n">
        <x:v>170.66</x:v>
      </x:c>
      <x:c r="K102" s="5" t="n">
        <x:v>87.5</x:v>
      </x:c>
      <x:c r="L102" s="5" t="n">
        <x:v>83.16</x:v>
      </x:c>
      <x:c r="M102" t="str">
        <x:v>2026-03</x:v>
      </x:c>
    </x:row>
    <x:row r="103">
      <x:c r="A103" t="str">
        <x:v>ORD-1102</x:v>
      </x:c>
      <x:c r="B103" s="3" t="n">
        <x:v>46095</x:v>
      </x:c>
      <x:c r="C103" t="str">
        <x:v>Filter Beans 1kg</x:v>
      </x:c>
      <x:c r="D103" t="str">
        <x:v>Coffee</x:v>
      </x:c>
      <x:c r="E103" t="str">
        <x:v>Online</x:v>
      </x:c>
      <x:c r="F103" t="str">
        <x:v>Istanbul</x:v>
      </x:c>
      <x:c r="G103" s="4" t="n">
        <x:v>4</x:v>
      </x:c>
      <x:c r="H103" s="5" t="n">
        <x:v>20.32</x:v>
      </x:c>
      <x:c r="I103" s="6" t="n">
        <x:v>0</x:v>
      </x:c>
      <x:c r="J103" s="5" t="n">
        <x:v>81.28</x:v>
      </x:c>
      <x:c r="K103" s="5" t="n">
        <x:v>47.2</x:v>
      </x:c>
      <x:c r="L103" s="5" t="n">
        <x:v>34.08</x:v>
      </x:c>
      <x:c r="M103" t="str">
        <x:v>2026-03</x:v>
      </x:c>
    </x:row>
    <x:row r="104">
      <x:c r="A104" t="str">
        <x:v>ORD-1103</x:v>
      </x:c>
      <x:c r="B104" s="3" t="n">
        <x:v>46102</x:v>
      </x:c>
      <x:c r="C104" t="str">
        <x:v>Cold Brew Bottle</x:v>
      </x:c>
      <x:c r="D104" t="str">
        <x:v>Equipment</x:v>
      </x:c>
      <x:c r="E104" t="str">
        <x:v>Wholesale</x:v>
      </x:c>
      <x:c r="F104" t="str">
        <x:v>Izmir</x:v>
      </x:c>
      <x:c r="G104" s="4" t="n">
        <x:v>1</x:v>
      </x:c>
      <x:c r="H104" s="5" t="n">
        <x:v>24.38</x:v>
      </x:c>
      <x:c r="I104" s="6" t="n">
        <x:v>0</x:v>
      </x:c>
      <x:c r="J104" s="5" t="n">
        <x:v>24.38</x:v>
      </x:c>
      <x:c r="K104" s="5" t="n">
        <x:v>12.5</x:v>
      </x:c>
      <x:c r="L104" s="5" t="n">
        <x:v>11.88</x:v>
      </x:c>
      <x:c r="M104" t="str">
        <x:v>2026-03</x:v>
      </x:c>
    </x:row>
    <x:row r="105">
      <x:c r="A105" t="str">
        <x:v>ORD-1104</x:v>
      </x:c>
      <x:c r="B105" s="3" t="n">
        <x:v>46109</x:v>
      </x:c>
      <x:c r="C105" t="str">
        <x:v>Filter Beans 1kg</x:v>
      </x:c>
      <x:c r="D105" t="str">
        <x:v>Coffee</x:v>
      </x:c>
      <x:c r="E105" t="str">
        <x:v>Retail Store</x:v>
      </x:c>
      <x:c r="F105" t="str">
        <x:v>Istanbul</x:v>
      </x:c>
      <x:c r="G105" s="4" t="n">
        <x:v>6</x:v>
      </x:c>
      <x:c r="H105" s="5" t="n">
        <x:v>20.32</x:v>
      </x:c>
      <x:c r="I105" s="6" t="n">
        <x:v>0.1</x:v>
      </x:c>
      <x:c r="J105" s="5" t="n">
        <x:v>109.73</x:v>
      </x:c>
      <x:c r="K105" s="5" t="n">
        <x:v>70.8</x:v>
      </x:c>
      <x:c r="L105" s="5" t="n">
        <x:v>38.93</x:v>
      </x:c>
      <x:c r="M105" t="str">
        <x:v>2026-03</x:v>
      </x:c>
    </x:row>
    <x:row r="106">
      <x:c r="A106" t="str">
        <x:v>ORD-1105</x:v>
      </x:c>
      <x:c r="B106" s="3" t="n">
        <x:v>46088</x:v>
      </x:c>
      <x:c r="C106" t="str">
        <x:v>Cold Brew Bottle</x:v>
      </x:c>
      <x:c r="D106" t="str">
        <x:v>Equipment</x:v>
      </x:c>
      <x:c r="E106" t="str">
        <x:v>Online</x:v>
      </x:c>
      <x:c r="F106" t="str">
        <x:v>Izmir</x:v>
      </x:c>
      <x:c r="G106" s="4" t="n">
        <x:v>3</x:v>
      </x:c>
      <x:c r="H106" s="5" t="n">
        <x:v>24.38</x:v>
      </x:c>
      <x:c r="I106" s="6" t="n">
        <x:v>0</x:v>
      </x:c>
      <x:c r="J106" s="5" t="n">
        <x:v>73.14</x:v>
      </x:c>
      <x:c r="K106" s="5" t="n">
        <x:v>37.5</x:v>
      </x:c>
      <x:c r="L106" s="5" t="n">
        <x:v>35.64</x:v>
      </x:c>
      <x:c r="M106" t="str">
        <x:v>2026-03</x:v>
      </x:c>
    </x:row>
    <x:row r="107">
      <x:c r="A107" t="str">
        <x:v>ORD-1106</x:v>
      </x:c>
      <x:c r="B107" s="3" t="n">
        <x:v>46095</x:v>
      </x:c>
      <x:c r="C107" t="str">
        <x:v>Filter Beans 1kg</x:v>
      </x:c>
      <x:c r="D107" t="str">
        <x:v>Coffee</x:v>
      </x:c>
      <x:c r="E107" t="str">
        <x:v>Wholesale</x:v>
      </x:c>
      <x:c r="F107" t="str">
        <x:v>Istanbul</x:v>
      </x:c>
      <x:c r="G107" s="4" t="n">
        <x:v>8</x:v>
      </x:c>
      <x:c r="H107" s="5" t="n">
        <x:v>20.32</x:v>
      </x:c>
      <x:c r="I107" s="6" t="n">
        <x:v>0</x:v>
      </x:c>
      <x:c r="J107" s="5" t="n">
        <x:v>162.56</x:v>
      </x:c>
      <x:c r="K107" s="5" t="n">
        <x:v>94.4</x:v>
      </x:c>
      <x:c r="L107" s="5" t="n">
        <x:v>68.16</x:v>
      </x:c>
      <x:c r="M107" t="str">
        <x:v>2026-03</x:v>
      </x:c>
    </x:row>
    <x:row r="108">
      <x:c r="A108" t="str">
        <x:v>ORD-1107</x:v>
      </x:c>
      <x:c r="B108" s="3" t="n">
        <x:v>46102</x:v>
      </x:c>
      <x:c r="C108" t="str">
        <x:v>Cold Brew Bottle</x:v>
      </x:c>
      <x:c r="D108" t="str">
        <x:v>Equipment</x:v>
      </x:c>
      <x:c r="E108" t="str">
        <x:v>Retail Store</x:v>
      </x:c>
      <x:c r="F108" t="str">
        <x:v>Izmir</x:v>
      </x:c>
      <x:c r="G108" s="4" t="n">
        <x:v>5</x:v>
      </x:c>
      <x:c r="H108" s="5" t="n">
        <x:v>24.38</x:v>
      </x:c>
      <x:c r="I108" s="6" t="n">
        <x:v>0</x:v>
      </x:c>
      <x:c r="J108" s="5" t="n">
        <x:v>121.9</x:v>
      </x:c>
      <x:c r="K108" s="5" t="n">
        <x:v>62.5</x:v>
      </x:c>
      <x:c r="L108" s="5" t="n">
        <x:v>59.4</x:v>
      </x:c>
      <x:c r="M108" t="str">
        <x:v>2026-03</x:v>
      </x:c>
    </x:row>
    <x:row r="109">
      <x:c r="A109" t="str">
        <x:v>ORD-1108</x:v>
      </x:c>
      <x:c r="B109" s="3" t="n">
        <x:v>46109</x:v>
      </x:c>
      <x:c r="C109" t="str">
        <x:v>Filter Beans 1kg</x:v>
      </x:c>
      <x:c r="D109" t="str">
        <x:v>Coffee</x:v>
      </x:c>
      <x:c r="E109" t="str">
        <x:v>Online</x:v>
      </x:c>
      <x:c r="F109" t="str">
        <x:v>Istanbul</x:v>
      </x:c>
      <x:c r="G109" s="4" t="n">
        <x:v>2</x:v>
      </x:c>
      <x:c r="H109" s="5" t="n">
        <x:v>20.32</x:v>
      </x:c>
      <x:c r="I109" s="6" t="n">
        <x:v>0.15</x:v>
      </x:c>
      <x:c r="J109" s="5" t="n">
        <x:v>34.54</x:v>
      </x:c>
      <x:c r="K109" s="5" t="n">
        <x:v>23.6</x:v>
      </x:c>
      <x:c r="L109" s="5" t="n">
        <x:v>10.94</x:v>
      </x:c>
      <x:c r="M109" t="str">
        <x:v>2026-03</x:v>
      </x:c>
    </x:row>
    <x:row r="110">
      <x:c r="A110" t="str">
        <x:v>ORD-1109</x:v>
      </x:c>
      <x:c r="B110" s="3" t="n">
        <x:v>46088</x:v>
      </x:c>
      <x:c r="C110" t="str">
        <x:v>Cold Brew Bottle</x:v>
      </x:c>
      <x:c r="D110" t="str">
        <x:v>Equipment</x:v>
      </x:c>
      <x:c r="E110" t="str">
        <x:v>Wholesale</x:v>
      </x:c>
      <x:c r="F110" t="str">
        <x:v>Izmir</x:v>
      </x:c>
      <x:c r="G110" s="4" t="n">
        <x:v>7</x:v>
      </x:c>
      <x:c r="H110" s="5" t="n">
        <x:v>24.38</x:v>
      </x:c>
      <x:c r="I110" s="6" t="n">
        <x:v>0</x:v>
      </x:c>
      <x:c r="J110" s="5" t="n">
        <x:v>170.66</x:v>
      </x:c>
      <x:c r="K110" s="5" t="n">
        <x:v>87.5</x:v>
      </x:c>
      <x:c r="L110" s="5" t="n">
        <x:v>83.16</x:v>
      </x:c>
      <x:c r="M110" t="str">
        <x:v>2026-03</x:v>
      </x:c>
    </x:row>
    <x:row r="111">
      <x:c r="A111" t="str">
        <x:v>ORD-1110</x:v>
      </x:c>
      <x:c r="B111" s="3" t="n">
        <x:v>46095</x:v>
      </x:c>
      <x:c r="C111" t="str">
        <x:v>Filter Beans 1kg</x:v>
      </x:c>
      <x:c r="D111" t="str">
        <x:v>Coffee</x:v>
      </x:c>
      <x:c r="E111" t="str">
        <x:v>Retail Store</x:v>
      </x:c>
      <x:c r="F111" t="str">
        <x:v>Istanbul</x:v>
      </x:c>
      <x:c r="G111" s="4" t="n">
        <x:v>4</x:v>
      </x:c>
      <x:c r="H111" s="5" t="n">
        <x:v>20.32</x:v>
      </x:c>
      <x:c r="I111" s="6" t="n">
        <x:v>0</x:v>
      </x:c>
      <x:c r="J111" s="5" t="n">
        <x:v>81.28</x:v>
      </x:c>
      <x:c r="K111" s="5" t="n">
        <x:v>47.2</x:v>
      </x:c>
      <x:c r="L111" s="5" t="n">
        <x:v>34.08</x:v>
      </x:c>
      <x:c r="M111" t="str">
        <x:v>2026-03</x:v>
      </x:c>
    </x:row>
    <x:row r="112">
      <x:c r="A112" t="str">
        <x:v>ORD-1111</x:v>
      </x:c>
      <x:c r="B112" s="3" t="n">
        <x:v>46102</x:v>
      </x:c>
      <x:c r="C112" t="str">
        <x:v>Cold Brew Bottle</x:v>
      </x:c>
      <x:c r="D112" t="str">
        <x:v>Equipment</x:v>
      </x:c>
      <x:c r="E112" t="str">
        <x:v>Online</x:v>
      </x:c>
      <x:c r="F112" t="str">
        <x:v>Izmir</x:v>
      </x:c>
      <x:c r="G112" s="4" t="n">
        <x:v>1</x:v>
      </x:c>
      <x:c r="H112" s="5" t="n">
        <x:v>24.38</x:v>
      </x:c>
      <x:c r="I112" s="6" t="n">
        <x:v>0.1</x:v>
      </x:c>
      <x:c r="J112" s="5" t="n">
        <x:v>21.94</x:v>
      </x:c>
      <x:c r="K112" s="5" t="n">
        <x:v>12.5</x:v>
      </x:c>
      <x:c r="L112" s="5" t="n">
        <x:v>9.44</x:v>
      </x:c>
      <x:c r="M112" t="str">
        <x:v>2026-03</x:v>
      </x:c>
    </x:row>
    <x:row r="113">
      <x:c r="A113" t="str">
        <x:v>ORD-1112</x:v>
      </x:c>
      <x:c r="B113" s="3" t="n">
        <x:v>46109</x:v>
      </x:c>
      <x:c r="C113" t="str">
        <x:v>Filter Beans 1kg</x:v>
      </x:c>
      <x:c r="D113" t="str">
        <x:v>Coffee</x:v>
      </x:c>
      <x:c r="E113" t="str">
        <x:v>Wholesale</x:v>
      </x:c>
      <x:c r="F113" t="str">
        <x:v>Istanbul</x:v>
      </x:c>
      <x:c r="G113" s="4" t="n">
        <x:v>6</x:v>
      </x:c>
      <x:c r="H113" s="5" t="n">
        <x:v>20.32</x:v>
      </x:c>
      <x:c r="I113" s="6" t="n">
        <x:v>0</x:v>
      </x:c>
      <x:c r="J113" s="5" t="n">
        <x:v>121.92</x:v>
      </x:c>
      <x:c r="K113" s="5" t="n">
        <x:v>70.8</x:v>
      </x:c>
      <x:c r="L113" s="5" t="n">
        <x:v>51.12</x:v>
      </x:c>
      <x:c r="M113" t="str">
        <x:v>2026-03</x:v>
      </x:c>
    </x:row>
    <x:row r="114">
      <x:c r="A114" t="str">
        <x:v>ORD-1113</x:v>
      </x:c>
      <x:c r="B114" s="3" t="n">
        <x:v>46088</x:v>
      </x:c>
      <x:c r="C114" t="str">
        <x:v>Cold Brew Bottle</x:v>
      </x:c>
      <x:c r="D114" t="str">
        <x:v>Equipment</x:v>
      </x:c>
      <x:c r="E114" t="str">
        <x:v>Retail Store</x:v>
      </x:c>
      <x:c r="F114" t="str">
        <x:v>Izmir</x:v>
      </x:c>
      <x:c r="G114" s="4" t="n">
        <x:v>3</x:v>
      </x:c>
      <x:c r="H114" s="5" t="n">
        <x:v>24.38</x:v>
      </x:c>
      <x:c r="I114" s="6" t="n">
        <x:v>0</x:v>
      </x:c>
      <x:c r="J114" s="5" t="n">
        <x:v>73.14</x:v>
      </x:c>
      <x:c r="K114" s="5" t="n">
        <x:v>37.5</x:v>
      </x:c>
      <x:c r="L114" s="5" t="n">
        <x:v>35.64</x:v>
      </x:c>
      <x:c r="M114" t="str">
        <x:v>2026-03</x:v>
      </x:c>
    </x:row>
    <x:row r="115">
      <x:c r="A115" t="str">
        <x:v>ORD-1114</x:v>
      </x:c>
      <x:c r="B115" s="3" t="n">
        <x:v>46095</x:v>
      </x:c>
      <x:c r="C115" t="str">
        <x:v>Filter Beans 1kg</x:v>
      </x:c>
      <x:c r="D115" t="str">
        <x:v>Coffee</x:v>
      </x:c>
      <x:c r="E115" t="str">
        <x:v>Online</x:v>
      </x:c>
      <x:c r="F115" t="str">
        <x:v>Istanbul</x:v>
      </x:c>
      <x:c r="G115" s="4" t="n">
        <x:v>8</x:v>
      </x:c>
      <x:c r="H115" s="5" t="n">
        <x:v>20.32</x:v>
      </x:c>
      <x:c r="I115" s="6" t="n">
        <x:v>0</x:v>
      </x:c>
      <x:c r="J115" s="5" t="n">
        <x:v>162.56</x:v>
      </x:c>
      <x:c r="K115" s="5" t="n">
        <x:v>94.4</x:v>
      </x:c>
      <x:c r="L115" s="5" t="n">
        <x:v>68.16</x:v>
      </x:c>
      <x:c r="M115" t="str">
        <x:v>2026-03</x:v>
      </x:c>
    </x:row>
    <x:row r="116">
      <x:c r="A116" t="str">
        <x:v>ORD-1115</x:v>
      </x:c>
      <x:c r="B116" s="3" t="n">
        <x:v>46102</x:v>
      </x:c>
      <x:c r="C116" t="str">
        <x:v>Cold Brew Bottle</x:v>
      </x:c>
      <x:c r="D116" t="str">
        <x:v>Equipment</x:v>
      </x:c>
      <x:c r="E116" t="str">
        <x:v>Wholesale</x:v>
      </x:c>
      <x:c r="F116" t="str">
        <x:v>Izmir</x:v>
      </x:c>
      <x:c r="G116" s="4" t="n">
        <x:v>5</x:v>
      </x:c>
      <x:c r="H116" s="5" t="n">
        <x:v>24.38</x:v>
      </x:c>
      <x:c r="I116" s="6" t="n">
        <x:v>0</x:v>
      </x:c>
      <x:c r="J116" s="5" t="n">
        <x:v>121.9</x:v>
      </x:c>
      <x:c r="K116" s="5" t="n">
        <x:v>62.5</x:v>
      </x:c>
      <x:c r="L116" s="5" t="n">
        <x:v>59.4</x:v>
      </x:c>
      <x:c r="M116" t="str">
        <x:v>2026-03</x:v>
      </x:c>
    </x:row>
    <x:row r="117">
      <x:c r="A117" t="str">
        <x:v>ORD-1116</x:v>
      </x:c>
      <x:c r="B117" s="3" t="n">
        <x:v>46109</x:v>
      </x:c>
      <x:c r="C117" t="str">
        <x:v>Filter Beans 1kg</x:v>
      </x:c>
      <x:c r="D117" t="str">
        <x:v>Coffee</x:v>
      </x:c>
      <x:c r="E117" t="str">
        <x:v>Retail Store</x:v>
      </x:c>
      <x:c r="F117" t="str">
        <x:v>Istanbul</x:v>
      </x:c>
      <x:c r="G117" s="4" t="n">
        <x:v>2</x:v>
      </x:c>
      <x:c r="H117" s="5" t="n">
        <x:v>20.32</x:v>
      </x:c>
      <x:c r="I117" s="6" t="n">
        <x:v>0</x:v>
      </x:c>
      <x:c r="J117" s="5" t="n">
        <x:v>40.64</x:v>
      </x:c>
      <x:c r="K117" s="5" t="n">
        <x:v>23.6</x:v>
      </x:c>
      <x:c r="L117" s="5" t="n">
        <x:v>17.04</x:v>
      </x:c>
      <x:c r="M117" t="str">
        <x:v>2026-03</x:v>
      </x:c>
    </x:row>
    <x:row r="118">
      <x:c r="A118" t="str">
        <x:v>ORD-1117</x:v>
      </x:c>
      <x:c r="B118" s="3" t="n">
        <x:v>46088</x:v>
      </x:c>
      <x:c r="C118" t="str">
        <x:v>Cold Brew Bottle</x:v>
      </x:c>
      <x:c r="D118" t="str">
        <x:v>Equipment</x:v>
      </x:c>
      <x:c r="E118" t="str">
        <x:v>Online</x:v>
      </x:c>
      <x:c r="F118" t="str">
        <x:v>Izmir</x:v>
      </x:c>
      <x:c r="G118" s="4" t="n">
        <x:v>7</x:v>
      </x:c>
      <x:c r="H118" s="5" t="n">
        <x:v>24.38</x:v>
      </x:c>
      <x:c r="I118" s="6" t="n">
        <x:v>0</x:v>
      </x:c>
      <x:c r="J118" s="5" t="n">
        <x:v>170.66</x:v>
      </x:c>
      <x:c r="K118" s="5" t="n">
        <x:v>87.5</x:v>
      </x:c>
      <x:c r="L118" s="5" t="n">
        <x:v>83.16</x:v>
      </x:c>
      <x:c r="M118" t="str">
        <x:v>2026-03</x:v>
      </x:c>
    </x:row>
    <x:row r="119">
      <x:c r="A119" t="str">
        <x:v>ORD-1118</x:v>
      </x:c>
      <x:c r="B119" s="3" t="n">
        <x:v>46095</x:v>
      </x:c>
      <x:c r="C119" t="str">
        <x:v>Filter Beans 1kg</x:v>
      </x:c>
      <x:c r="D119" t="str">
        <x:v>Coffee</x:v>
      </x:c>
      <x:c r="E119" t="str">
        <x:v>Wholesale</x:v>
      </x:c>
      <x:c r="F119" t="str">
        <x:v>Istanbul</x:v>
      </x:c>
      <x:c r="G119" s="4" t="n">
        <x:v>4</x:v>
      </x:c>
      <x:c r="H119" s="5" t="n">
        <x:v>20.32</x:v>
      </x:c>
      <x:c r="I119" s="6" t="n">
        <x:v>0.1</x:v>
      </x:c>
      <x:c r="J119" s="5" t="n">
        <x:v>73.15</x:v>
      </x:c>
      <x:c r="K119" s="5" t="n">
        <x:v>47.2</x:v>
      </x:c>
      <x:c r="L119" s="5" t="n">
        <x:v>25.95</x:v>
      </x:c>
      <x:c r="M119" t="str">
        <x:v>2026-03</x:v>
      </x:c>
    </x:row>
    <x:row r="120">
      <x:c r="A120" t="str">
        <x:v>ORD-1119</x:v>
      </x:c>
      <x:c r="B120" s="3" t="n">
        <x:v>46102</x:v>
      </x:c>
      <x:c r="C120" t="str">
        <x:v>Cold Brew Bottle</x:v>
      </x:c>
      <x:c r="D120" t="str">
        <x:v>Equipment</x:v>
      </x:c>
      <x:c r="E120" t="str">
        <x:v>Retail Store</x:v>
      </x:c>
      <x:c r="F120" t="str">
        <x:v>Izmir</x:v>
      </x:c>
      <x:c r="G120" s="4" t="n">
        <x:v>1</x:v>
      </x:c>
      <x:c r="H120" s="5" t="n">
        <x:v>24.38</x:v>
      </x:c>
      <x:c r="I120" s="6" t="n">
        <x:v>0.15</x:v>
      </x:c>
      <x:c r="J120" s="5" t="n">
        <x:v>20.72</x:v>
      </x:c>
      <x:c r="K120" s="5" t="n">
        <x:v>12.5</x:v>
      </x:c>
      <x:c r="L120" s="5" t="n">
        <x:v>8.22</x:v>
      </x:c>
      <x:c r="M120" t="str">
        <x:v>2026-03</x:v>
      </x:c>
    </x:row>
    <x:row r="121">
      <x:c r="A121" t="str">
        <x:v>ORD-1120</x:v>
      </x:c>
      <x:c r="B121" s="3" t="n">
        <x:v>46109</x:v>
      </x:c>
      <x:c r="C121" t="str">
        <x:v>Filter Beans 1kg</x:v>
      </x:c>
      <x:c r="D121" t="str">
        <x:v>Coffee</x:v>
      </x:c>
      <x:c r="E121" t="str">
        <x:v>Online</x:v>
      </x:c>
      <x:c r="F121" t="str">
        <x:v>Istanbul</x:v>
      </x:c>
      <x:c r="G121" s="4" t="n">
        <x:v>6</x:v>
      </x:c>
      <x:c r="H121" s="5" t="n">
        <x:v>20.32</x:v>
      </x:c>
      <x:c r="I121" s="6" t="n">
        <x:v>0</x:v>
      </x:c>
      <x:c r="J121" s="5" t="n">
        <x:v>121.92</x:v>
      </x:c>
      <x:c r="K121" s="5" t="n">
        <x:v>70.8</x:v>
      </x:c>
      <x:c r="L121" s="5" t="n">
        <x:v>51.12</x:v>
      </x:c>
      <x:c r="M121" t="str">
        <x:v>2026-03</x:v>
      </x:c>
    </x:row>
    <x:row r="122">
      <x:c r="A122" t="str">
        <x:v>ORD-1121</x:v>
      </x:c>
      <x:c r="B122" s="3" t="n">
        <x:v>46088</x:v>
      </x:c>
      <x:c r="C122" t="str">
        <x:v>Cold Brew Bottle</x:v>
      </x:c>
      <x:c r="D122" t="str">
        <x:v>Equipment</x:v>
      </x:c>
      <x:c r="E122" t="str">
        <x:v>Wholesale</x:v>
      </x:c>
      <x:c r="F122" t="str">
        <x:v>Izmir</x:v>
      </x:c>
      <x:c r="G122" s="4" t="n">
        <x:v>3</x:v>
      </x:c>
      <x:c r="H122" s="5" t="n">
        <x:v>24.38</x:v>
      </x:c>
      <x:c r="I122" s="6" t="n">
        <x:v>0</x:v>
      </x:c>
      <x:c r="J122" s="5" t="n">
        <x:v>73.14</x:v>
      </x:c>
      <x:c r="K122" s="5" t="n">
        <x:v>37.5</x:v>
      </x:c>
      <x:c r="L122" s="5" t="n">
        <x:v>35.64</x:v>
      </x:c>
      <x:c r="M122" t="str">
        <x:v>2026-03</x:v>
      </x:c>
    </x:row>
    <x:row r="123">
      <x:c r="A123" t="str">
        <x:v>ORD-1122</x:v>
      </x:c>
      <x:c r="B123" s="3" t="n">
        <x:v>46095</x:v>
      </x:c>
      <x:c r="C123" t="str">
        <x:v>Filter Beans 1kg</x:v>
      </x:c>
      <x:c r="D123" t="str">
        <x:v>Coffee</x:v>
      </x:c>
      <x:c r="E123" t="str">
        <x:v>Retail Store</x:v>
      </x:c>
      <x:c r="F123" t="str">
        <x:v>Istanbul</x:v>
      </x:c>
      <x:c r="G123" s="4" t="n">
        <x:v>8</x:v>
      </x:c>
      <x:c r="H123" s="5" t="n">
        <x:v>20.32</x:v>
      </x:c>
      <x:c r="I123" s="6" t="n">
        <x:v>0</x:v>
      </x:c>
      <x:c r="J123" s="5" t="n">
        <x:v>162.56</x:v>
      </x:c>
      <x:c r="K123" s="5" t="n">
        <x:v>94.4</x:v>
      </x:c>
      <x:c r="L123" s="5" t="n">
        <x:v>68.16</x:v>
      </x:c>
      <x:c r="M123" t="str">
        <x:v>2026-03</x:v>
      </x:c>
    </x:row>
    <x:row r="124">
      <x:c r="A124" t="str">
        <x:v>ORD-1123</x:v>
      </x:c>
      <x:c r="B124" s="3" t="n">
        <x:v>46102</x:v>
      </x:c>
      <x:c r="C124" t="str">
        <x:v>Cold Brew Bottle</x:v>
      </x:c>
      <x:c r="D124" t="str">
        <x:v>Equipment</x:v>
      </x:c>
      <x:c r="E124" t="str">
        <x:v>Online</x:v>
      </x:c>
      <x:c r="F124" t="str">
        <x:v>Izmir</x:v>
      </x:c>
      <x:c r="G124" s="4" t="n">
        <x:v>5</x:v>
      </x:c>
      <x:c r="H124" s="5" t="n">
        <x:v>24.38</x:v>
      </x:c>
      <x:c r="I124" s="6" t="n">
        <x:v>0</x:v>
      </x:c>
      <x:c r="J124" s="5" t="n">
        <x:v>121.9</x:v>
      </x:c>
      <x:c r="K124" s="5" t="n">
        <x:v>62.5</x:v>
      </x:c>
      <x:c r="L124" s="5" t="n">
        <x:v>59.4</x:v>
      </x:c>
      <x:c r="M124" t="str">
        <x:v>2026-03</x:v>
      </x:c>
    </x:row>
    <x:row r="125">
      <x:c r="A125" t="str">
        <x:v>ORD-1124</x:v>
      </x:c>
      <x:c r="B125" s="3" t="n">
        <x:v>46109</x:v>
      </x:c>
      <x:c r="C125" t="str">
        <x:v>Filter Beans 1kg</x:v>
      </x:c>
      <x:c r="D125" t="str">
        <x:v>Coffee</x:v>
      </x:c>
      <x:c r="E125" t="str">
        <x:v>Wholesale</x:v>
      </x:c>
      <x:c r="F125" t="str">
        <x:v>Istanbul</x:v>
      </x:c>
      <x:c r="G125" s="4" t="n">
        <x:v>2</x:v>
      </x:c>
      <x:c r="H125" s="5" t="n">
        <x:v>20.32</x:v>
      </x:c>
      <x:c r="I125" s="6" t="n">
        <x:v>0</x:v>
      </x:c>
      <x:c r="J125" s="5" t="n">
        <x:v>40.64</x:v>
      </x:c>
      <x:c r="K125" s="5" t="n">
        <x:v>23.6</x:v>
      </x:c>
      <x:c r="L125" s="5" t="n">
        <x:v>17.04</x:v>
      </x:c>
      <x:c r="M125" t="str">
        <x:v>2026-03</x:v>
      </x:c>
    </x:row>
    <x:row r="126">
      <x:c r="A126" t="str">
        <x:v>ORD-1125</x:v>
      </x:c>
      <x:c r="B126" s="3" t="n">
        <x:v>46088</x:v>
      </x:c>
      <x:c r="C126" t="str">
        <x:v>Cold Brew Bottle</x:v>
      </x:c>
      <x:c r="D126" t="str">
        <x:v>Equipment</x:v>
      </x:c>
      <x:c r="E126" t="str">
        <x:v>Retail Store</x:v>
      </x:c>
      <x:c r="F126" t="str">
        <x:v>Izmir</x:v>
      </x:c>
      <x:c r="G126" s="4" t="n">
        <x:v>7</x:v>
      </x:c>
      <x:c r="H126" s="5" t="n">
        <x:v>24.38</x:v>
      </x:c>
      <x:c r="I126" s="6" t="n">
        <x:v>0.1</x:v>
      </x:c>
      <x:c r="J126" s="5" t="n">
        <x:v>153.59</x:v>
      </x:c>
      <x:c r="K126" s="5" t="n">
        <x:v>87.5</x:v>
      </x:c>
      <x:c r="L126" s="5" t="n">
        <x:v>66.09</x:v>
      </x:c>
      <x:c r="M126" t="str">
        <x:v>2026-03</x:v>
      </x:c>
    </x:row>
    <x:row r="127">
      <x:c r="A127" t="str">
        <x:v>ORD-1126</x:v>
      </x:c>
      <x:c r="B127" s="3" t="n">
        <x:v>46095</x:v>
      </x:c>
      <x:c r="C127" t="str">
        <x:v>Filter Beans 1kg</x:v>
      </x:c>
      <x:c r="D127" t="str">
        <x:v>Coffee</x:v>
      </x:c>
      <x:c r="E127" t="str">
        <x:v>Online</x:v>
      </x:c>
      <x:c r="F127" t="str">
        <x:v>Istanbul</x:v>
      </x:c>
      <x:c r="G127" s="4" t="n">
        <x:v>4</x:v>
      </x:c>
      <x:c r="H127" s="5" t="n">
        <x:v>20.32</x:v>
      </x:c>
      <x:c r="I127" s="6" t="n">
        <x:v>0</x:v>
      </x:c>
      <x:c r="J127" s="5" t="n">
        <x:v>81.28</x:v>
      </x:c>
      <x:c r="K127" s="5" t="n">
        <x:v>47.2</x:v>
      </x:c>
      <x:c r="L127" s="5" t="n">
        <x:v>34.08</x:v>
      </x:c>
      <x:c r="M127" t="str">
        <x:v>2026-03</x:v>
      </x:c>
    </x:row>
    <x:row r="128">
      <x:c r="A128" t="str">
        <x:v>ORD-1127</x:v>
      </x:c>
      <x:c r="B128" s="3" t="n">
        <x:v>46102</x:v>
      </x:c>
      <x:c r="C128" t="str">
        <x:v>Cold Brew Bottle</x:v>
      </x:c>
      <x:c r="D128" t="str">
        <x:v>Equipment</x:v>
      </x:c>
      <x:c r="E128" t="str">
        <x:v>Wholesale</x:v>
      </x:c>
      <x:c r="F128" t="str">
        <x:v>Izmir</x:v>
      </x:c>
      <x:c r="G128" s="4" t="n">
        <x:v>1</x:v>
      </x:c>
      <x:c r="H128" s="5" t="n">
        <x:v>24.38</x:v>
      </x:c>
      <x:c r="I128" s="6" t="n">
        <x:v>0</x:v>
      </x:c>
      <x:c r="J128" s="5" t="n">
        <x:v>24.38</x:v>
      </x:c>
      <x:c r="K128" s="5" t="n">
        <x:v>12.5</x:v>
      </x:c>
      <x:c r="L128" s="5" t="n">
        <x:v>11.88</x:v>
      </x:c>
      <x:c r="M128" t="str">
        <x:v>2026-03</x:v>
      </x:c>
    </x:row>
    <x:row r="129">
      <x:c r="A129" t="str">
        <x:v>ORD-1128</x:v>
      </x:c>
      <x:c r="B129" s="3" t="n">
        <x:v>46109</x:v>
      </x:c>
      <x:c r="C129" t="str">
        <x:v>Filter Beans 1kg</x:v>
      </x:c>
      <x:c r="D129" t="str">
        <x:v>Coffee</x:v>
      </x:c>
      <x:c r="E129" t="str">
        <x:v>Retail Store</x:v>
      </x:c>
      <x:c r="F129" t="str">
        <x:v>Istanbul</x:v>
      </x:c>
      <x:c r="G129" s="4" t="n">
        <x:v>6</x:v>
      </x:c>
      <x:c r="H129" s="5" t="n">
        <x:v>20.32</x:v>
      </x:c>
      <x:c r="I129" s="6" t="n">
        <x:v>0</x:v>
      </x:c>
      <x:c r="J129" s="5" t="n">
        <x:v>121.92</x:v>
      </x:c>
      <x:c r="K129" s="5" t="n">
        <x:v>70.8</x:v>
      </x:c>
      <x:c r="L129" s="5" t="n">
        <x:v>51.12</x:v>
      </x:c>
      <x:c r="M129" t="str">
        <x:v>2026-03</x:v>
      </x:c>
    </x:row>
    <x:row r="130">
      <x:c r="A130" t="str">
        <x:v>ORD-1129</x:v>
      </x:c>
      <x:c r="B130" s="3" t="n">
        <x:v>46088</x:v>
      </x:c>
      <x:c r="C130" t="str">
        <x:v>Cold Brew Bottle</x:v>
      </x:c>
      <x:c r="D130" t="str">
        <x:v>Equipment</x:v>
      </x:c>
      <x:c r="E130" t="str">
        <x:v>Online</x:v>
      </x:c>
      <x:c r="F130" t="str">
        <x:v>Izmir</x:v>
      </x:c>
      <x:c r="G130" s="4" t="n">
        <x:v>3</x:v>
      </x:c>
      <x:c r="H130" s="5" t="n">
        <x:v>24.38</x:v>
      </x:c>
      <x:c r="I130" s="6" t="n">
        <x:v>0</x:v>
      </x:c>
      <x:c r="J130" s="5" t="n">
        <x:v>73.14</x:v>
      </x:c>
      <x:c r="K130" s="5" t="n">
        <x:v>37.5</x:v>
      </x:c>
      <x:c r="L130" s="5" t="n">
        <x:v>35.64</x:v>
      </x:c>
      <x:c r="M130" t="str">
        <x:v>2026-03</x:v>
      </x:c>
    </x:row>
    <x:row r="131">
      <x:c r="A131" t="str">
        <x:v>ORD-1130</x:v>
      </x:c>
      <x:c r="B131" s="3" t="n">
        <x:v>46095</x:v>
      </x:c>
      <x:c r="C131" t="str">
        <x:v>Filter Beans 1kg</x:v>
      </x:c>
      <x:c r="D131" t="str">
        <x:v>Coffee</x:v>
      </x:c>
      <x:c r="E131" t="str">
        <x:v>Wholesale</x:v>
      </x:c>
      <x:c r="F131" t="str">
        <x:v>Istanbul</x:v>
      </x:c>
      <x:c r="G131" s="4" t="n">
        <x:v>8</x:v>
      </x:c>
      <x:c r="H131" s="5" t="n">
        <x:v>20.32</x:v>
      </x:c>
      <x:c r="I131" s="6" t="n">
        <x:v>0.15</x:v>
      </x:c>
      <x:c r="J131" s="5" t="n">
        <x:v>138.18</x:v>
      </x:c>
      <x:c r="K131" s="5" t="n">
        <x:v>94.4</x:v>
      </x:c>
      <x:c r="L131" s="5" t="n">
        <x:v>43.78</x:v>
      </x:c>
      <x:c r="M131" t="str">
        <x:v>2026-03</x:v>
      </x:c>
    </x:row>
    <x:row r="132">
      <x:c r="A132" t="str">
        <x:v>ORD-1131</x:v>
      </x:c>
      <x:c r="B132" s="3" t="n">
        <x:v>46102</x:v>
      </x:c>
      <x:c r="C132" t="str">
        <x:v>Cold Brew Bottle</x:v>
      </x:c>
      <x:c r="D132" t="str">
        <x:v>Equipment</x:v>
      </x:c>
      <x:c r="E132" t="str">
        <x:v>Retail Store</x:v>
      </x:c>
      <x:c r="F132" t="str">
        <x:v>Izmir</x:v>
      </x:c>
      <x:c r="G132" s="4" t="n">
        <x:v>5</x:v>
      </x:c>
      <x:c r="H132" s="5" t="n">
        <x:v>24.38</x:v>
      </x:c>
      <x:c r="I132" s="6" t="n">
        <x:v>0</x:v>
      </x:c>
      <x:c r="J132" s="5" t="n">
        <x:v>121.9</x:v>
      </x:c>
      <x:c r="K132" s="5" t="n">
        <x:v>62.5</x:v>
      </x:c>
      <x:c r="L132" s="5" t="n">
        <x:v>59.4</x:v>
      </x:c>
      <x:c r="M132" t="str">
        <x:v>2026-03</x:v>
      </x:c>
    </x:row>
    <x:row r="133">
      <x:c r="A133" t="str">
        <x:v>ORD-1132</x:v>
      </x:c>
      <x:c r="B133" s="3" t="n">
        <x:v>46109</x:v>
      </x:c>
      <x:c r="C133" t="str">
        <x:v>Filter Beans 1kg</x:v>
      </x:c>
      <x:c r="D133" t="str">
        <x:v>Coffee</x:v>
      </x:c>
      <x:c r="E133" t="str">
        <x:v>Online</x:v>
      </x:c>
      <x:c r="F133" t="str">
        <x:v>Istanbul</x:v>
      </x:c>
      <x:c r="G133" s="4" t="n">
        <x:v>2</x:v>
      </x:c>
      <x:c r="H133" s="5" t="n">
        <x:v>20.32</x:v>
      </x:c>
      <x:c r="I133" s="6" t="n">
        <x:v>0.1</x:v>
      </x:c>
      <x:c r="J133" s="5" t="n">
        <x:v>36.58</x:v>
      </x:c>
      <x:c r="K133" s="5" t="n">
        <x:v>23.6</x:v>
      </x:c>
      <x:c r="L133" s="5" t="n">
        <x:v>12.98</x:v>
      </x:c>
      <x:c r="M133" t="str">
        <x:v>2026-03</x:v>
      </x:c>
    </x:row>
    <x:row r="134">
      <x:c r="A134" t="str">
        <x:v>ORD-1133</x:v>
      </x:c>
      <x:c r="B134" s="3" t="n">
        <x:v>46088</x:v>
      </x:c>
      <x:c r="C134" t="str">
        <x:v>Cold Brew Bottle</x:v>
      </x:c>
      <x:c r="D134" t="str">
        <x:v>Equipment</x:v>
      </x:c>
      <x:c r="E134" t="str">
        <x:v>Wholesale</x:v>
      </x:c>
      <x:c r="F134" t="str">
        <x:v>Izmir</x:v>
      </x:c>
      <x:c r="G134" s="4" t="n">
        <x:v>7</x:v>
      </x:c>
      <x:c r="H134" s="5" t="n">
        <x:v>24.38</x:v>
      </x:c>
      <x:c r="I134" s="6" t="n">
        <x:v>0</x:v>
      </x:c>
      <x:c r="J134" s="5" t="n">
        <x:v>170.66</x:v>
      </x:c>
      <x:c r="K134" s="5" t="n">
        <x:v>87.5</x:v>
      </x:c>
      <x:c r="L134" s="5" t="n">
        <x:v>83.16</x:v>
      </x:c>
      <x:c r="M134" t="str">
        <x:v>2026-03</x:v>
      </x:c>
    </x:row>
    <x:row r="135">
      <x:c r="A135" t="str">
        <x:v>ORD-1134</x:v>
      </x:c>
      <x:c r="B135" s="3" t="n">
        <x:v>46095</x:v>
      </x:c>
      <x:c r="C135" t="str">
        <x:v>Filter Beans 1kg</x:v>
      </x:c>
      <x:c r="D135" t="str">
        <x:v>Coffee</x:v>
      </x:c>
      <x:c r="E135" t="str">
        <x:v>Retail Store</x:v>
      </x:c>
      <x:c r="F135" t="str">
        <x:v>Istanbul</x:v>
      </x:c>
      <x:c r="G135" s="4" t="n">
        <x:v>4</x:v>
      </x:c>
      <x:c r="H135" s="5" t="n">
        <x:v>20.32</x:v>
      </x:c>
      <x:c r="I135" s="6" t="n">
        <x:v>0</x:v>
      </x:c>
      <x:c r="J135" s="5" t="n">
        <x:v>81.28</x:v>
      </x:c>
      <x:c r="K135" s="5" t="n">
        <x:v>47.2</x:v>
      </x:c>
      <x:c r="L135" s="5" t="n">
        <x:v>34.08</x:v>
      </x:c>
      <x:c r="M135" t="str">
        <x:v>2026-03</x:v>
      </x:c>
    </x:row>
    <x:row r="136">
      <x:c r="A136" t="str">
        <x:v>ORD-1135</x:v>
      </x:c>
      <x:c r="B136" s="3" t="n">
        <x:v>46102</x:v>
      </x:c>
      <x:c r="C136" t="str">
        <x:v>Cold Brew Bottle</x:v>
      </x:c>
      <x:c r="D136" t="str">
        <x:v>Equipment</x:v>
      </x:c>
      <x:c r="E136" t="str">
        <x:v>Online</x:v>
      </x:c>
      <x:c r="F136" t="str">
        <x:v>Izmir</x:v>
      </x:c>
      <x:c r="G136" s="4" t="n">
        <x:v>1</x:v>
      </x:c>
      <x:c r="H136" s="5" t="n">
        <x:v>24.38</x:v>
      </x:c>
      <x:c r="I136" s="6" t="n">
        <x:v>0</x:v>
      </x:c>
      <x:c r="J136" s="5" t="n">
        <x:v>24.38</x:v>
      </x:c>
      <x:c r="K136" s="5" t="n">
        <x:v>12.5</x:v>
      </x:c>
      <x:c r="L136" s="5" t="n">
        <x:v>11.88</x:v>
      </x:c>
      <x:c r="M136" t="str">
        <x:v>2026-03</x:v>
      </x:c>
    </x:row>
    <x:row r="137">
      <x:c r="A137" t="str">
        <x:v>ORD-1136</x:v>
      </x:c>
      <x:c r="B137" s="3" t="n">
        <x:v>46109</x:v>
      </x:c>
      <x:c r="C137" t="str">
        <x:v>Filter Beans 1kg</x:v>
      </x:c>
      <x:c r="D137" t="str">
        <x:v>Coffee</x:v>
      </x:c>
      <x:c r="E137" t="str">
        <x:v>Wholesale</x:v>
      </x:c>
      <x:c r="F137" t="str">
        <x:v>Istanbul</x:v>
      </x:c>
      <x:c r="G137" s="4" t="n">
        <x:v>6</x:v>
      </x:c>
      <x:c r="H137" s="5" t="n">
        <x:v>20.32</x:v>
      </x:c>
      <x:c r="I137" s="6" t="n">
        <x:v>0</x:v>
      </x:c>
      <x:c r="J137" s="5" t="n">
        <x:v>121.92</x:v>
      </x:c>
      <x:c r="K137" s="5" t="n">
        <x:v>70.8</x:v>
      </x:c>
      <x:c r="L137" s="5" t="n">
        <x:v>51.12</x:v>
      </x:c>
      <x:c r="M137" t="str">
        <x:v>2026-03</x:v>
      </x:c>
    </x:row>
    <x:row r="138">
      <x:c r="A138" t="str">
        <x:v>ORD-1137</x:v>
      </x:c>
      <x:c r="B138" s="3" t="n">
        <x:v>46088</x:v>
      </x:c>
      <x:c r="C138" t="str">
        <x:v>Cold Brew Bottle</x:v>
      </x:c>
      <x:c r="D138" t="str">
        <x:v>Equipment</x:v>
      </x:c>
      <x:c r="E138" t="str">
        <x:v>Retail Store</x:v>
      </x:c>
      <x:c r="F138" t="str">
        <x:v>Izmir</x:v>
      </x:c>
      <x:c r="G138" s="4" t="n">
        <x:v>3</x:v>
      </x:c>
      <x:c r="H138" s="5" t="n">
        <x:v>24.38</x:v>
      </x:c>
      <x:c r="I138" s="6" t="n">
        <x:v>0</x:v>
      </x:c>
      <x:c r="J138" s="5" t="n">
        <x:v>73.14</x:v>
      </x:c>
      <x:c r="K138" s="5" t="n">
        <x:v>37.5</x:v>
      </x:c>
      <x:c r="L138" s="5" t="n">
        <x:v>35.64</x:v>
      </x:c>
      <x:c r="M138" t="str">
        <x:v>2026-03</x:v>
      </x:c>
    </x:row>
    <x:row r="139">
      <x:c r="A139" t="str">
        <x:v>ORD-1138</x:v>
      </x:c>
      <x:c r="B139" s="3" t="n">
        <x:v>46095</x:v>
      </x:c>
      <x:c r="C139" t="str">
        <x:v>Filter Beans 1kg</x:v>
      </x:c>
      <x:c r="D139" t="str">
        <x:v>Coffee</x:v>
      </x:c>
      <x:c r="E139" t="str">
        <x:v>Online</x:v>
      </x:c>
      <x:c r="F139" t="str">
        <x:v>Istanbul</x:v>
      </x:c>
      <x:c r="G139" s="4" t="n">
        <x:v>8</x:v>
      </x:c>
      <x:c r="H139" s="5" t="n">
        <x:v>20.32</x:v>
      </x:c>
      <x:c r="I139" s="6" t="n">
        <x:v>0</x:v>
      </x:c>
      <x:c r="J139" s="5" t="n">
        <x:v>162.56</x:v>
      </x:c>
      <x:c r="K139" s="5" t="n">
        <x:v>94.4</x:v>
      </x:c>
      <x:c r="L139" s="5" t="n">
        <x:v>68.16</x:v>
      </x:c>
      <x:c r="M139" t="str">
        <x:v>2026-03</x:v>
      </x:c>
    </x:row>
    <x:row r="140">
      <x:c r="A140" t="str">
        <x:v>ORD-1139</x:v>
      </x:c>
      <x:c r="B140" s="3" t="n">
        <x:v>46102</x:v>
      </x:c>
      <x:c r="C140" t="str">
        <x:v>Cold Brew Bottle</x:v>
      </x:c>
      <x:c r="D140" t="str">
        <x:v>Equipment</x:v>
      </x:c>
      <x:c r="E140" t="str">
        <x:v>Wholesale</x:v>
      </x:c>
      <x:c r="F140" t="str">
        <x:v>Izmir</x:v>
      </x:c>
      <x:c r="G140" s="4" t="n">
        <x:v>5</x:v>
      </x:c>
      <x:c r="H140" s="5" t="n">
        <x:v>24.38</x:v>
      </x:c>
      <x:c r="I140" s="6" t="n">
        <x:v>0.1</x:v>
      </x:c>
      <x:c r="J140" s="5" t="n">
        <x:v>109.71</x:v>
      </x:c>
      <x:c r="K140" s="5" t="n">
        <x:v>62.5</x:v>
      </x:c>
      <x:c r="L140" s="5" t="n">
        <x:v>47.21</x:v>
      </x:c>
      <x:c r="M140" t="str">
        <x:v>2026-03</x:v>
      </x:c>
    </x:row>
    <x:row r="141">
      <x:c r="A141" t="str">
        <x:v>ORD-1140</x:v>
      </x:c>
      <x:c r="B141" s="3" t="n">
        <x:v>46109</x:v>
      </x:c>
      <x:c r="C141" t="str">
        <x:v>Filter Beans 1kg</x:v>
      </x:c>
      <x:c r="D141" t="str">
        <x:v>Coffee</x:v>
      </x:c>
      <x:c r="E141" t="str">
        <x:v>Retail Store</x:v>
      </x:c>
      <x:c r="F141" t="str">
        <x:v>Istanbul</x:v>
      </x:c>
      <x:c r="G141" s="4" t="n">
        <x:v>2</x:v>
      </x:c>
      <x:c r="H141" s="5" t="n">
        <x:v>20.32</x:v>
      </x:c>
      <x:c r="I141" s="6" t="n">
        <x:v>0</x:v>
      </x:c>
      <x:c r="J141" s="5" t="n">
        <x:v>40.64</x:v>
      </x:c>
      <x:c r="K141" s="5" t="n">
        <x:v>23.6</x:v>
      </x:c>
      <x:c r="L141" s="5" t="n">
        <x:v>17.04</x:v>
      </x:c>
      <x:c r="M141" t="str">
        <x:v>2026-03</x:v>
      </x:c>
    </x:row>
    <x:row r="142">
      <x:c r="A142" t="str">
        <x:v>ORD-1141</x:v>
      </x:c>
      <x:c r="B142" s="3" t="n">
        <x:v>46088</x:v>
      </x:c>
      <x:c r="C142" t="str">
        <x:v>Cold Brew Bottle</x:v>
      </x:c>
      <x:c r="D142" t="str">
        <x:v>Equipment</x:v>
      </x:c>
      <x:c r="E142" t="str">
        <x:v>Online</x:v>
      </x:c>
      <x:c r="F142" t="str">
        <x:v>Izmir</x:v>
      </x:c>
      <x:c r="G142" s="4" t="n">
        <x:v>7</x:v>
      </x:c>
      <x:c r="H142" s="5" t="n">
        <x:v>24.38</x:v>
      </x:c>
      <x:c r="I142" s="6" t="n">
        <x:v>0.15</x:v>
      </x:c>
      <x:c r="J142" s="5" t="n">
        <x:v>145.06</x:v>
      </x:c>
      <x:c r="K142" s="5" t="n">
        <x:v>87.5</x:v>
      </x:c>
      <x:c r="L142" s="5" t="n">
        <x:v>57.56</x:v>
      </x:c>
      <x:c r="M142" t="str">
        <x:v>2026-03</x:v>
      </x:c>
    </x:row>
    <x:row r="143">
      <x:c r="A143" t="str">
        <x:v>ORD-1142</x:v>
      </x:c>
      <x:c r="B143" s="3" t="n">
        <x:v>46095</x:v>
      </x:c>
      <x:c r="C143" t="str">
        <x:v>Filter Beans 1kg</x:v>
      </x:c>
      <x:c r="D143" t="str">
        <x:v>Coffee</x:v>
      </x:c>
      <x:c r="E143" t="str">
        <x:v>Wholesale</x:v>
      </x:c>
      <x:c r="F143" t="str">
        <x:v>Istanbul</x:v>
      </x:c>
      <x:c r="G143" s="4" t="n">
        <x:v>4</x:v>
      </x:c>
      <x:c r="H143" s="5" t="n">
        <x:v>20.32</x:v>
      </x:c>
      <x:c r="I143" s="6" t="n">
        <x:v>0</x:v>
      </x:c>
      <x:c r="J143" s="5" t="n">
        <x:v>81.28</x:v>
      </x:c>
      <x:c r="K143" s="5" t="n">
        <x:v>47.2</x:v>
      </x:c>
      <x:c r="L143" s="5" t="n">
        <x:v>34.08</x:v>
      </x:c>
      <x:c r="M143" t="str">
        <x:v>2026-03</x:v>
      </x:c>
    </x:row>
    <x:row r="144">
      <x:c r="A144" t="str">
        <x:v>ORD-1143</x:v>
      </x:c>
      <x:c r="B144" s="3" t="n">
        <x:v>46102</x:v>
      </x:c>
      <x:c r="C144" t="str">
        <x:v>Cold Brew Bottle</x:v>
      </x:c>
      <x:c r="D144" t="str">
        <x:v>Equipment</x:v>
      </x:c>
      <x:c r="E144" t="str">
        <x:v>Retail Store</x:v>
      </x:c>
      <x:c r="F144" t="str">
        <x:v>Izmir</x:v>
      </x:c>
      <x:c r="G144" s="4" t="n">
        <x:v>1</x:v>
      </x:c>
      <x:c r="H144" s="5" t="n">
        <x:v>24.38</x:v>
      </x:c>
      <x:c r="I144" s="6" t="n">
        <x:v>0</x:v>
      </x:c>
      <x:c r="J144" s="5" t="n">
        <x:v>24.38</x:v>
      </x:c>
      <x:c r="K144" s="5" t="n">
        <x:v>12.5</x:v>
      </x:c>
      <x:c r="L144" s="5" t="n">
        <x:v>11.88</x:v>
      </x:c>
      <x:c r="M144" t="str">
        <x:v>2026-03</x:v>
      </x:c>
    </x:row>
    <x:row r="145">
      <x:c r="A145" t="str">
        <x:v>ORD-1144</x:v>
      </x:c>
      <x:c r="B145" s="3" t="n">
        <x:v>46109</x:v>
      </x:c>
      <x:c r="C145" t="str">
        <x:v>Filter Beans 1kg</x:v>
      </x:c>
      <x:c r="D145" t="str">
        <x:v>Coffee</x:v>
      </x:c>
      <x:c r="E145" t="str">
        <x:v>Online</x:v>
      </x:c>
      <x:c r="F145" t="str">
        <x:v>Istanbul</x:v>
      </x:c>
      <x:c r="G145" s="4" t="n">
        <x:v>6</x:v>
      </x:c>
      <x:c r="H145" s="5" t="n">
        <x:v>20.32</x:v>
      </x:c>
      <x:c r="I145" s="6" t="n">
        <x:v>0</x:v>
      </x:c>
      <x:c r="J145" s="5" t="n">
        <x:v>121.92</x:v>
      </x:c>
      <x:c r="K145" s="5" t="n">
        <x:v>70.8</x:v>
      </x:c>
      <x:c r="L145" s="5" t="n">
        <x:v>51.12</x:v>
      </x:c>
      <x:c r="M145" t="str">
        <x:v>2026-03</x:v>
      </x:c>
    </x:row>
    <x:row r="146">
      <x:c r="A146" t="str">
        <x:v>ORD-1145</x:v>
      </x:c>
      <x:c r="B146" s="3" t="n">
        <x:v>46122</x:v>
      </x:c>
      <x:c r="C146" t="str">
        <x:v>Espresso Beans 1kg</x:v>
      </x:c>
      <x:c r="D146" t="str">
        <x:v>Coffee</x:v>
      </x:c>
      <x:c r="E146" t="str">
        <x:v>Retail Store</x:v>
      </x:c>
      <x:c r="F146" t="str">
        <x:v>Bursa</x:v>
      </x:c>
      <x:c r="G146" s="4" t="n">
        <x:v>4</x:v>
      </x:c>
      <x:c r="H146" s="5" t="n">
        <x:v>18.43</x:v>
      </x:c>
      <x:c r="I146" s="6" t="n">
        <x:v>0.15</x:v>
      </x:c>
      <x:c r="J146" s="5" t="n">
        <x:v>62.66</x:v>
      </x:c>
      <x:c r="K146" s="5" t="n">
        <x:v>42</x:v>
      </x:c>
      <x:c r="L146" s="5" t="n">
        <x:v>20.66</x:v>
      </x:c>
      <x:c r="M146" t="str">
        <x:v>2026-04</x:v>
      </x:c>
    </x:row>
    <x:row r="147">
      <x:c r="A147" t="str">
        <x:v>ORD-1146</x:v>
      </x:c>
      <x:c r="B147" s="3" t="n">
        <x:v>46129</x:v>
      </x:c>
      <x:c r="C147" t="str">
        <x:v>French Press</x:v>
      </x:c>
      <x:c r="D147" t="str">
        <x:v>Equipment</x:v>
      </x:c>
      <x:c r="E147" t="str">
        <x:v>Online</x:v>
      </x:c>
      <x:c r="F147" t="str">
        <x:v>Ankara</x:v>
      </x:c>
      <x:c r="G147" s="4" t="n">
        <x:v>1</x:v>
      </x:c>
      <x:c r="H147" s="5" t="n">
        <x:v>32.77</x:v>
      </x:c>
      <x:c r="I147" s="6" t="n">
        <x:v>0</x:v>
      </x:c>
      <x:c r="J147" s="5" t="n">
        <x:v>32.77</x:v>
      </x:c>
      <x:c r="K147" s="5" t="n">
        <x:v>18</x:v>
      </x:c>
      <x:c r="L147" s="5" t="n">
        <x:v>14.77</x:v>
      </x:c>
      <x:c r="M147" t="str">
        <x:v>2026-04</x:v>
      </x:c>
    </x:row>
    <x:row r="148">
      <x:c r="A148" t="str">
        <x:v>ORD-1147</x:v>
      </x:c>
      <x:c r="B148" s="3" t="n">
        <x:v>46136</x:v>
      </x:c>
      <x:c r="C148" t="str">
        <x:v>Espresso Beans 1kg</x:v>
      </x:c>
      <x:c r="D148" t="str">
        <x:v>Coffee</x:v>
      </x:c>
      <x:c r="E148" t="str">
        <x:v>Wholesale</x:v>
      </x:c>
      <x:c r="F148" t="str">
        <x:v>Bursa</x:v>
      </x:c>
      <x:c r="G148" s="4" t="n">
        <x:v>6</x:v>
      </x:c>
      <x:c r="H148" s="5" t="n">
        <x:v>18.43</x:v>
      </x:c>
      <x:c r="I148" s="6" t="n">
        <x:v>0</x:v>
      </x:c>
      <x:c r="J148" s="5" t="n">
        <x:v>110.58</x:v>
      </x:c>
      <x:c r="K148" s="5" t="n">
        <x:v>63</x:v>
      </x:c>
      <x:c r="L148" s="5" t="n">
        <x:v>47.58</x:v>
      </x:c>
      <x:c r="M148" t="str">
        <x:v>2026-04</x:v>
      </x:c>
    </x:row>
    <x:row r="149">
      <x:c r="A149" t="str">
        <x:v>ORD-1148</x:v>
      </x:c>
      <x:c r="B149" s="3" t="n">
        <x:v>46115</x:v>
      </x:c>
      <x:c r="C149" t="str">
        <x:v>French Press</x:v>
      </x:c>
      <x:c r="D149" t="str">
        <x:v>Equipment</x:v>
      </x:c>
      <x:c r="E149" t="str">
        <x:v>Retail Store</x:v>
      </x:c>
      <x:c r="F149" t="str">
        <x:v>Ankara</x:v>
      </x:c>
      <x:c r="G149" s="4" t="n">
        <x:v>3</x:v>
      </x:c>
      <x:c r="H149" s="5" t="n">
        <x:v>32.77</x:v>
      </x:c>
      <x:c r="I149" s="6" t="n">
        <x:v>0</x:v>
      </x:c>
      <x:c r="J149" s="5" t="n">
        <x:v>98.31</x:v>
      </x:c>
      <x:c r="K149" s="5" t="n">
        <x:v>54</x:v>
      </x:c>
      <x:c r="L149" s="5" t="n">
        <x:v>44.31</x:v>
      </x:c>
      <x:c r="M149" t="str">
        <x:v>2026-04</x:v>
      </x:c>
    </x:row>
    <x:row r="150">
      <x:c r="A150" t="str">
        <x:v>ORD-1149</x:v>
      </x:c>
      <x:c r="B150" s="3" t="n">
        <x:v>46122</x:v>
      </x:c>
      <x:c r="C150" t="str">
        <x:v>Espresso Beans 1kg</x:v>
      </x:c>
      <x:c r="D150" t="str">
        <x:v>Coffee</x:v>
      </x:c>
      <x:c r="E150" t="str">
        <x:v>Online</x:v>
      </x:c>
      <x:c r="F150" t="str">
        <x:v>Bursa</x:v>
      </x:c>
      <x:c r="G150" s="4" t="n">
        <x:v>8</x:v>
      </x:c>
      <x:c r="H150" s="5" t="n">
        <x:v>18.43</x:v>
      </x:c>
      <x:c r="I150" s="6" t="n">
        <x:v>0</x:v>
      </x:c>
      <x:c r="J150" s="5" t="n">
        <x:v>147.44</x:v>
      </x:c>
      <x:c r="K150" s="5" t="n">
        <x:v>84</x:v>
      </x:c>
      <x:c r="L150" s="5" t="n">
        <x:v>63.44</x:v>
      </x:c>
      <x:c r="M150" t="str">
        <x:v>2026-04</x:v>
      </x:c>
    </x:row>
    <x:row r="151">
      <x:c r="A151" t="str">
        <x:v>ORD-1150</x:v>
      </x:c>
      <x:c r="B151" s="3" t="n">
        <x:v>46129</x:v>
      </x:c>
      <x:c r="C151" t="str">
        <x:v>French Press</x:v>
      </x:c>
      <x:c r="D151" t="str">
        <x:v>Equipment</x:v>
      </x:c>
      <x:c r="E151" t="str">
        <x:v>Wholesale</x:v>
      </x:c>
      <x:c r="F151" t="str">
        <x:v>Ankara</x:v>
      </x:c>
      <x:c r="G151" s="4" t="n">
        <x:v>5</x:v>
      </x:c>
      <x:c r="H151" s="5" t="n">
        <x:v>32.77</x:v>
      </x:c>
      <x:c r="I151" s="6" t="n">
        <x:v>0</x:v>
      </x:c>
      <x:c r="J151" s="5" t="n">
        <x:v>163.85</x:v>
      </x:c>
      <x:c r="K151" s="5" t="n">
        <x:v>90</x:v>
      </x:c>
      <x:c r="L151" s="5" t="n">
        <x:v>73.85</x:v>
      </x:c>
      <x:c r="M151" t="str">
        <x:v>2026-04</x:v>
      </x:c>
    </x:row>
    <x:row r="152">
      <x:c r="A152" t="str">
        <x:v>ORD-1151</x:v>
      </x:c>
      <x:c r="B152" s="3" t="n">
        <x:v>46136</x:v>
      </x:c>
      <x:c r="C152" t="str">
        <x:v>Espresso Beans 1kg</x:v>
      </x:c>
      <x:c r="D152" t="str">
        <x:v>Coffee</x:v>
      </x:c>
      <x:c r="E152" t="str">
        <x:v>Retail Store</x:v>
      </x:c>
      <x:c r="F152" t="str">
        <x:v>Bursa</x:v>
      </x:c>
      <x:c r="G152" s="4" t="n">
        <x:v>2</x:v>
      </x:c>
      <x:c r="H152" s="5" t="n">
        <x:v>18.43</x:v>
      </x:c>
      <x:c r="I152" s="6" t="n">
        <x:v>0</x:v>
      </x:c>
      <x:c r="J152" s="5" t="n">
        <x:v>36.86</x:v>
      </x:c>
      <x:c r="K152" s="5" t="n">
        <x:v>21</x:v>
      </x:c>
      <x:c r="L152" s="5" t="n">
        <x:v>15.86</x:v>
      </x:c>
      <x:c r="M152" t="str">
        <x:v>2026-04</x:v>
      </x:c>
    </x:row>
    <x:row r="153">
      <x:c r="A153" t="str">
        <x:v>ORD-1152</x:v>
      </x:c>
      <x:c r="B153" s="3" t="n">
        <x:v>46115</x:v>
      </x:c>
      <x:c r="C153" t="str">
        <x:v>French Press</x:v>
      </x:c>
      <x:c r="D153" t="str">
        <x:v>Equipment</x:v>
      </x:c>
      <x:c r="E153" t="str">
        <x:v>Online</x:v>
      </x:c>
      <x:c r="F153" t="str">
        <x:v>Ankara</x:v>
      </x:c>
      <x:c r="G153" s="4" t="n">
        <x:v>7</x:v>
      </x:c>
      <x:c r="H153" s="5" t="n">
        <x:v>32.77</x:v>
      </x:c>
      <x:c r="I153" s="6" t="n">
        <x:v>0.1</x:v>
      </x:c>
      <x:c r="J153" s="5" t="n">
        <x:v>206.45</x:v>
      </x:c>
      <x:c r="K153" s="5" t="n">
        <x:v>126</x:v>
      </x:c>
      <x:c r="L153" s="5" t="n">
        <x:v>80.45</x:v>
      </x:c>
      <x:c r="M153" t="str">
        <x:v>2026-04</x:v>
      </x:c>
    </x:row>
    <x:row r="154">
      <x:c r="A154" t="str">
        <x:v>ORD-1153</x:v>
      </x:c>
      <x:c r="B154" s="3" t="n">
        <x:v>46122</x:v>
      </x:c>
      <x:c r="C154" t="str">
        <x:v>Espresso Beans 1kg</x:v>
      </x:c>
      <x:c r="D154" t="str">
        <x:v>Coffee</x:v>
      </x:c>
      <x:c r="E154" t="str">
        <x:v>Wholesale</x:v>
      </x:c>
      <x:c r="F154" t="str">
        <x:v>Bursa</x:v>
      </x:c>
      <x:c r="G154" s="4" t="n">
        <x:v>4</x:v>
      </x:c>
      <x:c r="H154" s="5" t="n">
        <x:v>18.43</x:v>
      </x:c>
      <x:c r="I154" s="6" t="n">
        <x:v>0</x:v>
      </x:c>
      <x:c r="J154" s="5" t="n">
        <x:v>73.72</x:v>
      </x:c>
      <x:c r="K154" s="5" t="n">
        <x:v>42</x:v>
      </x:c>
      <x:c r="L154" s="5" t="n">
        <x:v>31.72</x:v>
      </x:c>
      <x:c r="M154" t="str">
        <x:v>2026-04</x:v>
      </x:c>
    </x:row>
    <x:row r="155">
      <x:c r="A155" t="str">
        <x:v>ORD-1154</x:v>
      </x:c>
      <x:c r="B155" s="3" t="n">
        <x:v>46129</x:v>
      </x:c>
      <x:c r="C155" t="str">
        <x:v>French Press</x:v>
      </x:c>
      <x:c r="D155" t="str">
        <x:v>Equipment</x:v>
      </x:c>
      <x:c r="E155" t="str">
        <x:v>Retail Store</x:v>
      </x:c>
      <x:c r="F155" t="str">
        <x:v>Ankara</x:v>
      </x:c>
      <x:c r="G155" s="4" t="n">
        <x:v>1</x:v>
      </x:c>
      <x:c r="H155" s="5" t="n">
        <x:v>32.77</x:v>
      </x:c>
      <x:c r="I155" s="6" t="n">
        <x:v>0</x:v>
      </x:c>
      <x:c r="J155" s="5" t="n">
        <x:v>32.77</x:v>
      </x:c>
      <x:c r="K155" s="5" t="n">
        <x:v>18</x:v>
      </x:c>
      <x:c r="L155" s="5" t="n">
        <x:v>14.77</x:v>
      </x:c>
      <x:c r="M155" t="str">
        <x:v>2026-04</x:v>
      </x:c>
    </x:row>
    <x:row r="156">
      <x:c r="A156" t="str">
        <x:v>ORD-1155</x:v>
      </x:c>
      <x:c r="B156" s="3" t="n">
        <x:v>46136</x:v>
      </x:c>
      <x:c r="C156" t="str">
        <x:v>Espresso Beans 1kg</x:v>
      </x:c>
      <x:c r="D156" t="str">
        <x:v>Coffee</x:v>
      </x:c>
      <x:c r="E156" t="str">
        <x:v>Online</x:v>
      </x:c>
      <x:c r="F156" t="str">
        <x:v>Bursa</x:v>
      </x:c>
      <x:c r="G156" s="4" t="n">
        <x:v>6</x:v>
      </x:c>
      <x:c r="H156" s="5" t="n">
        <x:v>18.43</x:v>
      </x:c>
      <x:c r="I156" s="6" t="n">
        <x:v>0</x:v>
      </x:c>
      <x:c r="J156" s="5" t="n">
        <x:v>110.58</x:v>
      </x:c>
      <x:c r="K156" s="5" t="n">
        <x:v>63</x:v>
      </x:c>
      <x:c r="L156" s="5" t="n">
        <x:v>47.58</x:v>
      </x:c>
      <x:c r="M156" t="str">
        <x:v>2026-04</x:v>
      </x:c>
    </x:row>
    <x:row r="157">
      <x:c r="A157" t="str">
        <x:v>ORD-1156</x:v>
      </x:c>
      <x:c r="B157" s="3" t="n">
        <x:v>46115</x:v>
      </x:c>
      <x:c r="C157" t="str">
        <x:v>French Press</x:v>
      </x:c>
      <x:c r="D157" t="str">
        <x:v>Equipment</x:v>
      </x:c>
      <x:c r="E157" t="str">
        <x:v>Wholesale</x:v>
      </x:c>
      <x:c r="F157" t="str">
        <x:v>Ankara</x:v>
      </x:c>
      <x:c r="G157" s="4" t="n">
        <x:v>3</x:v>
      </x:c>
      <x:c r="H157" s="5" t="n">
        <x:v>32.77</x:v>
      </x:c>
      <x:c r="I157" s="6" t="n">
        <x:v>0.15</x:v>
      </x:c>
      <x:c r="J157" s="5" t="n">
        <x:v>83.56</x:v>
      </x:c>
      <x:c r="K157" s="5" t="n">
        <x:v>54</x:v>
      </x:c>
      <x:c r="L157" s="5" t="n">
        <x:v>29.56</x:v>
      </x:c>
      <x:c r="M157" t="str">
        <x:v>2026-04</x:v>
      </x:c>
    </x:row>
    <x:row r="158">
      <x:c r="A158" t="str">
        <x:v>ORD-1157</x:v>
      </x:c>
      <x:c r="B158" s="3" t="n">
        <x:v>46122</x:v>
      </x:c>
      <x:c r="C158" t="str">
        <x:v>Espresso Beans 1kg</x:v>
      </x:c>
      <x:c r="D158" t="str">
        <x:v>Coffee</x:v>
      </x:c>
      <x:c r="E158" t="str">
        <x:v>Retail Store</x:v>
      </x:c>
      <x:c r="F158" t="str">
        <x:v>Bursa</x:v>
      </x:c>
      <x:c r="G158" s="4" t="n">
        <x:v>8</x:v>
      </x:c>
      <x:c r="H158" s="5" t="n">
        <x:v>18.43</x:v>
      </x:c>
      <x:c r="I158" s="6" t="n">
        <x:v>0</x:v>
      </x:c>
      <x:c r="J158" s="5" t="n">
        <x:v>147.44</x:v>
      </x:c>
      <x:c r="K158" s="5" t="n">
        <x:v>84</x:v>
      </x:c>
      <x:c r="L158" s="5" t="n">
        <x:v>63.44</x:v>
      </x:c>
      <x:c r="M158" t="str">
        <x:v>2026-04</x:v>
      </x:c>
    </x:row>
    <x:row r="159">
      <x:c r="A159" t="str">
        <x:v>ORD-1158</x:v>
      </x:c>
      <x:c r="B159" s="3" t="n">
        <x:v>46129</x:v>
      </x:c>
      <x:c r="C159" t="str">
        <x:v>French Press</x:v>
      </x:c>
      <x:c r="D159" t="str">
        <x:v>Equipment</x:v>
      </x:c>
      <x:c r="E159" t="str">
        <x:v>Online</x:v>
      </x:c>
      <x:c r="F159" t="str">
        <x:v>Ankara</x:v>
      </x:c>
      <x:c r="G159" s="4" t="n">
        <x:v>5</x:v>
      </x:c>
      <x:c r="H159" s="5" t="n">
        <x:v>32.77</x:v>
      </x:c>
      <x:c r="I159" s="6" t="n">
        <x:v>0</x:v>
      </x:c>
      <x:c r="J159" s="5" t="n">
        <x:v>163.85</x:v>
      </x:c>
      <x:c r="K159" s="5" t="n">
        <x:v>90</x:v>
      </x:c>
      <x:c r="L159" s="5" t="n">
        <x:v>73.85</x:v>
      </x:c>
      <x:c r="M159" t="str">
        <x:v>2026-04</x:v>
      </x:c>
    </x:row>
    <x:row r="160">
      <x:c r="A160" t="str">
        <x:v>ORD-1159</x:v>
      </x:c>
      <x:c r="B160" s="3" t="n">
        <x:v>46136</x:v>
      </x:c>
      <x:c r="C160" t="str">
        <x:v>Espresso Beans 1kg</x:v>
      </x:c>
      <x:c r="D160" t="str">
        <x:v>Coffee</x:v>
      </x:c>
      <x:c r="E160" t="str">
        <x:v>Wholesale</x:v>
      </x:c>
      <x:c r="F160" t="str">
        <x:v>Bursa</x:v>
      </x:c>
      <x:c r="G160" s="4" t="n">
        <x:v>2</x:v>
      </x:c>
      <x:c r="H160" s="5" t="n">
        <x:v>18.43</x:v>
      </x:c>
      <x:c r="I160" s="6" t="n">
        <x:v>0.1</x:v>
      </x:c>
      <x:c r="J160" s="5" t="n">
        <x:v>33.17</x:v>
      </x:c>
      <x:c r="K160" s="5" t="n">
        <x:v>21</x:v>
      </x:c>
      <x:c r="L160" s="5" t="n">
        <x:v>12.17</x:v>
      </x:c>
      <x:c r="M160" t="str">
        <x:v>2026-04</x:v>
      </x:c>
    </x:row>
    <x:row r="161">
      <x:c r="A161" t="str">
        <x:v>ORD-1160</x:v>
      </x:c>
      <x:c r="B161" s="3" t="n">
        <x:v>46115</x:v>
      </x:c>
      <x:c r="C161" t="str">
        <x:v>French Press</x:v>
      </x:c>
      <x:c r="D161" t="str">
        <x:v>Equipment</x:v>
      </x:c>
      <x:c r="E161" t="str">
        <x:v>Retail Store</x:v>
      </x:c>
      <x:c r="F161" t="str">
        <x:v>Ankara</x:v>
      </x:c>
      <x:c r="G161" s="4" t="n">
        <x:v>7</x:v>
      </x:c>
      <x:c r="H161" s="5" t="n">
        <x:v>32.77</x:v>
      </x:c>
      <x:c r="I161" s="6" t="n">
        <x:v>0</x:v>
      </x:c>
      <x:c r="J161" s="5" t="n">
        <x:v>229.39</x:v>
      </x:c>
      <x:c r="K161" s="5" t="n">
        <x:v>126</x:v>
      </x:c>
      <x:c r="L161" s="5" t="n">
        <x:v>103.39</x:v>
      </x:c>
      <x:c r="M161" t="str">
        <x:v>2026-04</x:v>
      </x:c>
    </x:row>
    <x:row r="162">
      <x:c r="A162" t="str">
        <x:v>ORD-1161</x:v>
      </x:c>
      <x:c r="B162" s="3" t="n">
        <x:v>46122</x:v>
      </x:c>
      <x:c r="C162" t="str">
        <x:v>Espresso Beans 1kg</x:v>
      </x:c>
      <x:c r="D162" t="str">
        <x:v>Coffee</x:v>
      </x:c>
      <x:c r="E162" t="str">
        <x:v>Online</x:v>
      </x:c>
      <x:c r="F162" t="str">
        <x:v>Bursa</x:v>
      </x:c>
      <x:c r="G162" s="4" t="n">
        <x:v>4</x:v>
      </x:c>
      <x:c r="H162" s="5" t="n">
        <x:v>18.43</x:v>
      </x:c>
      <x:c r="I162" s="6" t="n">
        <x:v>0</x:v>
      </x:c>
      <x:c r="J162" s="5" t="n">
        <x:v>73.72</x:v>
      </x:c>
      <x:c r="K162" s="5" t="n">
        <x:v>42</x:v>
      </x:c>
      <x:c r="L162" s="5" t="n">
        <x:v>31.72</x:v>
      </x:c>
      <x:c r="M162" t="str">
        <x:v>2026-04</x:v>
      </x:c>
    </x:row>
    <x:row r="163">
      <x:c r="A163" t="str">
        <x:v>ORD-1162</x:v>
      </x:c>
      <x:c r="B163" s="3" t="n">
        <x:v>46129</x:v>
      </x:c>
      <x:c r="C163" t="str">
        <x:v>French Press</x:v>
      </x:c>
      <x:c r="D163" t="str">
        <x:v>Equipment</x:v>
      </x:c>
      <x:c r="E163" t="str">
        <x:v>Wholesale</x:v>
      </x:c>
      <x:c r="F163" t="str">
        <x:v>Ankara</x:v>
      </x:c>
      <x:c r="G163" s="4" t="n">
        <x:v>1</x:v>
      </x:c>
      <x:c r="H163" s="5" t="n">
        <x:v>32.77</x:v>
      </x:c>
      <x:c r="I163" s="6" t="n">
        <x:v>0</x:v>
      </x:c>
      <x:c r="J163" s="5" t="n">
        <x:v>32.77</x:v>
      </x:c>
      <x:c r="K163" s="5" t="n">
        <x:v>18</x:v>
      </x:c>
      <x:c r="L163" s="5" t="n">
        <x:v>14.77</x:v>
      </x:c>
      <x:c r="M163" t="str">
        <x:v>2026-04</x:v>
      </x:c>
    </x:row>
    <x:row r="164">
      <x:c r="A164" t="str">
        <x:v>ORD-1163</x:v>
      </x:c>
      <x:c r="B164" s="3" t="n">
        <x:v>46136</x:v>
      </x:c>
      <x:c r="C164" t="str">
        <x:v>Espresso Beans 1kg</x:v>
      </x:c>
      <x:c r="D164" t="str">
        <x:v>Coffee</x:v>
      </x:c>
      <x:c r="E164" t="str">
        <x:v>Retail Store</x:v>
      </x:c>
      <x:c r="F164" t="str">
        <x:v>Bursa</x:v>
      </x:c>
      <x:c r="G164" s="4" t="n">
        <x:v>6</x:v>
      </x:c>
      <x:c r="H164" s="5" t="n">
        <x:v>18.43</x:v>
      </x:c>
      <x:c r="I164" s="6" t="n">
        <x:v>0</x:v>
      </x:c>
      <x:c r="J164" s="5" t="n">
        <x:v>110.58</x:v>
      </x:c>
      <x:c r="K164" s="5" t="n">
        <x:v>63</x:v>
      </x:c>
      <x:c r="L164" s="5" t="n">
        <x:v>47.58</x:v>
      </x:c>
      <x:c r="M164" t="str">
        <x:v>2026-04</x:v>
      </x:c>
    </x:row>
    <x:row r="165">
      <x:c r="A165" t="str">
        <x:v>ORD-1164</x:v>
      </x:c>
      <x:c r="B165" s="3" t="n">
        <x:v>46115</x:v>
      </x:c>
      <x:c r="C165" t="str">
        <x:v>French Press</x:v>
      </x:c>
      <x:c r="D165" t="str">
        <x:v>Equipment</x:v>
      </x:c>
      <x:c r="E165" t="str">
        <x:v>Online</x:v>
      </x:c>
      <x:c r="F165" t="str">
        <x:v>Ankara</x:v>
      </x:c>
      <x:c r="G165" s="4" t="n">
        <x:v>3</x:v>
      </x:c>
      <x:c r="H165" s="5" t="n">
        <x:v>32.77</x:v>
      </x:c>
      <x:c r="I165" s="6" t="n">
        <x:v>0</x:v>
      </x:c>
      <x:c r="J165" s="5" t="n">
        <x:v>98.31</x:v>
      </x:c>
      <x:c r="K165" s="5" t="n">
        <x:v>54</x:v>
      </x:c>
      <x:c r="L165" s="5" t="n">
        <x:v>44.31</x:v>
      </x:c>
      <x:c r="M165" t="str">
        <x:v>2026-04</x:v>
      </x:c>
    </x:row>
    <x:row r="166">
      <x:c r="A166" t="str">
        <x:v>ORD-1165</x:v>
      </x:c>
      <x:c r="B166" s="3" t="n">
        <x:v>46122</x:v>
      </x:c>
      <x:c r="C166" t="str">
        <x:v>Espresso Beans 1kg</x:v>
      </x:c>
      <x:c r="D166" t="str">
        <x:v>Coffee</x:v>
      </x:c>
      <x:c r="E166" t="str">
        <x:v>Wholesale</x:v>
      </x:c>
      <x:c r="F166" t="str">
        <x:v>Bursa</x:v>
      </x:c>
      <x:c r="G166" s="4" t="n">
        <x:v>8</x:v>
      </x:c>
      <x:c r="H166" s="5" t="n">
        <x:v>18.43</x:v>
      </x:c>
      <x:c r="I166" s="6" t="n">
        <x:v>0</x:v>
      </x:c>
      <x:c r="J166" s="5" t="n">
        <x:v>147.44</x:v>
      </x:c>
      <x:c r="K166" s="5" t="n">
        <x:v>84</x:v>
      </x:c>
      <x:c r="L166" s="5" t="n">
        <x:v>63.44</x:v>
      </x:c>
      <x:c r="M166" t="str">
        <x:v>2026-04</x:v>
      </x:c>
    </x:row>
    <x:row r="167">
      <x:c r="A167" t="str">
        <x:v>ORD-1166</x:v>
      </x:c>
      <x:c r="B167" s="3" t="n">
        <x:v>46129</x:v>
      </x:c>
      <x:c r="C167" t="str">
        <x:v>French Press</x:v>
      </x:c>
      <x:c r="D167" t="str">
        <x:v>Equipment</x:v>
      </x:c>
      <x:c r="E167" t="str">
        <x:v>Retail Store</x:v>
      </x:c>
      <x:c r="F167" t="str">
        <x:v>Ankara</x:v>
      </x:c>
      <x:c r="G167" s="4" t="n">
        <x:v>5</x:v>
      </x:c>
      <x:c r="H167" s="5" t="n">
        <x:v>32.77</x:v>
      </x:c>
      <x:c r="I167" s="6" t="n">
        <x:v>0.1</x:v>
      </x:c>
      <x:c r="J167" s="5" t="n">
        <x:v>147.47</x:v>
      </x:c>
      <x:c r="K167" s="5" t="n">
        <x:v>90</x:v>
      </x:c>
      <x:c r="L167" s="5" t="n">
        <x:v>57.47</x:v>
      </x:c>
      <x:c r="M167" t="str">
        <x:v>2026-04</x:v>
      </x:c>
    </x:row>
    <x:row r="168">
      <x:c r="A168" t="str">
        <x:v>ORD-1167</x:v>
      </x:c>
      <x:c r="B168" s="3" t="n">
        <x:v>46136</x:v>
      </x:c>
      <x:c r="C168" t="str">
        <x:v>Espresso Beans 1kg</x:v>
      </x:c>
      <x:c r="D168" t="str">
        <x:v>Coffee</x:v>
      </x:c>
      <x:c r="E168" t="str">
        <x:v>Online</x:v>
      </x:c>
      <x:c r="F168" t="str">
        <x:v>Bursa</x:v>
      </x:c>
      <x:c r="G168" s="4" t="n">
        <x:v>2</x:v>
      </x:c>
      <x:c r="H168" s="5" t="n">
        <x:v>18.43</x:v>
      </x:c>
      <x:c r="I168" s="6" t="n">
        <x:v>0.15</x:v>
      </x:c>
      <x:c r="J168" s="5" t="n">
        <x:v>31.33</x:v>
      </x:c>
      <x:c r="K168" s="5" t="n">
        <x:v>21</x:v>
      </x:c>
      <x:c r="L168" s="5" t="n">
        <x:v>10.33</x:v>
      </x:c>
      <x:c r="M168" t="str">
        <x:v>2026-04</x:v>
      </x:c>
    </x:row>
    <x:row r="169">
      <x:c r="A169" t="str">
        <x:v>ORD-1168</x:v>
      </x:c>
      <x:c r="B169" s="3" t="n">
        <x:v>46115</x:v>
      </x:c>
      <x:c r="C169" t="str">
        <x:v>French Press</x:v>
      </x:c>
      <x:c r="D169" t="str">
        <x:v>Equipment</x:v>
      </x:c>
      <x:c r="E169" t="str">
        <x:v>Wholesale</x:v>
      </x:c>
      <x:c r="F169" t="str">
        <x:v>Ankara</x:v>
      </x:c>
      <x:c r="G169" s="4" t="n">
        <x:v>7</x:v>
      </x:c>
      <x:c r="H169" s="5" t="n">
        <x:v>32.77</x:v>
      </x:c>
      <x:c r="I169" s="6" t="n">
        <x:v>0</x:v>
      </x:c>
      <x:c r="J169" s="5" t="n">
        <x:v>229.39</x:v>
      </x:c>
      <x:c r="K169" s="5" t="n">
        <x:v>126</x:v>
      </x:c>
      <x:c r="L169" s="5" t="n">
        <x:v>103.39</x:v>
      </x:c>
      <x:c r="M169" t="str">
        <x:v>2026-04</x:v>
      </x:c>
    </x:row>
    <x:row r="170">
      <x:c r="A170" t="str">
        <x:v>ORD-1169</x:v>
      </x:c>
      <x:c r="B170" s="3" t="n">
        <x:v>46122</x:v>
      </x:c>
      <x:c r="C170" t="str">
        <x:v>Espresso Beans 1kg</x:v>
      </x:c>
      <x:c r="D170" t="str">
        <x:v>Coffee</x:v>
      </x:c>
      <x:c r="E170" t="str">
        <x:v>Retail Store</x:v>
      </x:c>
      <x:c r="F170" t="str">
        <x:v>Bursa</x:v>
      </x:c>
      <x:c r="G170" s="4" t="n">
        <x:v>4</x:v>
      </x:c>
      <x:c r="H170" s="5" t="n">
        <x:v>18.43</x:v>
      </x:c>
      <x:c r="I170" s="6" t="n">
        <x:v>0</x:v>
      </x:c>
      <x:c r="J170" s="5" t="n">
        <x:v>73.72</x:v>
      </x:c>
      <x:c r="K170" s="5" t="n">
        <x:v>42</x:v>
      </x:c>
      <x:c r="L170" s="5" t="n">
        <x:v>31.72</x:v>
      </x:c>
      <x:c r="M170" t="str">
        <x:v>2026-04</x:v>
      </x:c>
    </x:row>
    <x:row r="171">
      <x:c r="A171" t="str">
        <x:v>ORD-1170</x:v>
      </x:c>
      <x:c r="B171" s="3" t="n">
        <x:v>46129</x:v>
      </x:c>
      <x:c r="C171" t="str">
        <x:v>French Press</x:v>
      </x:c>
      <x:c r="D171" t="str">
        <x:v>Equipment</x:v>
      </x:c>
      <x:c r="E171" t="str">
        <x:v>Online</x:v>
      </x:c>
      <x:c r="F171" t="str">
        <x:v>Ankara</x:v>
      </x:c>
      <x:c r="G171" s="4" t="n">
        <x:v>1</x:v>
      </x:c>
      <x:c r="H171" s="5" t="n">
        <x:v>32.77</x:v>
      </x:c>
      <x:c r="I171" s="6" t="n">
        <x:v>0</x:v>
      </x:c>
      <x:c r="J171" s="5" t="n">
        <x:v>32.77</x:v>
      </x:c>
      <x:c r="K171" s="5" t="n">
        <x:v>18</x:v>
      </x:c>
      <x:c r="L171" s="5" t="n">
        <x:v>14.77</x:v>
      </x:c>
      <x:c r="M171" t="str">
        <x:v>2026-04</x:v>
      </x:c>
    </x:row>
    <x:row r="172">
      <x:c r="A172" t="str">
        <x:v>ORD-1171</x:v>
      </x:c>
      <x:c r="B172" s="3" t="n">
        <x:v>46136</x:v>
      </x:c>
      <x:c r="C172" t="str">
        <x:v>Espresso Beans 1kg</x:v>
      </x:c>
      <x:c r="D172" t="str">
        <x:v>Coffee</x:v>
      </x:c>
      <x:c r="E172" t="str">
        <x:v>Wholesale</x:v>
      </x:c>
      <x:c r="F172" t="str">
        <x:v>Bursa</x:v>
      </x:c>
      <x:c r="G172" s="4" t="n">
        <x:v>6</x:v>
      </x:c>
      <x:c r="H172" s="5" t="n">
        <x:v>18.43</x:v>
      </x:c>
      <x:c r="I172" s="6" t="n">
        <x:v>0</x:v>
      </x:c>
      <x:c r="J172" s="5" t="n">
        <x:v>110.58</x:v>
      </x:c>
      <x:c r="K172" s="5" t="n">
        <x:v>63</x:v>
      </x:c>
      <x:c r="L172" s="5" t="n">
        <x:v>47.58</x:v>
      </x:c>
      <x:c r="M172" t="str">
        <x:v>2026-04</x:v>
      </x:c>
    </x:row>
    <x:row r="173">
      <x:c r="A173" t="str">
        <x:v>ORD-1172</x:v>
      </x:c>
      <x:c r="B173" s="3" t="n">
        <x:v>46115</x:v>
      </x:c>
      <x:c r="C173" t="str">
        <x:v>French Press</x:v>
      </x:c>
      <x:c r="D173" t="str">
        <x:v>Equipment</x:v>
      </x:c>
      <x:c r="E173" t="str">
        <x:v>Retail Store</x:v>
      </x:c>
      <x:c r="F173" t="str">
        <x:v>Ankara</x:v>
      </x:c>
      <x:c r="G173" s="4" t="n">
        <x:v>3</x:v>
      </x:c>
      <x:c r="H173" s="5" t="n">
        <x:v>32.77</x:v>
      </x:c>
      <x:c r="I173" s="6" t="n">
        <x:v>0</x:v>
      </x:c>
      <x:c r="J173" s="5" t="n">
        <x:v>98.31</x:v>
      </x:c>
      <x:c r="K173" s="5" t="n">
        <x:v>54</x:v>
      </x:c>
      <x:c r="L173" s="5" t="n">
        <x:v>44.31</x:v>
      </x:c>
      <x:c r="M173" t="str">
        <x:v>2026-04</x:v>
      </x:c>
    </x:row>
    <x:row r="174">
      <x:c r="A174" t="str">
        <x:v>ORD-1173</x:v>
      </x:c>
      <x:c r="B174" s="3" t="n">
        <x:v>46122</x:v>
      </x:c>
      <x:c r="C174" t="str">
        <x:v>Espresso Beans 1kg</x:v>
      </x:c>
      <x:c r="D174" t="str">
        <x:v>Coffee</x:v>
      </x:c>
      <x:c r="E174" t="str">
        <x:v>Online</x:v>
      </x:c>
      <x:c r="F174" t="str">
        <x:v>Bursa</x:v>
      </x:c>
      <x:c r="G174" s="4" t="n">
        <x:v>8</x:v>
      </x:c>
      <x:c r="H174" s="5" t="n">
        <x:v>18.43</x:v>
      </x:c>
      <x:c r="I174" s="6" t="n">
        <x:v>0.1</x:v>
      </x:c>
      <x:c r="J174" s="5" t="n">
        <x:v>132.7</x:v>
      </x:c>
      <x:c r="K174" s="5" t="n">
        <x:v>84</x:v>
      </x:c>
      <x:c r="L174" s="5" t="n">
        <x:v>48.7</x:v>
      </x:c>
      <x:c r="M174" t="str">
        <x:v>2026-04</x:v>
      </x:c>
    </x:row>
    <x:row r="175">
      <x:c r="A175" t="str">
        <x:v>ORD-1174</x:v>
      </x:c>
      <x:c r="B175" s="3" t="n">
        <x:v>46129</x:v>
      </x:c>
      <x:c r="C175" t="str">
        <x:v>French Press</x:v>
      </x:c>
      <x:c r="D175" t="str">
        <x:v>Equipment</x:v>
      </x:c>
      <x:c r="E175" t="str">
        <x:v>Wholesale</x:v>
      </x:c>
      <x:c r="F175" t="str">
        <x:v>Ankara</x:v>
      </x:c>
      <x:c r="G175" s="4" t="n">
        <x:v>5</x:v>
      </x:c>
      <x:c r="H175" s="5" t="n">
        <x:v>32.77</x:v>
      </x:c>
      <x:c r="I175" s="6" t="n">
        <x:v>0</x:v>
      </x:c>
      <x:c r="J175" s="5" t="n">
        <x:v>163.85</x:v>
      </x:c>
      <x:c r="K175" s="5" t="n">
        <x:v>90</x:v>
      </x:c>
      <x:c r="L175" s="5" t="n">
        <x:v>73.85</x:v>
      </x:c>
      <x:c r="M175" t="str">
        <x:v>2026-04</x:v>
      </x:c>
    </x:row>
    <x:row r="176">
      <x:c r="A176" t="str">
        <x:v>ORD-1175</x:v>
      </x:c>
      <x:c r="B176" s="3" t="n">
        <x:v>46136</x:v>
      </x:c>
      <x:c r="C176" t="str">
        <x:v>Espresso Beans 1kg</x:v>
      </x:c>
      <x:c r="D176" t="str">
        <x:v>Coffee</x:v>
      </x:c>
      <x:c r="E176" t="str">
        <x:v>Retail Store</x:v>
      </x:c>
      <x:c r="F176" t="str">
        <x:v>Bursa</x:v>
      </x:c>
      <x:c r="G176" s="4" t="n">
        <x:v>2</x:v>
      </x:c>
      <x:c r="H176" s="5" t="n">
        <x:v>18.43</x:v>
      </x:c>
      <x:c r="I176" s="6" t="n">
        <x:v>0</x:v>
      </x:c>
      <x:c r="J176" s="5" t="n">
        <x:v>36.86</x:v>
      </x:c>
      <x:c r="K176" s="5" t="n">
        <x:v>21</x:v>
      </x:c>
      <x:c r="L176" s="5" t="n">
        <x:v>15.86</x:v>
      </x:c>
      <x:c r="M176" t="str">
        <x:v>2026-04</x:v>
      </x:c>
    </x:row>
    <x:row r="177">
      <x:c r="A177" t="str">
        <x:v>ORD-1176</x:v>
      </x:c>
      <x:c r="B177" s="3" t="n">
        <x:v>46115</x:v>
      </x:c>
      <x:c r="C177" t="str">
        <x:v>French Press</x:v>
      </x:c>
      <x:c r="D177" t="str">
        <x:v>Equipment</x:v>
      </x:c>
      <x:c r="E177" t="str">
        <x:v>Online</x:v>
      </x:c>
      <x:c r="F177" t="str">
        <x:v>Ankara</x:v>
      </x:c>
      <x:c r="G177" s="4" t="n">
        <x:v>7</x:v>
      </x:c>
      <x:c r="H177" s="5" t="n">
        <x:v>32.77</x:v>
      </x:c>
      <x:c r="I177" s="6" t="n">
        <x:v>0</x:v>
      </x:c>
      <x:c r="J177" s="5" t="n">
        <x:v>229.39</x:v>
      </x:c>
      <x:c r="K177" s="5" t="n">
        <x:v>126</x:v>
      </x:c>
      <x:c r="L177" s="5" t="n">
        <x:v>103.39</x:v>
      </x:c>
      <x:c r="M177" t="str">
        <x:v>2026-04</x:v>
      </x:c>
    </x:row>
    <x:row r="178">
      <x:c r="A178" t="str">
        <x:v>ORD-1177</x:v>
      </x:c>
      <x:c r="B178" s="3" t="n">
        <x:v>46122</x:v>
      </x:c>
      <x:c r="C178" t="str">
        <x:v>Espresso Beans 1kg</x:v>
      </x:c>
      <x:c r="D178" t="str">
        <x:v>Coffee</x:v>
      </x:c>
      <x:c r="E178" t="str">
        <x:v>Wholesale</x:v>
      </x:c>
      <x:c r="F178" t="str">
        <x:v>Bursa</x:v>
      </x:c>
      <x:c r="G178" s="4" t="n">
        <x:v>4</x:v>
      </x:c>
      <x:c r="H178" s="5" t="n">
        <x:v>18.43</x:v>
      </x:c>
      <x:c r="I178" s="6" t="n">
        <x:v>0</x:v>
      </x:c>
      <x:c r="J178" s="5" t="n">
        <x:v>73.72</x:v>
      </x:c>
      <x:c r="K178" s="5" t="n">
        <x:v>42</x:v>
      </x:c>
      <x:c r="L178" s="5" t="n">
        <x:v>31.72</x:v>
      </x:c>
      <x:c r="M178" t="str">
        <x:v>2026-04</x:v>
      </x:c>
    </x:row>
    <x:row r="179">
      <x:c r="A179" t="str">
        <x:v>ORD-1178</x:v>
      </x:c>
      <x:c r="B179" s="3" t="n">
        <x:v>46129</x:v>
      </x:c>
      <x:c r="C179" t="str">
        <x:v>French Press</x:v>
      </x:c>
      <x:c r="D179" t="str">
        <x:v>Equipment</x:v>
      </x:c>
      <x:c r="E179" t="str">
        <x:v>Retail Store</x:v>
      </x:c>
      <x:c r="F179" t="str">
        <x:v>Ankara</x:v>
      </x:c>
      <x:c r="G179" s="4" t="n">
        <x:v>1</x:v>
      </x:c>
      <x:c r="H179" s="5" t="n">
        <x:v>32.77</x:v>
      </x:c>
      <x:c r="I179" s="6" t="n">
        <x:v>0.15</x:v>
      </x:c>
      <x:c r="J179" s="5" t="n">
        <x:v>27.85</x:v>
      </x:c>
      <x:c r="K179" s="5" t="n">
        <x:v>18</x:v>
      </x:c>
      <x:c r="L179" s="5" t="n">
        <x:v>9.85</x:v>
      </x:c>
      <x:c r="M179" t="str">
        <x:v>2026-04</x:v>
      </x:c>
    </x:row>
    <x:row r="180">
      <x:c r="A180" t="str">
        <x:v>ORD-1179</x:v>
      </x:c>
      <x:c r="B180" s="3" t="n">
        <x:v>46136</x:v>
      </x:c>
      <x:c r="C180" t="str">
        <x:v>Espresso Beans 1kg</x:v>
      </x:c>
      <x:c r="D180" t="str">
        <x:v>Coffee</x:v>
      </x:c>
      <x:c r="E180" t="str">
        <x:v>Online</x:v>
      </x:c>
      <x:c r="F180" t="str">
        <x:v>Bursa</x:v>
      </x:c>
      <x:c r="G180" s="4" t="n">
        <x:v>6</x:v>
      </x:c>
      <x:c r="H180" s="5" t="n">
        <x:v>18.43</x:v>
      </x:c>
      <x:c r="I180" s="6" t="n">
        <x:v>0</x:v>
      </x:c>
      <x:c r="J180" s="5" t="n">
        <x:v>110.58</x:v>
      </x:c>
      <x:c r="K180" s="5" t="n">
        <x:v>63</x:v>
      </x:c>
      <x:c r="L180" s="5" t="n">
        <x:v>47.58</x:v>
      </x:c>
      <x:c r="M180" t="str">
        <x:v>2026-04</x:v>
      </x:c>
    </x:row>
    <x:row r="181">
      <x:c r="A181" t="str">
        <x:v>ORD-1180</x:v>
      </x:c>
      <x:c r="B181" s="3" t="n">
        <x:v>46115</x:v>
      </x:c>
      <x:c r="C181" t="str">
        <x:v>French Press</x:v>
      </x:c>
      <x:c r="D181" t="str">
        <x:v>Equipment</x:v>
      </x:c>
      <x:c r="E181" t="str">
        <x:v>Wholesale</x:v>
      </x:c>
      <x:c r="F181" t="str">
        <x:v>Ankara</x:v>
      </x:c>
      <x:c r="G181" s="4" t="n">
        <x:v>3</x:v>
      </x:c>
      <x:c r="H181" s="5" t="n">
        <x:v>32.77</x:v>
      </x:c>
      <x:c r="I181" s="6" t="n">
        <x:v>0.1</x:v>
      </x:c>
      <x:c r="J181" s="5" t="n">
        <x:v>88.48</x:v>
      </x:c>
      <x:c r="K181" s="5" t="n">
        <x:v>54</x:v>
      </x:c>
      <x:c r="L181" s="5" t="n">
        <x:v>34.48</x:v>
      </x:c>
      <x:c r="M181" t="str">
        <x:v>2026-04</x:v>
      </x:c>
    </x:row>
    <x:row r="182">
      <x:c r="A182" t="str">
        <x:v>ORD-1181</x:v>
      </x:c>
      <x:c r="B182" s="3" t="n">
        <x:v>46122</x:v>
      </x:c>
      <x:c r="C182" t="str">
        <x:v>Espresso Beans 1kg</x:v>
      </x:c>
      <x:c r="D182" t="str">
        <x:v>Coffee</x:v>
      </x:c>
      <x:c r="E182" t="str">
        <x:v>Retail Store</x:v>
      </x:c>
      <x:c r="F182" t="str">
        <x:v>Bursa</x:v>
      </x:c>
      <x:c r="G182" s="4" t="n">
        <x:v>8</x:v>
      </x:c>
      <x:c r="H182" s="5" t="n">
        <x:v>18.43</x:v>
      </x:c>
      <x:c r="I182" s="6" t="n">
        <x:v>0</x:v>
      </x:c>
      <x:c r="J182" s="5" t="n">
        <x:v>147.44</x:v>
      </x:c>
      <x:c r="K182" s="5" t="n">
        <x:v>84</x:v>
      </x:c>
      <x:c r="L182" s="5" t="n">
        <x:v>63.44</x:v>
      </x:c>
      <x:c r="M182" t="str">
        <x:v>2026-04</x:v>
      </x:c>
    </x:row>
    <x:row r="183">
      <x:c r="A183" t="str">
        <x:v>ORD-1182</x:v>
      </x:c>
      <x:c r="B183" s="3" t="n">
        <x:v>46129</x:v>
      </x:c>
      <x:c r="C183" t="str">
        <x:v>French Press</x:v>
      </x:c>
      <x:c r="D183" t="str">
        <x:v>Equipment</x:v>
      </x:c>
      <x:c r="E183" t="str">
        <x:v>Online</x:v>
      </x:c>
      <x:c r="F183" t="str">
        <x:v>Ankara</x:v>
      </x:c>
      <x:c r="G183" s="4" t="n">
        <x:v>5</x:v>
      </x:c>
      <x:c r="H183" s="5" t="n">
        <x:v>32.77</x:v>
      </x:c>
      <x:c r="I183" s="6" t="n">
        <x:v>0</x:v>
      </x:c>
      <x:c r="J183" s="5" t="n">
        <x:v>163.85</x:v>
      </x:c>
      <x:c r="K183" s="5" t="n">
        <x:v>90</x:v>
      </x:c>
      <x:c r="L183" s="5" t="n">
        <x:v>73.85</x:v>
      </x:c>
      <x:c r="M183" t="str">
        <x:v>2026-04</x:v>
      </x:c>
    </x:row>
    <x:row r="184">
      <x:c r="A184" t="str">
        <x:v>ORD-1183</x:v>
      </x:c>
      <x:c r="B184" s="3" t="n">
        <x:v>46136</x:v>
      </x:c>
      <x:c r="C184" t="str">
        <x:v>Espresso Beans 1kg</x:v>
      </x:c>
      <x:c r="D184" t="str">
        <x:v>Coffee</x:v>
      </x:c>
      <x:c r="E184" t="str">
        <x:v>Wholesale</x:v>
      </x:c>
      <x:c r="F184" t="str">
        <x:v>Bursa</x:v>
      </x:c>
      <x:c r="G184" s="4" t="n">
        <x:v>2</x:v>
      </x:c>
      <x:c r="H184" s="5" t="n">
        <x:v>18.43</x:v>
      </x:c>
      <x:c r="I184" s="6" t="n">
        <x:v>0</x:v>
      </x:c>
      <x:c r="J184" s="5" t="n">
        <x:v>36.86</x:v>
      </x:c>
      <x:c r="K184" s="5" t="n">
        <x:v>21</x:v>
      </x:c>
      <x:c r="L184" s="5" t="n">
        <x:v>15.86</x:v>
      </x:c>
      <x:c r="M184" t="str">
        <x:v>2026-04</x:v>
      </x:c>
    </x:row>
    <x:row r="185">
      <x:c r="A185" t="str">
        <x:v>ORD-1184</x:v>
      </x:c>
      <x:c r="B185" s="3" t="n">
        <x:v>46115</x:v>
      </x:c>
      <x:c r="C185" t="str">
        <x:v>French Press</x:v>
      </x:c>
      <x:c r="D185" t="str">
        <x:v>Equipment</x:v>
      </x:c>
      <x:c r="E185" t="str">
        <x:v>Retail Store</x:v>
      </x:c>
      <x:c r="F185" t="str">
        <x:v>Ankara</x:v>
      </x:c>
      <x:c r="G185" s="4" t="n">
        <x:v>7</x:v>
      </x:c>
      <x:c r="H185" s="5" t="n">
        <x:v>32.77</x:v>
      </x:c>
      <x:c r="I185" s="6" t="n">
        <x:v>0</x:v>
      </x:c>
      <x:c r="J185" s="5" t="n">
        <x:v>229.39</x:v>
      </x:c>
      <x:c r="K185" s="5" t="n">
        <x:v>126</x:v>
      </x:c>
      <x:c r="L185" s="5" t="n">
        <x:v>103.39</x:v>
      </x:c>
      <x:c r="M185" t="str">
        <x:v>2026-04</x:v>
      </x:c>
    </x:row>
    <x:row r="186">
      <x:c r="A186" t="str">
        <x:v>ORD-1185</x:v>
      </x:c>
      <x:c r="B186" s="3" t="n">
        <x:v>46122</x:v>
      </x:c>
      <x:c r="C186" t="str">
        <x:v>Espresso Beans 1kg</x:v>
      </x:c>
      <x:c r="D186" t="str">
        <x:v>Coffee</x:v>
      </x:c>
      <x:c r="E186" t="str">
        <x:v>Online</x:v>
      </x:c>
      <x:c r="F186" t="str">
        <x:v>Bursa</x:v>
      </x:c>
      <x:c r="G186" s="4" t="n">
        <x:v>4</x:v>
      </x:c>
      <x:c r="H186" s="5" t="n">
        <x:v>18.43</x:v>
      </x:c>
      <x:c r="I186" s="6" t="n">
        <x:v>0</x:v>
      </x:c>
      <x:c r="J186" s="5" t="n">
        <x:v>73.72</x:v>
      </x:c>
      <x:c r="K186" s="5" t="n">
        <x:v>42</x:v>
      </x:c>
      <x:c r="L186" s="5" t="n">
        <x:v>31.72</x:v>
      </x:c>
      <x:c r="M186" t="str">
        <x:v>2026-04</x:v>
      </x:c>
    </x:row>
    <x:row r="187">
      <x:c r="A187" t="str">
        <x:v>ORD-1186</x:v>
      </x:c>
      <x:c r="B187" s="3" t="n">
        <x:v>46129</x:v>
      </x:c>
      <x:c r="C187" t="str">
        <x:v>French Press</x:v>
      </x:c>
      <x:c r="D187" t="str">
        <x:v>Equipment</x:v>
      </x:c>
      <x:c r="E187" t="str">
        <x:v>Wholesale</x:v>
      </x:c>
      <x:c r="F187" t="str">
        <x:v>Ankara</x:v>
      </x:c>
      <x:c r="G187" s="4" t="n">
        <x:v>1</x:v>
      </x:c>
      <x:c r="H187" s="5" t="n">
        <x:v>32.77</x:v>
      </x:c>
      <x:c r="I187" s="6" t="n">
        <x:v>0</x:v>
      </x:c>
      <x:c r="J187" s="5" t="n">
        <x:v>32.77</x:v>
      </x:c>
      <x:c r="K187" s="5" t="n">
        <x:v>18</x:v>
      </x:c>
      <x:c r="L187" s="5" t="n">
        <x:v>14.77</x:v>
      </x:c>
      <x:c r="M187" t="str">
        <x:v>2026-04</x:v>
      </x:c>
    </x:row>
    <x:row r="188">
      <x:c r="A188" t="str">
        <x:v>ORD-1187</x:v>
      </x:c>
      <x:c r="B188" s="3" t="n">
        <x:v>46136</x:v>
      </x:c>
      <x:c r="C188" t="str">
        <x:v>Espresso Beans 1kg</x:v>
      </x:c>
      <x:c r="D188" t="str">
        <x:v>Coffee</x:v>
      </x:c>
      <x:c r="E188" t="str">
        <x:v>Retail Store</x:v>
      </x:c>
      <x:c r="F188" t="str">
        <x:v>Bursa</x:v>
      </x:c>
      <x:c r="G188" s="4" t="n">
        <x:v>6</x:v>
      </x:c>
      <x:c r="H188" s="5" t="n">
        <x:v>18.43</x:v>
      </x:c>
      <x:c r="I188" s="6" t="n">
        <x:v>0.1</x:v>
      </x:c>
      <x:c r="J188" s="5" t="n">
        <x:v>99.52</x:v>
      </x:c>
      <x:c r="K188" s="5" t="n">
        <x:v>63</x:v>
      </x:c>
      <x:c r="L188" s="5" t="n">
        <x:v>36.52</x:v>
      </x:c>
      <x:c r="M188" t="str">
        <x:v>2026-04</x:v>
      </x:c>
    </x:row>
    <x:row r="189">
      <x:c r="A189" t="str">
        <x:v>ORD-1188</x:v>
      </x:c>
      <x:c r="B189" s="3" t="n">
        <x:v>46115</x:v>
      </x:c>
      <x:c r="C189" t="str">
        <x:v>French Press</x:v>
      </x:c>
      <x:c r="D189" t="str">
        <x:v>Equipment</x:v>
      </x:c>
      <x:c r="E189" t="str">
        <x:v>Online</x:v>
      </x:c>
      <x:c r="F189" t="str">
        <x:v>Ankara</x:v>
      </x:c>
      <x:c r="G189" s="4" t="n">
        <x:v>3</x:v>
      </x:c>
      <x:c r="H189" s="5" t="n">
        <x:v>32.77</x:v>
      </x:c>
      <x:c r="I189" s="6" t="n">
        <x:v>0</x:v>
      </x:c>
      <x:c r="J189" s="5" t="n">
        <x:v>98.31</x:v>
      </x:c>
      <x:c r="K189" s="5" t="n">
        <x:v>54</x:v>
      </x:c>
      <x:c r="L189" s="5" t="n">
        <x:v>44.31</x:v>
      </x:c>
      <x:c r="M189" t="str">
        <x:v>2026-04</x:v>
      </x:c>
    </x:row>
    <x:row r="190">
      <x:c r="A190" t="str">
        <x:v>ORD-1189</x:v>
      </x:c>
      <x:c r="B190" s="3" t="n">
        <x:v>46122</x:v>
      </x:c>
      <x:c r="C190" t="str">
        <x:v>Espresso Beans 1kg</x:v>
      </x:c>
      <x:c r="D190" t="str">
        <x:v>Coffee</x:v>
      </x:c>
      <x:c r="E190" t="str">
        <x:v>Wholesale</x:v>
      </x:c>
      <x:c r="F190" t="str">
        <x:v>Bursa</x:v>
      </x:c>
      <x:c r="G190" s="4" t="n">
        <x:v>8</x:v>
      </x:c>
      <x:c r="H190" s="5" t="n">
        <x:v>18.43</x:v>
      </x:c>
      <x:c r="I190" s="6" t="n">
        <x:v>0.15</x:v>
      </x:c>
      <x:c r="J190" s="5" t="n">
        <x:v>125.32</x:v>
      </x:c>
      <x:c r="K190" s="5" t="n">
        <x:v>84</x:v>
      </x:c>
      <x:c r="L190" s="5" t="n">
        <x:v>41.32</x:v>
      </x:c>
      <x:c r="M190" t="str">
        <x:v>2026-04</x:v>
      </x:c>
    </x:row>
    <x:row r="191">
      <x:c r="A191" t="str">
        <x:v>ORD-1190</x:v>
      </x:c>
      <x:c r="B191" s="3" t="n">
        <x:v>46129</x:v>
      </x:c>
      <x:c r="C191" t="str">
        <x:v>French Press</x:v>
      </x:c>
      <x:c r="D191" t="str">
        <x:v>Equipment</x:v>
      </x:c>
      <x:c r="E191" t="str">
        <x:v>Retail Store</x:v>
      </x:c>
      <x:c r="F191" t="str">
        <x:v>Ankara</x:v>
      </x:c>
      <x:c r="G191" s="4" t="n">
        <x:v>5</x:v>
      </x:c>
      <x:c r="H191" s="5" t="n">
        <x:v>32.77</x:v>
      </x:c>
      <x:c r="I191" s="6" t="n">
        <x:v>0</x:v>
      </x:c>
      <x:c r="J191" s="5" t="n">
        <x:v>163.85</x:v>
      </x:c>
      <x:c r="K191" s="5" t="n">
        <x:v>90</x:v>
      </x:c>
      <x:c r="L191" s="5" t="n">
        <x:v>73.85</x:v>
      </x:c>
      <x:c r="M191" t="str">
        <x:v>2026-04</x:v>
      </x:c>
    </x:row>
    <x:row r="192">
      <x:c r="A192" t="str">
        <x:v>ORD-1191</x:v>
      </x:c>
      <x:c r="B192" s="3" t="n">
        <x:v>46136</x:v>
      </x:c>
      <x:c r="C192" t="str">
        <x:v>Espresso Beans 1kg</x:v>
      </x:c>
      <x:c r="D192" t="str">
        <x:v>Coffee</x:v>
      </x:c>
      <x:c r="E192" t="str">
        <x:v>Online</x:v>
      </x:c>
      <x:c r="F192" t="str">
        <x:v>Bursa</x:v>
      </x:c>
      <x:c r="G192" s="4" t="n">
        <x:v>2</x:v>
      </x:c>
      <x:c r="H192" s="5" t="n">
        <x:v>18.43</x:v>
      </x:c>
      <x:c r="I192" s="6" t="n">
        <x:v>0</x:v>
      </x:c>
      <x:c r="J192" s="5" t="n">
        <x:v>36.86</x:v>
      </x:c>
      <x:c r="K192" s="5" t="n">
        <x:v>21</x:v>
      </x:c>
      <x:c r="L192" s="5" t="n">
        <x:v>15.86</x:v>
      </x:c>
      <x:c r="M192" t="str">
        <x:v>2026-04</x:v>
      </x:c>
    </x:row>
    <x:row r="193">
      <x:c r="A193" t="str">
        <x:v>ORD-1192</x:v>
      </x:c>
      <x:c r="B193" s="3" t="n">
        <x:v>46115</x:v>
      </x:c>
      <x:c r="C193" t="str">
        <x:v>French Press</x:v>
      </x:c>
      <x:c r="D193" t="str">
        <x:v>Equipment</x:v>
      </x:c>
      <x:c r="E193" t="str">
        <x:v>Wholesale</x:v>
      </x:c>
      <x:c r="F193" t="str">
        <x:v>Ankara</x:v>
      </x:c>
      <x:c r="G193" s="4" t="n">
        <x:v>7</x:v>
      </x:c>
      <x:c r="H193" s="5" t="n">
        <x:v>32.77</x:v>
      </x:c>
      <x:c r="I193" s="6" t="n">
        <x:v>0</x:v>
      </x:c>
      <x:c r="J193" s="5" t="n">
        <x:v>229.39</x:v>
      </x:c>
      <x:c r="K193" s="5" t="n">
        <x:v>126</x:v>
      </x:c>
      <x:c r="L193" s="5" t="n">
        <x:v>103.39</x:v>
      </x:c>
      <x:c r="M193" t="str">
        <x:v>2026-04</x:v>
      </x:c>
    </x:row>
    <x:row r="194">
      <x:c r="A194" t="str">
        <x:v>ORD-1193</x:v>
      </x:c>
      <x:c r="B194" s="3" t="n">
        <x:v>46155</x:v>
      </x:c>
      <x:c r="C194" t="str">
        <x:v>Ceramic Mug</x:v>
      </x:c>
      <x:c r="D194" t="str">
        <x:v>Accessories</x:v>
      </x:c>
      <x:c r="E194" t="str">
        <x:v>Online</x:v>
      </x:c>
      <x:c r="F194" t="str">
        <x:v>Istanbul</x:v>
      </x:c>
      <x:c r="G194" s="4" t="n">
        <x:v>5</x:v>
      </x:c>
      <x:c r="H194" s="5" t="n">
        <x:v>12.38</x:v>
      </x:c>
      <x:c r="I194" s="6" t="n">
        <x:v>0.15</x:v>
      </x:c>
      <x:c r="J194" s="5" t="n">
        <x:v>52.62</x:v>
      </x:c>
      <x:c r="K194" s="5" t="n">
        <x:v>22</x:v>
      </x:c>
      <x:c r="L194" s="5" t="n">
        <x:v>30.62</x:v>
      </x:c>
      <x:c r="M194" t="str">
        <x:v>2026-05</x:v>
      </x:c>
    </x:row>
    <x:row r="195">
      <x:c r="A195" t="str">
        <x:v>ORD-1194</x:v>
      </x:c>
      <x:c r="B195" s="3" t="n">
        <x:v>46162</x:v>
      </x:c>
      <x:c r="C195" t="str">
        <x:v>Paper Filters 100pk</x:v>
      </x:c>
      <x:c r="D195" t="str">
        <x:v>Accessories</x:v>
      </x:c>
      <x:c r="E195" t="str">
        <x:v>Wholesale</x:v>
      </x:c>
      <x:c r="F195" t="str">
        <x:v>Izmir</x:v>
      </x:c>
      <x:c r="G195" s="4" t="n">
        <x:v>2</x:v>
      </x:c>
      <x:c r="H195" s="5" t="n">
        <x:v>8.26</x:v>
      </x:c>
      <x:c r="I195" s="6" t="n">
        <x:v>0</x:v>
      </x:c>
      <x:c r="J195" s="5" t="n">
        <x:v>16.52</x:v>
      </x:c>
      <x:c r="K195" s="5" t="n">
        <x:v>5.2</x:v>
      </x:c>
      <x:c r="L195" s="5" t="n">
        <x:v>11.32</x:v>
      </x:c>
      <x:c r="M195" t="str">
        <x:v>2026-05</x:v>
      </x:c>
    </x:row>
    <x:row r="196">
      <x:c r="A196" t="str">
        <x:v>ORD-1195</x:v>
      </x:c>
      <x:c r="B196" s="3" t="n">
        <x:v>46169</x:v>
      </x:c>
      <x:c r="C196" t="str">
        <x:v>Ceramic Mug</x:v>
      </x:c>
      <x:c r="D196" t="str">
        <x:v>Accessories</x:v>
      </x:c>
      <x:c r="E196" t="str">
        <x:v>Retail Store</x:v>
      </x:c>
      <x:c r="F196" t="str">
        <x:v>Istanbul</x:v>
      </x:c>
      <x:c r="G196" s="4" t="n">
        <x:v>7</x:v>
      </x:c>
      <x:c r="H196" s="5" t="n">
        <x:v>12.38</x:v>
      </x:c>
      <x:c r="I196" s="6" t="n">
        <x:v>0</x:v>
      </x:c>
      <x:c r="J196" s="5" t="n">
        <x:v>86.66</x:v>
      </x:c>
      <x:c r="K196" s="5" t="n">
        <x:v>30.8</x:v>
      </x:c>
      <x:c r="L196" s="5" t="n">
        <x:v>55.86</x:v>
      </x:c>
      <x:c r="M196" t="str">
        <x:v>2026-05</x:v>
      </x:c>
    </x:row>
    <x:row r="197">
      <x:c r="A197" t="str">
        <x:v>ORD-1196</x:v>
      </x:c>
      <x:c r="B197" s="3" t="n">
        <x:v>46148</x:v>
      </x:c>
      <x:c r="C197" t="str">
        <x:v>Paper Filters 100pk</x:v>
      </x:c>
      <x:c r="D197" t="str">
        <x:v>Accessories</x:v>
      </x:c>
      <x:c r="E197" t="str">
        <x:v>Online</x:v>
      </x:c>
      <x:c r="F197" t="str">
        <x:v>Izmir</x:v>
      </x:c>
      <x:c r="G197" s="4" t="n">
        <x:v>4</x:v>
      </x:c>
      <x:c r="H197" s="5" t="n">
        <x:v>8.26</x:v>
      </x:c>
      <x:c r="I197" s="6" t="n">
        <x:v>0</x:v>
      </x:c>
      <x:c r="J197" s="5" t="n">
        <x:v>33.04</x:v>
      </x:c>
      <x:c r="K197" s="5" t="n">
        <x:v>10.4</x:v>
      </x:c>
      <x:c r="L197" s="5" t="n">
        <x:v>22.64</x:v>
      </x:c>
      <x:c r="M197" t="str">
        <x:v>2026-05</x:v>
      </x:c>
    </x:row>
    <x:row r="198">
      <x:c r="A198" t="str">
        <x:v>ORD-1197</x:v>
      </x:c>
      <x:c r="B198" s="3" t="n">
        <x:v>46155</x:v>
      </x:c>
      <x:c r="C198" t="str">
        <x:v>Ceramic Mug</x:v>
      </x:c>
      <x:c r="D198" t="str">
        <x:v>Accessories</x:v>
      </x:c>
      <x:c r="E198" t="str">
        <x:v>Wholesale</x:v>
      </x:c>
      <x:c r="F198" t="str">
        <x:v>Istanbul</x:v>
      </x:c>
      <x:c r="G198" s="4" t="n">
        <x:v>1</x:v>
      </x:c>
      <x:c r="H198" s="5" t="n">
        <x:v>12.38</x:v>
      </x:c>
      <x:c r="I198" s="6" t="n">
        <x:v>0</x:v>
      </x:c>
      <x:c r="J198" s="5" t="n">
        <x:v>12.38</x:v>
      </x:c>
      <x:c r="K198" s="5" t="n">
        <x:v>4.4</x:v>
      </x:c>
      <x:c r="L198" s="5" t="n">
        <x:v>7.98</x:v>
      </x:c>
      <x:c r="M198" t="str">
        <x:v>2026-05</x:v>
      </x:c>
    </x:row>
    <x:row r="199">
      <x:c r="A199" t="str">
        <x:v>ORD-1198</x:v>
      </x:c>
      <x:c r="B199" s="3" t="n">
        <x:v>46162</x:v>
      </x:c>
      <x:c r="C199" t="str">
        <x:v>Paper Filters 100pk</x:v>
      </x:c>
      <x:c r="D199" t="str">
        <x:v>Accessories</x:v>
      </x:c>
      <x:c r="E199" t="str">
        <x:v>Retail Store</x:v>
      </x:c>
      <x:c r="F199" t="str">
        <x:v>Izmir</x:v>
      </x:c>
      <x:c r="G199" s="4" t="n">
        <x:v>6</x:v>
      </x:c>
      <x:c r="H199" s="5" t="n">
        <x:v>8.26</x:v>
      </x:c>
      <x:c r="I199" s="6" t="n">
        <x:v>0</x:v>
      </x:c>
      <x:c r="J199" s="5" t="n">
        <x:v>49.56</x:v>
      </x:c>
      <x:c r="K199" s="5" t="n">
        <x:v>15.6</x:v>
      </x:c>
      <x:c r="L199" s="5" t="n">
        <x:v>33.96</x:v>
      </x:c>
      <x:c r="M199" t="str">
        <x:v>2026-05</x:v>
      </x:c>
    </x:row>
    <x:row r="200">
      <x:c r="A200" t="str">
        <x:v>ORD-1199</x:v>
      </x:c>
      <x:c r="B200" s="3" t="n">
        <x:v>46169</x:v>
      </x:c>
      <x:c r="C200" t="str">
        <x:v>Ceramic Mug</x:v>
      </x:c>
      <x:c r="D200" t="str">
        <x:v>Accessories</x:v>
      </x:c>
      <x:c r="E200" t="str">
        <x:v>Online</x:v>
      </x:c>
      <x:c r="F200" t="str">
        <x:v>Istanbul</x:v>
      </x:c>
      <x:c r="G200" s="4" t="n">
        <x:v>3</x:v>
      </x:c>
      <x:c r="H200" s="5" t="n">
        <x:v>12.38</x:v>
      </x:c>
      <x:c r="I200" s="6" t="n">
        <x:v>0</x:v>
      </x:c>
      <x:c r="J200" s="5" t="n">
        <x:v>37.14</x:v>
      </x:c>
      <x:c r="K200" s="5" t="n">
        <x:v>13.2</x:v>
      </x:c>
      <x:c r="L200" s="5" t="n">
        <x:v>23.94</x:v>
      </x:c>
      <x:c r="M200" t="str">
        <x:v>2026-05</x:v>
      </x:c>
    </x:row>
    <x:row r="201">
      <x:c r="A201" t="str">
        <x:v>ORD-1200</x:v>
      </x:c>
      <x:c r="B201" s="3" t="n">
        <x:v>46148</x:v>
      </x:c>
      <x:c r="C201" t="str">
        <x:v>Paper Filters 100pk</x:v>
      </x:c>
      <x:c r="D201" t="str">
        <x:v>Accessories</x:v>
      </x:c>
      <x:c r="E201" t="str">
        <x:v>Wholesale</x:v>
      </x:c>
      <x:c r="F201" t="str">
        <x:v>Izmir</x:v>
      </x:c>
      <x:c r="G201" s="4" t="n">
        <x:v>8</x:v>
      </x:c>
      <x:c r="H201" s="5" t="n">
        <x:v>8.26</x:v>
      </x:c>
      <x:c r="I201" s="6" t="n">
        <x:v>0.1</x:v>
      </x:c>
      <x:c r="J201" s="5" t="n">
        <x:v>59.47</x:v>
      </x:c>
      <x:c r="K201" s="5" t="n">
        <x:v>20.8</x:v>
      </x:c>
      <x:c r="L201" s="5" t="n">
        <x:v>38.67</x:v>
      </x:c>
      <x:c r="M201" t="str">
        <x:v>2026-05</x:v>
      </x:c>
    </x:row>
    <x:row r="202">
      <x:c r="A202" t="str">
        <x:v>ORD-1201</x:v>
      </x:c>
      <x:c r="B202" s="3" t="n">
        <x:v>46155</x:v>
      </x:c>
      <x:c r="C202" t="str">
        <x:v>Ceramic Mug</x:v>
      </x:c>
      <x:c r="D202" t="str">
        <x:v>Accessories</x:v>
      </x:c>
      <x:c r="E202" t="str">
        <x:v>Retail Store</x:v>
      </x:c>
      <x:c r="F202" t="str">
        <x:v>Istanbul</x:v>
      </x:c>
      <x:c r="G202" s="4" t="n">
        <x:v>5</x:v>
      </x:c>
      <x:c r="H202" s="5" t="n">
        <x:v>12.38</x:v>
      </x:c>
      <x:c r="I202" s="6" t="n">
        <x:v>0</x:v>
      </x:c>
      <x:c r="J202" s="5" t="n">
        <x:v>61.9</x:v>
      </x:c>
      <x:c r="K202" s="5" t="n">
        <x:v>22</x:v>
      </x:c>
      <x:c r="L202" s="5" t="n">
        <x:v>39.9</x:v>
      </x:c>
      <x:c r="M202" t="str">
        <x:v>2026-05</x:v>
      </x:c>
    </x:row>
    <x:row r="203">
      <x:c r="A203" t="str">
        <x:v>ORD-1202</x:v>
      </x:c>
      <x:c r="B203" s="3" t="n">
        <x:v>46162</x:v>
      </x:c>
      <x:c r="C203" t="str">
        <x:v>Paper Filters 100pk</x:v>
      </x:c>
      <x:c r="D203" t="str">
        <x:v>Accessories</x:v>
      </x:c>
      <x:c r="E203" t="str">
        <x:v>Online</x:v>
      </x:c>
      <x:c r="F203" t="str">
        <x:v>Izmir</x:v>
      </x:c>
      <x:c r="G203" s="4" t="n">
        <x:v>2</x:v>
      </x:c>
      <x:c r="H203" s="5" t="n">
        <x:v>8.26</x:v>
      </x:c>
      <x:c r="I203" s="6" t="n">
        <x:v>0</x:v>
      </x:c>
      <x:c r="J203" s="5" t="n">
        <x:v>16.52</x:v>
      </x:c>
      <x:c r="K203" s="5" t="n">
        <x:v>5.2</x:v>
      </x:c>
      <x:c r="L203" s="5" t="n">
        <x:v>11.32</x:v>
      </x:c>
      <x:c r="M203" t="str">
        <x:v>2026-05</x:v>
      </x:c>
    </x:row>
    <x:row r="204">
      <x:c r="A204" t="str">
        <x:v>ORD-1203</x:v>
      </x:c>
      <x:c r="B204" s="3" t="n">
        <x:v>46169</x:v>
      </x:c>
      <x:c r="C204" t="str">
        <x:v>Ceramic Mug</x:v>
      </x:c>
      <x:c r="D204" t="str">
        <x:v>Accessories</x:v>
      </x:c>
      <x:c r="E204" t="str">
        <x:v>Wholesale</x:v>
      </x:c>
      <x:c r="F204" t="str">
        <x:v>Istanbul</x:v>
      </x:c>
      <x:c r="G204" s="4" t="n">
        <x:v>7</x:v>
      </x:c>
      <x:c r="H204" s="5" t="n">
        <x:v>12.38</x:v>
      </x:c>
      <x:c r="I204" s="6" t="n">
        <x:v>0</x:v>
      </x:c>
      <x:c r="J204" s="5" t="n">
        <x:v>86.66</x:v>
      </x:c>
      <x:c r="K204" s="5" t="n">
        <x:v>30.8</x:v>
      </x:c>
      <x:c r="L204" s="5" t="n">
        <x:v>55.86</x:v>
      </x:c>
      <x:c r="M204" t="str">
        <x:v>2026-05</x:v>
      </x:c>
    </x:row>
    <x:row r="205">
      <x:c r="A205" t="str">
        <x:v>ORD-1204</x:v>
      </x:c>
      <x:c r="B205" s="3" t="n">
        <x:v>46148</x:v>
      </x:c>
      <x:c r="C205" t="str">
        <x:v>Paper Filters 100pk</x:v>
      </x:c>
      <x:c r="D205" t="str">
        <x:v>Accessories</x:v>
      </x:c>
      <x:c r="E205" t="str">
        <x:v>Retail Store</x:v>
      </x:c>
      <x:c r="F205" t="str">
        <x:v>Izmir</x:v>
      </x:c>
      <x:c r="G205" s="4" t="n">
        <x:v>4</x:v>
      </x:c>
      <x:c r="H205" s="5" t="n">
        <x:v>8.26</x:v>
      </x:c>
      <x:c r="I205" s="6" t="n">
        <x:v>0.15</x:v>
      </x:c>
      <x:c r="J205" s="5" t="n">
        <x:v>28.08</x:v>
      </x:c>
      <x:c r="K205" s="5" t="n">
        <x:v>10.4</x:v>
      </x:c>
      <x:c r="L205" s="5" t="n">
        <x:v>17.68</x:v>
      </x:c>
      <x:c r="M205" t="str">
        <x:v>2026-05</x:v>
      </x:c>
    </x:row>
    <x:row r="206">
      <x:c r="A206" t="str">
        <x:v>ORD-1205</x:v>
      </x:c>
      <x:c r="B206" s="3" t="n">
        <x:v>46155</x:v>
      </x:c>
      <x:c r="C206" t="str">
        <x:v>Ceramic Mug</x:v>
      </x:c>
      <x:c r="D206" t="str">
        <x:v>Accessories</x:v>
      </x:c>
      <x:c r="E206" t="str">
        <x:v>Online</x:v>
      </x:c>
      <x:c r="F206" t="str">
        <x:v>Istanbul</x:v>
      </x:c>
      <x:c r="G206" s="4" t="n">
        <x:v>1</x:v>
      </x:c>
      <x:c r="H206" s="5" t="n">
        <x:v>12.38</x:v>
      </x:c>
      <x:c r="I206" s="6" t="n">
        <x:v>0</x:v>
      </x:c>
      <x:c r="J206" s="5" t="n">
        <x:v>12.38</x:v>
      </x:c>
      <x:c r="K206" s="5" t="n">
        <x:v>4.4</x:v>
      </x:c>
      <x:c r="L206" s="5" t="n">
        <x:v>7.98</x:v>
      </x:c>
      <x:c r="M206" t="str">
        <x:v>2026-05</x:v>
      </x:c>
    </x:row>
    <x:row r="207">
      <x:c r="A207" t="str">
        <x:v>ORD-1206</x:v>
      </x:c>
      <x:c r="B207" s="3" t="n">
        <x:v>46162</x:v>
      </x:c>
      <x:c r="C207" t="str">
        <x:v>Paper Filters 100pk</x:v>
      </x:c>
      <x:c r="D207" t="str">
        <x:v>Accessories</x:v>
      </x:c>
      <x:c r="E207" t="str">
        <x:v>Wholesale</x:v>
      </x:c>
      <x:c r="F207" t="str">
        <x:v>Izmir</x:v>
      </x:c>
      <x:c r="G207" s="4" t="n">
        <x:v>6</x:v>
      </x:c>
      <x:c r="H207" s="5" t="n">
        <x:v>8.26</x:v>
      </x:c>
      <x:c r="I207" s="6" t="n">
        <x:v>0</x:v>
      </x:c>
      <x:c r="J207" s="5" t="n">
        <x:v>49.56</x:v>
      </x:c>
      <x:c r="K207" s="5" t="n">
        <x:v>15.6</x:v>
      </x:c>
      <x:c r="L207" s="5" t="n">
        <x:v>33.96</x:v>
      </x:c>
      <x:c r="M207" t="str">
        <x:v>2026-05</x:v>
      </x:c>
    </x:row>
    <x:row r="208">
      <x:c r="A208" t="str">
        <x:v>ORD-1207</x:v>
      </x:c>
      <x:c r="B208" s="3" t="n">
        <x:v>46169</x:v>
      </x:c>
      <x:c r="C208" t="str">
        <x:v>Ceramic Mug</x:v>
      </x:c>
      <x:c r="D208" t="str">
        <x:v>Accessories</x:v>
      </x:c>
      <x:c r="E208" t="str">
        <x:v>Retail Store</x:v>
      </x:c>
      <x:c r="F208" t="str">
        <x:v>Istanbul</x:v>
      </x:c>
      <x:c r="G208" s="4" t="n">
        <x:v>3</x:v>
      </x:c>
      <x:c r="H208" s="5" t="n">
        <x:v>12.38</x:v>
      </x:c>
      <x:c r="I208" s="6" t="n">
        <x:v>0.1</x:v>
      </x:c>
      <x:c r="J208" s="5" t="n">
        <x:v>33.43</x:v>
      </x:c>
      <x:c r="K208" s="5" t="n">
        <x:v>13.2</x:v>
      </x:c>
      <x:c r="L208" s="5" t="n">
        <x:v>20.23</x:v>
      </x:c>
      <x:c r="M208" t="str">
        <x:v>2026-05</x:v>
      </x:c>
    </x:row>
    <x:row r="209">
      <x:c r="A209" t="str">
        <x:v>ORD-1208</x:v>
      </x:c>
      <x:c r="B209" s="3" t="n">
        <x:v>46148</x:v>
      </x:c>
      <x:c r="C209" t="str">
        <x:v>Paper Filters 100pk</x:v>
      </x:c>
      <x:c r="D209" t="str">
        <x:v>Accessories</x:v>
      </x:c>
      <x:c r="E209" t="str">
        <x:v>Online</x:v>
      </x:c>
      <x:c r="F209" t="str">
        <x:v>Izmir</x:v>
      </x:c>
      <x:c r="G209" s="4" t="n">
        <x:v>8</x:v>
      </x:c>
      <x:c r="H209" s="5" t="n">
        <x:v>8.26</x:v>
      </x:c>
      <x:c r="I209" s="6" t="n">
        <x:v>0</x:v>
      </x:c>
      <x:c r="J209" s="5" t="n">
        <x:v>66.08</x:v>
      </x:c>
      <x:c r="K209" s="5" t="n">
        <x:v>20.8</x:v>
      </x:c>
      <x:c r="L209" s="5" t="n">
        <x:v>45.28</x:v>
      </x:c>
      <x:c r="M209" t="str">
        <x:v>2026-05</x:v>
      </x:c>
    </x:row>
    <x:row r="210">
      <x:c r="A210" t="str">
        <x:v>ORD-1209</x:v>
      </x:c>
      <x:c r="B210" s="3" t="n">
        <x:v>46155</x:v>
      </x:c>
      <x:c r="C210" t="str">
        <x:v>Ceramic Mug</x:v>
      </x:c>
      <x:c r="D210" t="str">
        <x:v>Accessories</x:v>
      </x:c>
      <x:c r="E210" t="str">
        <x:v>Wholesale</x:v>
      </x:c>
      <x:c r="F210" t="str">
        <x:v>Istanbul</x:v>
      </x:c>
      <x:c r="G210" s="4" t="n">
        <x:v>5</x:v>
      </x:c>
      <x:c r="H210" s="5" t="n">
        <x:v>12.38</x:v>
      </x:c>
      <x:c r="I210" s="6" t="n">
        <x:v>0</x:v>
      </x:c>
      <x:c r="J210" s="5" t="n">
        <x:v>61.9</x:v>
      </x:c>
      <x:c r="K210" s="5" t="n">
        <x:v>22</x:v>
      </x:c>
      <x:c r="L210" s="5" t="n">
        <x:v>39.9</x:v>
      </x:c>
      <x:c r="M210" t="str">
        <x:v>2026-05</x:v>
      </x:c>
    </x:row>
    <x:row r="211">
      <x:c r="A211" t="str">
        <x:v>ORD-1210</x:v>
      </x:c>
      <x:c r="B211" s="3" t="n">
        <x:v>46162</x:v>
      </x:c>
      <x:c r="C211" t="str">
        <x:v>Paper Filters 100pk</x:v>
      </x:c>
      <x:c r="D211" t="str">
        <x:v>Accessories</x:v>
      </x:c>
      <x:c r="E211" t="str">
        <x:v>Retail Store</x:v>
      </x:c>
      <x:c r="F211" t="str">
        <x:v>Izmir</x:v>
      </x:c>
      <x:c r="G211" s="4" t="n">
        <x:v>2</x:v>
      </x:c>
      <x:c r="H211" s="5" t="n">
        <x:v>8.26</x:v>
      </x:c>
      <x:c r="I211" s="6" t="n">
        <x:v>0</x:v>
      </x:c>
      <x:c r="J211" s="5" t="n">
        <x:v>16.52</x:v>
      </x:c>
      <x:c r="K211" s="5" t="n">
        <x:v>5.2</x:v>
      </x:c>
      <x:c r="L211" s="5" t="n">
        <x:v>11.32</x:v>
      </x:c>
      <x:c r="M211" t="str">
        <x:v>2026-05</x:v>
      </x:c>
    </x:row>
    <x:row r="212">
      <x:c r="A212" t="str">
        <x:v>ORD-1211</x:v>
      </x:c>
      <x:c r="B212" s="3" t="n">
        <x:v>46169</x:v>
      </x:c>
      <x:c r="C212" t="str">
        <x:v>Ceramic Mug</x:v>
      </x:c>
      <x:c r="D212" t="str">
        <x:v>Accessories</x:v>
      </x:c>
      <x:c r="E212" t="str">
        <x:v>Online</x:v>
      </x:c>
      <x:c r="F212" t="str">
        <x:v>Istanbul</x:v>
      </x:c>
      <x:c r="G212" s="4" t="n">
        <x:v>7</x:v>
      </x:c>
      <x:c r="H212" s="5" t="n">
        <x:v>12.38</x:v>
      </x:c>
      <x:c r="I212" s="6" t="n">
        <x:v>0</x:v>
      </x:c>
      <x:c r="J212" s="5" t="n">
        <x:v>86.66</x:v>
      </x:c>
      <x:c r="K212" s="5" t="n">
        <x:v>30.8</x:v>
      </x:c>
      <x:c r="L212" s="5" t="n">
        <x:v>55.86</x:v>
      </x:c>
      <x:c r="M212" t="str">
        <x:v>2026-05</x:v>
      </x:c>
    </x:row>
    <x:row r="213">
      <x:c r="A213" t="str">
        <x:v>ORD-1212</x:v>
      </x:c>
      <x:c r="B213" s="3" t="n">
        <x:v>46148</x:v>
      </x:c>
      <x:c r="C213" t="str">
        <x:v>Paper Filters 100pk</x:v>
      </x:c>
      <x:c r="D213" t="str">
        <x:v>Accessories</x:v>
      </x:c>
      <x:c r="E213" t="str">
        <x:v>Wholesale</x:v>
      </x:c>
      <x:c r="F213" t="str">
        <x:v>Izmir</x:v>
      </x:c>
      <x:c r="G213" s="4" t="n">
        <x:v>4</x:v>
      </x:c>
      <x:c r="H213" s="5" t="n">
        <x:v>8.26</x:v>
      </x:c>
      <x:c r="I213" s="6" t="n">
        <x:v>0</x:v>
      </x:c>
      <x:c r="J213" s="5" t="n">
        <x:v>33.04</x:v>
      </x:c>
      <x:c r="K213" s="5" t="n">
        <x:v>10.4</x:v>
      </x:c>
      <x:c r="L213" s="5" t="n">
        <x:v>22.64</x:v>
      </x:c>
      <x:c r="M213" t="str">
        <x:v>2026-05</x:v>
      </x:c>
    </x:row>
    <x:row r="214">
      <x:c r="A214" t="str">
        <x:v>ORD-1213</x:v>
      </x:c>
      <x:c r="B214" s="3" t="n">
        <x:v>46155</x:v>
      </x:c>
      <x:c r="C214" t="str">
        <x:v>Ceramic Mug</x:v>
      </x:c>
      <x:c r="D214" t="str">
        <x:v>Accessories</x:v>
      </x:c>
      <x:c r="E214" t="str">
        <x:v>Retail Store</x:v>
      </x:c>
      <x:c r="F214" t="str">
        <x:v>Istanbul</x:v>
      </x:c>
      <x:c r="G214" s="4" t="n">
        <x:v>1</x:v>
      </x:c>
      <x:c r="H214" s="5" t="n">
        <x:v>12.38</x:v>
      </x:c>
      <x:c r="I214" s="6" t="n">
        <x:v>0</x:v>
      </x:c>
      <x:c r="J214" s="5" t="n">
        <x:v>12.38</x:v>
      </x:c>
      <x:c r="K214" s="5" t="n">
        <x:v>4.4</x:v>
      </x:c>
      <x:c r="L214" s="5" t="n">
        <x:v>7.98</x:v>
      </x:c>
      <x:c r="M214" t="str">
        <x:v>2026-05</x:v>
      </x:c>
    </x:row>
    <x:row r="215">
      <x:c r="A215" t="str">
        <x:v>ORD-1214</x:v>
      </x:c>
      <x:c r="B215" s="3" t="n">
        <x:v>46162</x:v>
      </x:c>
      <x:c r="C215" t="str">
        <x:v>Paper Filters 100pk</x:v>
      </x:c>
      <x:c r="D215" t="str">
        <x:v>Accessories</x:v>
      </x:c>
      <x:c r="E215" t="str">
        <x:v>Online</x:v>
      </x:c>
      <x:c r="F215" t="str">
        <x:v>Izmir</x:v>
      </x:c>
      <x:c r="G215" s="4" t="n">
        <x:v>6</x:v>
      </x:c>
      <x:c r="H215" s="5" t="n">
        <x:v>8.26</x:v>
      </x:c>
      <x:c r="I215" s="6" t="n">
        <x:v>0.1</x:v>
      </x:c>
      <x:c r="J215" s="5" t="n">
        <x:v>44.6</x:v>
      </x:c>
      <x:c r="K215" s="5" t="n">
        <x:v>15.6</x:v>
      </x:c>
      <x:c r="L215" s="5" t="n">
        <x:v>29</x:v>
      </x:c>
      <x:c r="M215" t="str">
        <x:v>2026-05</x:v>
      </x:c>
    </x:row>
    <x:row r="216">
      <x:c r="A216" t="str">
        <x:v>ORD-1215</x:v>
      </x:c>
      <x:c r="B216" s="3" t="n">
        <x:v>46169</x:v>
      </x:c>
      <x:c r="C216" t="str">
        <x:v>Ceramic Mug</x:v>
      </x:c>
      <x:c r="D216" t="str">
        <x:v>Accessories</x:v>
      </x:c>
      <x:c r="E216" t="str">
        <x:v>Wholesale</x:v>
      </x:c>
      <x:c r="F216" t="str">
        <x:v>Istanbul</x:v>
      </x:c>
      <x:c r="G216" s="4" t="n">
        <x:v>3</x:v>
      </x:c>
      <x:c r="H216" s="5" t="n">
        <x:v>12.38</x:v>
      </x:c>
      <x:c r="I216" s="6" t="n">
        <x:v>0.15</x:v>
      </x:c>
      <x:c r="J216" s="5" t="n">
        <x:v>31.57</x:v>
      </x:c>
      <x:c r="K216" s="5" t="n">
        <x:v>13.2</x:v>
      </x:c>
      <x:c r="L216" s="5" t="n">
        <x:v>18.37</x:v>
      </x:c>
      <x:c r="M216" t="str">
        <x:v>2026-05</x:v>
      </x:c>
    </x:row>
    <x:row r="217">
      <x:c r="A217" t="str">
        <x:v>ORD-1216</x:v>
      </x:c>
      <x:c r="B217" s="3" t="n">
        <x:v>46148</x:v>
      </x:c>
      <x:c r="C217" t="str">
        <x:v>Paper Filters 100pk</x:v>
      </x:c>
      <x:c r="D217" t="str">
        <x:v>Accessories</x:v>
      </x:c>
      <x:c r="E217" t="str">
        <x:v>Retail Store</x:v>
      </x:c>
      <x:c r="F217" t="str">
        <x:v>Izmir</x:v>
      </x:c>
      <x:c r="G217" s="4" t="n">
        <x:v>8</x:v>
      </x:c>
      <x:c r="H217" s="5" t="n">
        <x:v>8.26</x:v>
      </x:c>
      <x:c r="I217" s="6" t="n">
        <x:v>0</x:v>
      </x:c>
      <x:c r="J217" s="5" t="n">
        <x:v>66.08</x:v>
      </x:c>
      <x:c r="K217" s="5" t="n">
        <x:v>20.8</x:v>
      </x:c>
      <x:c r="L217" s="5" t="n">
        <x:v>45.28</x:v>
      </x:c>
      <x:c r="M217" t="str">
        <x:v>2026-05</x:v>
      </x:c>
    </x:row>
    <x:row r="218">
      <x:c r="A218" t="str">
        <x:v>ORD-1217</x:v>
      </x:c>
      <x:c r="B218" s="3" t="n">
        <x:v>46155</x:v>
      </x:c>
      <x:c r="C218" t="str">
        <x:v>Ceramic Mug</x:v>
      </x:c>
      <x:c r="D218" t="str">
        <x:v>Accessories</x:v>
      </x:c>
      <x:c r="E218" t="str">
        <x:v>Online</x:v>
      </x:c>
      <x:c r="F218" t="str">
        <x:v>Istanbul</x:v>
      </x:c>
      <x:c r="G218" s="4" t="n">
        <x:v>5</x:v>
      </x:c>
      <x:c r="H218" s="5" t="n">
        <x:v>12.38</x:v>
      </x:c>
      <x:c r="I218" s="6" t="n">
        <x:v>0</x:v>
      </x:c>
      <x:c r="J218" s="5" t="n">
        <x:v>61.9</x:v>
      </x:c>
      <x:c r="K218" s="5" t="n">
        <x:v>22</x:v>
      </x:c>
      <x:c r="L218" s="5" t="n">
        <x:v>39.9</x:v>
      </x:c>
      <x:c r="M218" t="str">
        <x:v>2026-05</x:v>
      </x:c>
    </x:row>
    <x:row r="219">
      <x:c r="A219" t="str">
        <x:v>ORD-1218</x:v>
      </x:c>
      <x:c r="B219" s="3" t="n">
        <x:v>46162</x:v>
      </x:c>
      <x:c r="C219" t="str">
        <x:v>Paper Filters 100pk</x:v>
      </x:c>
      <x:c r="D219" t="str">
        <x:v>Accessories</x:v>
      </x:c>
      <x:c r="E219" t="str">
        <x:v>Wholesale</x:v>
      </x:c>
      <x:c r="F219" t="str">
        <x:v>Izmir</x:v>
      </x:c>
      <x:c r="G219" s="4" t="n">
        <x:v>2</x:v>
      </x:c>
      <x:c r="H219" s="5" t="n">
        <x:v>8.26</x:v>
      </x:c>
      <x:c r="I219" s="6" t="n">
        <x:v>0</x:v>
      </x:c>
      <x:c r="J219" s="5" t="n">
        <x:v>16.52</x:v>
      </x:c>
      <x:c r="K219" s="5" t="n">
        <x:v>5.2</x:v>
      </x:c>
      <x:c r="L219" s="5" t="n">
        <x:v>11.32</x:v>
      </x:c>
      <x:c r="M219" t="str">
        <x:v>2026-05</x:v>
      </x:c>
    </x:row>
    <x:row r="220">
      <x:c r="A220" t="str">
        <x:v>ORD-1219</x:v>
      </x:c>
      <x:c r="B220" s="3" t="n">
        <x:v>46169</x:v>
      </x:c>
      <x:c r="C220" t="str">
        <x:v>Ceramic Mug</x:v>
      </x:c>
      <x:c r="D220" t="str">
        <x:v>Accessories</x:v>
      </x:c>
      <x:c r="E220" t="str">
        <x:v>Retail Store</x:v>
      </x:c>
      <x:c r="F220" t="str">
        <x:v>Istanbul</x:v>
      </x:c>
      <x:c r="G220" s="4" t="n">
        <x:v>7</x:v>
      </x:c>
      <x:c r="H220" s="5" t="n">
        <x:v>12.38</x:v>
      </x:c>
      <x:c r="I220" s="6" t="n">
        <x:v>0</x:v>
      </x:c>
      <x:c r="J220" s="5" t="n">
        <x:v>86.66</x:v>
      </x:c>
      <x:c r="K220" s="5" t="n">
        <x:v>30.8</x:v>
      </x:c>
      <x:c r="L220" s="5" t="n">
        <x:v>55.86</x:v>
      </x:c>
      <x:c r="M220" t="str">
        <x:v>2026-05</x:v>
      </x:c>
    </x:row>
    <x:row r="221">
      <x:c r="A221" t="str">
        <x:v>ORD-1220</x:v>
      </x:c>
      <x:c r="B221" s="3" t="n">
        <x:v>46148</x:v>
      </x:c>
      <x:c r="C221" t="str">
        <x:v>Paper Filters 100pk</x:v>
      </x:c>
      <x:c r="D221" t="str">
        <x:v>Accessories</x:v>
      </x:c>
      <x:c r="E221" t="str">
        <x:v>Online</x:v>
      </x:c>
      <x:c r="F221" t="str">
        <x:v>Izmir</x:v>
      </x:c>
      <x:c r="G221" s="4" t="n">
        <x:v>4</x:v>
      </x:c>
      <x:c r="H221" s="5" t="n">
        <x:v>8.26</x:v>
      </x:c>
      <x:c r="I221" s="6" t="n">
        <x:v>0</x:v>
      </x:c>
      <x:c r="J221" s="5" t="n">
        <x:v>33.04</x:v>
      </x:c>
      <x:c r="K221" s="5" t="n">
        <x:v>10.4</x:v>
      </x:c>
      <x:c r="L221" s="5" t="n">
        <x:v>22.64</x:v>
      </x:c>
      <x:c r="M221" t="str">
        <x:v>2026-05</x:v>
      </x:c>
    </x:row>
    <x:row r="222">
      <x:c r="A222" t="str">
        <x:v>ORD-1221</x:v>
      </x:c>
      <x:c r="B222" s="3" t="n">
        <x:v>46155</x:v>
      </x:c>
      <x:c r="C222" t="str">
        <x:v>Ceramic Mug</x:v>
      </x:c>
      <x:c r="D222" t="str">
        <x:v>Accessories</x:v>
      </x:c>
      <x:c r="E222" t="str">
        <x:v>Wholesale</x:v>
      </x:c>
      <x:c r="F222" t="str">
        <x:v>Istanbul</x:v>
      </x:c>
      <x:c r="G222" s="4" t="n">
        <x:v>1</x:v>
      </x:c>
      <x:c r="H222" s="5" t="n">
        <x:v>12.38</x:v>
      </x:c>
      <x:c r="I222" s="6" t="n">
        <x:v>0.1</x:v>
      </x:c>
      <x:c r="J222" s="5" t="n">
        <x:v>11.14</x:v>
      </x:c>
      <x:c r="K222" s="5" t="n">
        <x:v>4.4</x:v>
      </x:c>
      <x:c r="L222" s="5" t="n">
        <x:v>6.74</x:v>
      </x:c>
      <x:c r="M222" t="str">
        <x:v>2026-05</x:v>
      </x:c>
    </x:row>
    <x:row r="223">
      <x:c r="A223" t="str">
        <x:v>ORD-1222</x:v>
      </x:c>
      <x:c r="B223" s="3" t="n">
        <x:v>46162</x:v>
      </x:c>
      <x:c r="C223" t="str">
        <x:v>Paper Filters 100pk</x:v>
      </x:c>
      <x:c r="D223" t="str">
        <x:v>Accessories</x:v>
      </x:c>
      <x:c r="E223" t="str">
        <x:v>Retail Store</x:v>
      </x:c>
      <x:c r="F223" t="str">
        <x:v>Izmir</x:v>
      </x:c>
      <x:c r="G223" s="4" t="n">
        <x:v>6</x:v>
      </x:c>
      <x:c r="H223" s="5" t="n">
        <x:v>8.26</x:v>
      </x:c>
      <x:c r="I223" s="6" t="n">
        <x:v>0</x:v>
      </x:c>
      <x:c r="J223" s="5" t="n">
        <x:v>49.56</x:v>
      </x:c>
      <x:c r="K223" s="5" t="n">
        <x:v>15.6</x:v>
      </x:c>
      <x:c r="L223" s="5" t="n">
        <x:v>33.96</x:v>
      </x:c>
      <x:c r="M223" t="str">
        <x:v>2026-05</x:v>
      </x:c>
    </x:row>
    <x:row r="224">
      <x:c r="A224" t="str">
        <x:v>ORD-1223</x:v>
      </x:c>
      <x:c r="B224" s="3" t="n">
        <x:v>46169</x:v>
      </x:c>
      <x:c r="C224" t="str">
        <x:v>Ceramic Mug</x:v>
      </x:c>
      <x:c r="D224" t="str">
        <x:v>Accessories</x:v>
      </x:c>
      <x:c r="E224" t="str">
        <x:v>Online</x:v>
      </x:c>
      <x:c r="F224" t="str">
        <x:v>Istanbul</x:v>
      </x:c>
      <x:c r="G224" s="4" t="n">
        <x:v>3</x:v>
      </x:c>
      <x:c r="H224" s="5" t="n">
        <x:v>12.38</x:v>
      </x:c>
      <x:c r="I224" s="6" t="n">
        <x:v>0</x:v>
      </x:c>
      <x:c r="J224" s="5" t="n">
        <x:v>37.14</x:v>
      </x:c>
      <x:c r="K224" s="5" t="n">
        <x:v>13.2</x:v>
      </x:c>
      <x:c r="L224" s="5" t="n">
        <x:v>23.94</x:v>
      </x:c>
      <x:c r="M224" t="str">
        <x:v>2026-05</x:v>
      </x:c>
    </x:row>
    <x:row r="225">
      <x:c r="A225" t="str">
        <x:v>ORD-1224</x:v>
      </x:c>
      <x:c r="B225" s="3" t="n">
        <x:v>46148</x:v>
      </x:c>
      <x:c r="C225" t="str">
        <x:v>Paper Filters 100pk</x:v>
      </x:c>
      <x:c r="D225" t="str">
        <x:v>Accessories</x:v>
      </x:c>
      <x:c r="E225" t="str">
        <x:v>Wholesale</x:v>
      </x:c>
      <x:c r="F225" t="str">
        <x:v>Izmir</x:v>
      </x:c>
      <x:c r="G225" s="4" t="n">
        <x:v>8</x:v>
      </x:c>
      <x:c r="H225" s="5" t="n">
        <x:v>8.26</x:v>
      </x:c>
      <x:c r="I225" s="6" t="n">
        <x:v>0</x:v>
      </x:c>
      <x:c r="J225" s="5" t="n">
        <x:v>66.08</x:v>
      </x:c>
      <x:c r="K225" s="5" t="n">
        <x:v>20.8</x:v>
      </x:c>
      <x:c r="L225" s="5" t="n">
        <x:v>45.28</x:v>
      </x:c>
      <x:c r="M225" t="str">
        <x:v>2026-05</x:v>
      </x:c>
    </x:row>
    <x:row r="226">
      <x:c r="A226" t="str">
        <x:v>ORD-1225</x:v>
      </x:c>
      <x:c r="B226" s="3" t="n">
        <x:v>46155</x:v>
      </x:c>
      <x:c r="C226" t="str">
        <x:v>Ceramic Mug</x:v>
      </x:c>
      <x:c r="D226" t="str">
        <x:v>Accessories</x:v>
      </x:c>
      <x:c r="E226" t="str">
        <x:v>Retail Store</x:v>
      </x:c>
      <x:c r="F226" t="str">
        <x:v>Istanbul</x:v>
      </x:c>
      <x:c r="G226" s="4" t="n">
        <x:v>5</x:v>
      </x:c>
      <x:c r="H226" s="5" t="n">
        <x:v>12.38</x:v>
      </x:c>
      <x:c r="I226" s="6" t="n">
        <x:v>0</x:v>
      </x:c>
      <x:c r="J226" s="5" t="n">
        <x:v>61.9</x:v>
      </x:c>
      <x:c r="K226" s="5" t="n">
        <x:v>22</x:v>
      </x:c>
      <x:c r="L226" s="5" t="n">
        <x:v>39.9</x:v>
      </x:c>
      <x:c r="M226" t="str">
        <x:v>2026-05</x:v>
      </x:c>
    </x:row>
    <x:row r="227">
      <x:c r="A227" t="str">
        <x:v>ORD-1226</x:v>
      </x:c>
      <x:c r="B227" s="3" t="n">
        <x:v>46162</x:v>
      </x:c>
      <x:c r="C227" t="str">
        <x:v>Paper Filters 100pk</x:v>
      </x:c>
      <x:c r="D227" t="str">
        <x:v>Accessories</x:v>
      </x:c>
      <x:c r="E227" t="str">
        <x:v>Online</x:v>
      </x:c>
      <x:c r="F227" t="str">
        <x:v>Izmir</x:v>
      </x:c>
      <x:c r="G227" s="4" t="n">
        <x:v>2</x:v>
      </x:c>
      <x:c r="H227" s="5" t="n">
        <x:v>8.26</x:v>
      </x:c>
      <x:c r="I227" s="6" t="n">
        <x:v>0.15</x:v>
      </x:c>
      <x:c r="J227" s="5" t="n">
        <x:v>14.04</x:v>
      </x:c>
      <x:c r="K227" s="5" t="n">
        <x:v>5.2</x:v>
      </x:c>
      <x:c r="L227" s="5" t="n">
        <x:v>8.84</x:v>
      </x:c>
      <x:c r="M227" t="str">
        <x:v>2026-05</x:v>
      </x:c>
    </x:row>
    <x:row r="228">
      <x:c r="A228" t="str">
        <x:v>ORD-1227</x:v>
      </x:c>
      <x:c r="B228" s="3" t="n">
        <x:v>46169</x:v>
      </x:c>
      <x:c r="C228" t="str">
        <x:v>Ceramic Mug</x:v>
      </x:c>
      <x:c r="D228" t="str">
        <x:v>Accessories</x:v>
      </x:c>
      <x:c r="E228" t="str">
        <x:v>Wholesale</x:v>
      </x:c>
      <x:c r="F228" t="str">
        <x:v>Istanbul</x:v>
      </x:c>
      <x:c r="G228" s="4" t="n">
        <x:v>7</x:v>
      </x:c>
      <x:c r="H228" s="5" t="n">
        <x:v>12.38</x:v>
      </x:c>
      <x:c r="I228" s="6" t="n">
        <x:v>0</x:v>
      </x:c>
      <x:c r="J228" s="5" t="n">
        <x:v>86.66</x:v>
      </x:c>
      <x:c r="K228" s="5" t="n">
        <x:v>30.8</x:v>
      </x:c>
      <x:c r="L228" s="5" t="n">
        <x:v>55.86</x:v>
      </x:c>
      <x:c r="M228" t="str">
        <x:v>2026-05</x:v>
      </x:c>
    </x:row>
    <x:row r="229">
      <x:c r="A229" t="str">
        <x:v>ORD-1228</x:v>
      </x:c>
      <x:c r="B229" s="3" t="n">
        <x:v>46148</x:v>
      </x:c>
      <x:c r="C229" t="str">
        <x:v>Paper Filters 100pk</x:v>
      </x:c>
      <x:c r="D229" t="str">
        <x:v>Accessories</x:v>
      </x:c>
      <x:c r="E229" t="str">
        <x:v>Retail Store</x:v>
      </x:c>
      <x:c r="F229" t="str">
        <x:v>Izmir</x:v>
      </x:c>
      <x:c r="G229" s="4" t="n">
        <x:v>4</x:v>
      </x:c>
      <x:c r="H229" s="5" t="n">
        <x:v>8.26</x:v>
      </x:c>
      <x:c r="I229" s="6" t="n">
        <x:v>0.1</x:v>
      </x:c>
      <x:c r="J229" s="5" t="n">
        <x:v>29.74</x:v>
      </x:c>
      <x:c r="K229" s="5" t="n">
        <x:v>10.4</x:v>
      </x:c>
      <x:c r="L229" s="5" t="n">
        <x:v>19.34</x:v>
      </x:c>
      <x:c r="M229" t="str">
        <x:v>2026-05</x:v>
      </x:c>
    </x:row>
    <x:row r="230">
      <x:c r="A230" t="str">
        <x:v>ORD-1229</x:v>
      </x:c>
      <x:c r="B230" s="3" t="n">
        <x:v>46155</x:v>
      </x:c>
      <x:c r="C230" t="str">
        <x:v>Ceramic Mug</x:v>
      </x:c>
      <x:c r="D230" t="str">
        <x:v>Accessories</x:v>
      </x:c>
      <x:c r="E230" t="str">
        <x:v>Online</x:v>
      </x:c>
      <x:c r="F230" t="str">
        <x:v>Istanbul</x:v>
      </x:c>
      <x:c r="G230" s="4" t="n">
        <x:v>1</x:v>
      </x:c>
      <x:c r="H230" s="5" t="n">
        <x:v>12.38</x:v>
      </x:c>
      <x:c r="I230" s="6" t="n">
        <x:v>0</x:v>
      </x:c>
      <x:c r="J230" s="5" t="n">
        <x:v>12.38</x:v>
      </x:c>
      <x:c r="K230" s="5" t="n">
        <x:v>4.4</x:v>
      </x:c>
      <x:c r="L230" s="5" t="n">
        <x:v>7.98</x:v>
      </x:c>
      <x:c r="M230" t="str">
        <x:v>2026-05</x:v>
      </x:c>
    </x:row>
    <x:row r="231">
      <x:c r="A231" t="str">
        <x:v>ORD-1230</x:v>
      </x:c>
      <x:c r="B231" s="3" t="n">
        <x:v>46162</x:v>
      </x:c>
      <x:c r="C231" t="str">
        <x:v>Paper Filters 100pk</x:v>
      </x:c>
      <x:c r="D231" t="str">
        <x:v>Accessories</x:v>
      </x:c>
      <x:c r="E231" t="str">
        <x:v>Wholesale</x:v>
      </x:c>
      <x:c r="F231" t="str">
        <x:v>Izmir</x:v>
      </x:c>
      <x:c r="G231" s="4" t="n">
        <x:v>6</x:v>
      </x:c>
      <x:c r="H231" s="5" t="n">
        <x:v>8.26</x:v>
      </x:c>
      <x:c r="I231" s="6" t="n">
        <x:v>0</x:v>
      </x:c>
      <x:c r="J231" s="5" t="n">
        <x:v>49.56</x:v>
      </x:c>
      <x:c r="K231" s="5" t="n">
        <x:v>15.6</x:v>
      </x:c>
      <x:c r="L231" s="5" t="n">
        <x:v>33.96</x:v>
      </x:c>
      <x:c r="M231" t="str">
        <x:v>2026-05</x:v>
      </x:c>
    </x:row>
    <x:row r="232">
      <x:c r="A232" t="str">
        <x:v>ORD-1231</x:v>
      </x:c>
      <x:c r="B232" s="3" t="n">
        <x:v>46169</x:v>
      </x:c>
      <x:c r="C232" t="str">
        <x:v>Ceramic Mug</x:v>
      </x:c>
      <x:c r="D232" t="str">
        <x:v>Accessories</x:v>
      </x:c>
      <x:c r="E232" t="str">
        <x:v>Retail Store</x:v>
      </x:c>
      <x:c r="F232" t="str">
        <x:v>Istanbul</x:v>
      </x:c>
      <x:c r="G232" s="4" t="n">
        <x:v>3</x:v>
      </x:c>
      <x:c r="H232" s="5" t="n">
        <x:v>12.38</x:v>
      </x:c>
      <x:c r="I232" s="6" t="n">
        <x:v>0</x:v>
      </x:c>
      <x:c r="J232" s="5" t="n">
        <x:v>37.14</x:v>
      </x:c>
      <x:c r="K232" s="5" t="n">
        <x:v>13.2</x:v>
      </x:c>
      <x:c r="L232" s="5" t="n">
        <x:v>23.94</x:v>
      </x:c>
      <x:c r="M232" t="str">
        <x:v>2026-05</x:v>
      </x:c>
    </x:row>
    <x:row r="233">
      <x:c r="A233" t="str">
        <x:v>ORD-1232</x:v>
      </x:c>
      <x:c r="B233" s="3" t="n">
        <x:v>46148</x:v>
      </x:c>
      <x:c r="C233" t="str">
        <x:v>Paper Filters 100pk</x:v>
      </x:c>
      <x:c r="D233" t="str">
        <x:v>Accessories</x:v>
      </x:c>
      <x:c r="E233" t="str">
        <x:v>Online</x:v>
      </x:c>
      <x:c r="F233" t="str">
        <x:v>Izmir</x:v>
      </x:c>
      <x:c r="G233" s="4" t="n">
        <x:v>8</x:v>
      </x:c>
      <x:c r="H233" s="5" t="n">
        <x:v>8.26</x:v>
      </x:c>
      <x:c r="I233" s="6" t="n">
        <x:v>0</x:v>
      </x:c>
      <x:c r="J233" s="5" t="n">
        <x:v>66.08</x:v>
      </x:c>
      <x:c r="K233" s="5" t="n">
        <x:v>20.8</x:v>
      </x:c>
      <x:c r="L233" s="5" t="n">
        <x:v>45.28</x:v>
      </x:c>
      <x:c r="M233" t="str">
        <x:v>2026-05</x:v>
      </x:c>
    </x:row>
    <x:row r="234">
      <x:c r="A234" t="str">
        <x:v>ORD-1233</x:v>
      </x:c>
      <x:c r="B234" s="3" t="n">
        <x:v>46155</x:v>
      </x:c>
      <x:c r="C234" t="str">
        <x:v>Ceramic Mug</x:v>
      </x:c>
      <x:c r="D234" t="str">
        <x:v>Accessories</x:v>
      </x:c>
      <x:c r="E234" t="str">
        <x:v>Wholesale</x:v>
      </x:c>
      <x:c r="F234" t="str">
        <x:v>Istanbul</x:v>
      </x:c>
      <x:c r="G234" s="4" t="n">
        <x:v>5</x:v>
      </x:c>
      <x:c r="H234" s="5" t="n">
        <x:v>12.38</x:v>
      </x:c>
      <x:c r="I234" s="6" t="n">
        <x:v>0</x:v>
      </x:c>
      <x:c r="J234" s="5" t="n">
        <x:v>61.9</x:v>
      </x:c>
      <x:c r="K234" s="5" t="n">
        <x:v>22</x:v>
      </x:c>
      <x:c r="L234" s="5" t="n">
        <x:v>39.9</x:v>
      </x:c>
      <x:c r="M234" t="str">
        <x:v>2026-05</x:v>
      </x:c>
    </x:row>
    <x:row r="235">
      <x:c r="A235" t="str">
        <x:v>ORD-1234</x:v>
      </x:c>
      <x:c r="B235" s="3" t="n">
        <x:v>46162</x:v>
      </x:c>
      <x:c r="C235" t="str">
        <x:v>Paper Filters 100pk</x:v>
      </x:c>
      <x:c r="D235" t="str">
        <x:v>Accessories</x:v>
      </x:c>
      <x:c r="E235" t="str">
        <x:v>Retail Store</x:v>
      </x:c>
      <x:c r="F235" t="str">
        <x:v>Izmir</x:v>
      </x:c>
      <x:c r="G235" s="4" t="n">
        <x:v>2</x:v>
      </x:c>
      <x:c r="H235" s="5" t="n">
        <x:v>8.26</x:v>
      </x:c>
      <x:c r="I235" s="6" t="n">
        <x:v>0</x:v>
      </x:c>
      <x:c r="J235" s="5" t="n">
        <x:v>16.52</x:v>
      </x:c>
      <x:c r="K235" s="5" t="n">
        <x:v>5.2</x:v>
      </x:c>
      <x:c r="L235" s="5" t="n">
        <x:v>11.32</x:v>
      </x:c>
      <x:c r="M235" t="str">
        <x:v>2026-05</x:v>
      </x:c>
    </x:row>
    <x:row r="236">
      <x:c r="A236" t="str">
        <x:v>ORD-1235</x:v>
      </x:c>
      <x:c r="B236" s="3" t="n">
        <x:v>46169</x:v>
      </x:c>
      <x:c r="C236" t="str">
        <x:v>Ceramic Mug</x:v>
      </x:c>
      <x:c r="D236" t="str">
        <x:v>Accessories</x:v>
      </x:c>
      <x:c r="E236" t="str">
        <x:v>Online</x:v>
      </x:c>
      <x:c r="F236" t="str">
        <x:v>Istanbul</x:v>
      </x:c>
      <x:c r="G236" s="4" t="n">
        <x:v>7</x:v>
      </x:c>
      <x:c r="H236" s="5" t="n">
        <x:v>12.38</x:v>
      </x:c>
      <x:c r="I236" s="6" t="n">
        <x:v>0.1</x:v>
      </x:c>
      <x:c r="J236" s="5" t="n">
        <x:v>77.99</x:v>
      </x:c>
      <x:c r="K236" s="5" t="n">
        <x:v>30.8</x:v>
      </x:c>
      <x:c r="L236" s="5" t="n">
        <x:v>47.19</x:v>
      </x:c>
      <x:c r="M236" t="str">
        <x:v>2026-05</x:v>
      </x:c>
    </x:row>
    <x:row r="237">
      <x:c r="A237" t="str">
        <x:v>ORD-1236</x:v>
      </x:c>
      <x:c r="B237" s="3" t="n">
        <x:v>46148</x:v>
      </x:c>
      <x:c r="C237" t="str">
        <x:v>Paper Filters 100pk</x:v>
      </x:c>
      <x:c r="D237" t="str">
        <x:v>Accessories</x:v>
      </x:c>
      <x:c r="E237" t="str">
        <x:v>Wholesale</x:v>
      </x:c>
      <x:c r="F237" t="str">
        <x:v>Izmir</x:v>
      </x:c>
      <x:c r="G237" s="4" t="n">
        <x:v>4</x:v>
      </x:c>
      <x:c r="H237" s="5" t="n">
        <x:v>8.26</x:v>
      </x:c>
      <x:c r="I237" s="6" t="n">
        <x:v>0</x:v>
      </x:c>
      <x:c r="J237" s="5" t="n">
        <x:v>33.04</x:v>
      </x:c>
      <x:c r="K237" s="5" t="n">
        <x:v>10.4</x:v>
      </x:c>
      <x:c r="L237" s="5" t="n">
        <x:v>22.64</x:v>
      </x:c>
      <x:c r="M237" t="str">
        <x:v>2026-05</x:v>
      </x:c>
    </x:row>
    <x:row r="238">
      <x:c r="A238" t="str">
        <x:v>ORD-1237</x:v>
      </x:c>
      <x:c r="B238" s="3" t="n">
        <x:v>46155</x:v>
      </x:c>
      <x:c r="C238" t="str">
        <x:v>Ceramic Mug</x:v>
      </x:c>
      <x:c r="D238" t="str">
        <x:v>Accessories</x:v>
      </x:c>
      <x:c r="E238" t="str">
        <x:v>Retail Store</x:v>
      </x:c>
      <x:c r="F238" t="str">
        <x:v>Istanbul</x:v>
      </x:c>
      <x:c r="G238" s="4" t="n">
        <x:v>1</x:v>
      </x:c>
      <x:c r="H238" s="5" t="n">
        <x:v>12.38</x:v>
      </x:c>
      <x:c r="I238" s="6" t="n">
        <x:v>0.15</x:v>
      </x:c>
      <x:c r="J238" s="5" t="n">
        <x:v>10.52</x:v>
      </x:c>
      <x:c r="K238" s="5" t="n">
        <x:v>4.4</x:v>
      </x:c>
      <x:c r="L238" s="5" t="n">
        <x:v>6.12</x:v>
      </x:c>
      <x:c r="M238" t="str">
        <x:v>2026-05</x:v>
      </x:c>
    </x:row>
    <x:row r="239">
      <x:c r="A239" t="str">
        <x:v>ORD-1238</x:v>
      </x:c>
      <x:c r="B239" s="3" t="n">
        <x:v>46162</x:v>
      </x:c>
      <x:c r="C239" t="str">
        <x:v>Paper Filters 100pk</x:v>
      </x:c>
      <x:c r="D239" t="str">
        <x:v>Accessories</x:v>
      </x:c>
      <x:c r="E239" t="str">
        <x:v>Online</x:v>
      </x:c>
      <x:c r="F239" t="str">
        <x:v>Izmir</x:v>
      </x:c>
      <x:c r="G239" s="4" t="n">
        <x:v>6</x:v>
      </x:c>
      <x:c r="H239" s="5" t="n">
        <x:v>8.26</x:v>
      </x:c>
      <x:c r="I239" s="6" t="n">
        <x:v>0</x:v>
      </x:c>
      <x:c r="J239" s="5" t="n">
        <x:v>49.56</x:v>
      </x:c>
      <x:c r="K239" s="5" t="n">
        <x:v>15.6</x:v>
      </x:c>
      <x:c r="L239" s="5" t="n">
        <x:v>33.96</x:v>
      </x:c>
      <x:c r="M239" t="str">
        <x:v>2026-05</x:v>
      </x:c>
    </x:row>
    <x:row r="240">
      <x:c r="A240" t="str">
        <x:v>ORD-1239</x:v>
      </x:c>
      <x:c r="B240" s="3" t="n">
        <x:v>46169</x:v>
      </x:c>
      <x:c r="C240" t="str">
        <x:v>Ceramic Mug</x:v>
      </x:c>
      <x:c r="D240" t="str">
        <x:v>Accessories</x:v>
      </x:c>
      <x:c r="E240" t="str">
        <x:v>Wholesale</x:v>
      </x:c>
      <x:c r="F240" t="str">
        <x:v>Istanbul</x:v>
      </x:c>
      <x:c r="G240" s="4" t="n">
        <x:v>3</x:v>
      </x:c>
      <x:c r="H240" s="5" t="n">
        <x:v>12.38</x:v>
      </x:c>
      <x:c r="I240" s="6" t="n">
        <x:v>0</x:v>
      </x:c>
      <x:c r="J240" s="5" t="n">
        <x:v>37.14</x:v>
      </x:c>
      <x:c r="K240" s="5" t="n">
        <x:v>13.2</x:v>
      </x:c>
      <x:c r="L240" s="5" t="n">
        <x:v>23.94</x:v>
      </x:c>
      <x:c r="M240" t="str">
        <x:v>2026-05</x:v>
      </x:c>
    </x:row>
    <x:row r="241">
      <x:c r="A241" t="str">
        <x:v>ORD-1240</x:v>
      </x:c>
      <x:c r="B241" s="3" t="n">
        <x:v>46148</x:v>
      </x:c>
      <x:c r="C241" t="str">
        <x:v>Paper Filters 100pk</x:v>
      </x:c>
      <x:c r="D241" t="str">
        <x:v>Accessories</x:v>
      </x:c>
      <x:c r="E241" t="str">
        <x:v>Retail Store</x:v>
      </x:c>
      <x:c r="F241" t="str">
        <x:v>Izmir</x:v>
      </x:c>
      <x:c r="G241" s="4" t="n">
        <x:v>8</x:v>
      </x:c>
      <x:c r="H241" s="5" t="n">
        <x:v>8.26</x:v>
      </x:c>
      <x:c r="I241" s="6" t="n">
        <x:v>0</x:v>
      </x:c>
      <x:c r="J241" s="5" t="n">
        <x:v>66.08</x:v>
      </x:c>
      <x:c r="K241" s="5" t="n">
        <x:v>20.8</x:v>
      </x:c>
      <x:c r="L241" s="5" t="n">
        <x:v>45.28</x:v>
      </x:c>
      <x:c r="M241" t="str">
        <x:v>2026-05</x:v>
      </x:c>
    </x:row>
    <x:row r="242">
      <x:c r="A242" t="str">
        <x:v>ORD-1241</x:v>
      </x:c>
      <x:c r="B242" s="3" t="n">
        <x:v>46189</x:v>
      </x:c>
      <x:c r="C242" t="str">
        <x:v>Cold Brew Bottle</x:v>
      </x:c>
      <x:c r="D242" t="str">
        <x:v>Equipment</x:v>
      </x:c>
      <x:c r="E242" t="str">
        <x:v>Wholesale</x:v>
      </x:c>
      <x:c r="F242" t="str">
        <x:v>Ankara</x:v>
      </x:c>
      <x:c r="G242" s="4" t="n">
        <x:v>6</x:v>
      </x:c>
      <x:c r="H242" s="5" t="n">
        <x:v>24.96</x:v>
      </x:c>
      <x:c r="I242" s="6" t="n">
        <x:v>0.15</x:v>
      </x:c>
      <x:c r="J242" s="5" t="n">
        <x:v>127.3</x:v>
      </x:c>
      <x:c r="K242" s="5" t="n">
        <x:v>75</x:v>
      </x:c>
      <x:c r="L242" s="5" t="n">
        <x:v>52.3</x:v>
      </x:c>
      <x:c r="M242" t="str">
        <x:v>2026-06</x:v>
      </x:c>
    </x:row>
    <x:row r="243">
      <x:c r="A243" t="str">
        <x:v>ORD-1242</x:v>
      </x:c>
      <x:c r="B243" s="3" t="n">
        <x:v>46196</x:v>
      </x:c>
      <x:c r="C243" t="str">
        <x:v>Filter Beans 1kg</x:v>
      </x:c>
      <x:c r="D243" t="str">
        <x:v>Coffee</x:v>
      </x:c>
      <x:c r="E243" t="str">
        <x:v>Retail Store</x:v>
      </x:c>
      <x:c r="F243" t="str">
        <x:v>Bursa</x:v>
      </x:c>
      <x:c r="G243" s="4" t="n">
        <x:v>3</x:v>
      </x:c>
      <x:c r="H243" s="5" t="n">
        <x:v>20.8</x:v>
      </x:c>
      <x:c r="I243" s="6" t="n">
        <x:v>0</x:v>
      </x:c>
      <x:c r="J243" s="5" t="n">
        <x:v>62.4</x:v>
      </x:c>
      <x:c r="K243" s="5" t="n">
        <x:v>35.4</x:v>
      </x:c>
      <x:c r="L243" s="5" t="n">
        <x:v>27</x:v>
      </x:c>
      <x:c r="M243" t="str">
        <x:v>2026-06</x:v>
      </x:c>
    </x:row>
    <x:row r="244">
      <x:c r="A244" t="str">
        <x:v>ORD-1243</x:v>
      </x:c>
      <x:c r="B244" s="3" t="n">
        <x:v>46175</x:v>
      </x:c>
      <x:c r="C244" t="str">
        <x:v>Cold Brew Bottle</x:v>
      </x:c>
      <x:c r="D244" t="str">
        <x:v>Equipment</x:v>
      </x:c>
      <x:c r="E244" t="str">
        <x:v>Online</x:v>
      </x:c>
      <x:c r="F244" t="str">
        <x:v>Ankara</x:v>
      </x:c>
      <x:c r="G244" s="4" t="n">
        <x:v>8</x:v>
      </x:c>
      <x:c r="H244" s="5" t="n">
        <x:v>24.96</x:v>
      </x:c>
      <x:c r="I244" s="6" t="n">
        <x:v>0</x:v>
      </x:c>
      <x:c r="J244" s="5" t="n">
        <x:v>199.68</x:v>
      </x:c>
      <x:c r="K244" s="5" t="n">
        <x:v>100</x:v>
      </x:c>
      <x:c r="L244" s="5" t="n">
        <x:v>99.68</x:v>
      </x:c>
      <x:c r="M244" t="str">
        <x:v>2026-06</x:v>
      </x:c>
    </x:row>
    <x:row r="245">
      <x:c r="A245" t="str">
        <x:v>ORD-1244</x:v>
      </x:c>
      <x:c r="B245" s="3" t="n">
        <x:v>46182</x:v>
      </x:c>
      <x:c r="C245" t="str">
        <x:v>Filter Beans 1kg</x:v>
      </x:c>
      <x:c r="D245" t="str">
        <x:v>Coffee</x:v>
      </x:c>
      <x:c r="E245" t="str">
        <x:v>Wholesale</x:v>
      </x:c>
      <x:c r="F245" t="str">
        <x:v>Bursa</x:v>
      </x:c>
      <x:c r="G245" s="4" t="n">
        <x:v>5</x:v>
      </x:c>
      <x:c r="H245" s="5" t="n">
        <x:v>20.8</x:v>
      </x:c>
      <x:c r="I245" s="6" t="n">
        <x:v>0</x:v>
      </x:c>
      <x:c r="J245" s="5" t="n">
        <x:v>104</x:v>
      </x:c>
      <x:c r="K245" s="5" t="n">
        <x:v>59</x:v>
      </x:c>
      <x:c r="L245" s="5" t="n">
        <x:v>45</x:v>
      </x:c>
      <x:c r="M245" t="str">
        <x:v>2026-06</x:v>
      </x:c>
    </x:row>
    <x:row r="246">
      <x:c r="A246" t="str">
        <x:v>ORD-1245</x:v>
      </x:c>
      <x:c r="B246" s="3" t="n">
        <x:v>46189</x:v>
      </x:c>
      <x:c r="C246" t="str">
        <x:v>Cold Brew Bottle</x:v>
      </x:c>
      <x:c r="D246" t="str">
        <x:v>Equipment</x:v>
      </x:c>
      <x:c r="E246" t="str">
        <x:v>Retail Store</x:v>
      </x:c>
      <x:c r="F246" t="str">
        <x:v>Ankara</x:v>
      </x:c>
      <x:c r="G246" s="4" t="n">
        <x:v>2</x:v>
      </x:c>
      <x:c r="H246" s="5" t="n">
        <x:v>24.96</x:v>
      </x:c>
      <x:c r="I246" s="6" t="n">
        <x:v>0</x:v>
      </x:c>
      <x:c r="J246" s="5" t="n">
        <x:v>49.92</x:v>
      </x:c>
      <x:c r="K246" s="5" t="n">
        <x:v>25</x:v>
      </x:c>
      <x:c r="L246" s="5" t="n">
        <x:v>24.92</x:v>
      </x:c>
      <x:c r="M246" t="str">
        <x:v>2026-06</x:v>
      </x:c>
    </x:row>
    <x:row r="247">
      <x:c r="A247" t="str">
        <x:v>ORD-1246</x:v>
      </x:c>
      <x:c r="B247" s="3" t="n">
        <x:v>46196</x:v>
      </x:c>
      <x:c r="C247" t="str">
        <x:v>Filter Beans 1kg</x:v>
      </x:c>
      <x:c r="D247" t="str">
        <x:v>Coffee</x:v>
      </x:c>
      <x:c r="E247" t="str">
        <x:v>Online</x:v>
      </x:c>
      <x:c r="F247" t="str">
        <x:v>Bursa</x:v>
      </x:c>
      <x:c r="G247" s="4" t="n">
        <x:v>7</x:v>
      </x:c>
      <x:c r="H247" s="5" t="n">
        <x:v>20.8</x:v>
      </x:c>
      <x:c r="I247" s="6" t="n">
        <x:v>0</x:v>
      </x:c>
      <x:c r="J247" s="5" t="n">
        <x:v>145.6</x:v>
      </x:c>
      <x:c r="K247" s="5" t="n">
        <x:v>82.6</x:v>
      </x:c>
      <x:c r="L247" s="5" t="n">
        <x:v>63</x:v>
      </x:c>
      <x:c r="M247" t="str">
        <x:v>2026-06</x:v>
      </x:c>
    </x:row>
    <x:row r="248">
      <x:c r="A248" t="str">
        <x:v>ORD-1247</x:v>
      </x:c>
      <x:c r="B248" s="3" t="n">
        <x:v>46175</x:v>
      </x:c>
      <x:c r="C248" t="str">
        <x:v>Cold Brew Bottle</x:v>
      </x:c>
      <x:c r="D248" t="str">
        <x:v>Equipment</x:v>
      </x:c>
      <x:c r="E248" t="str">
        <x:v>Wholesale</x:v>
      </x:c>
      <x:c r="F248" t="str">
        <x:v>Ankara</x:v>
      </x:c>
      <x:c r="G248" s="4" t="n">
        <x:v>4</x:v>
      </x:c>
      <x:c r="H248" s="5" t="n">
        <x:v>24.96</x:v>
      </x:c>
      <x:c r="I248" s="6" t="n">
        <x:v>0</x:v>
      </x:c>
      <x:c r="J248" s="5" t="n">
        <x:v>99.84</x:v>
      </x:c>
      <x:c r="K248" s="5" t="n">
        <x:v>50</x:v>
      </x:c>
      <x:c r="L248" s="5" t="n">
        <x:v>49.84</x:v>
      </x:c>
      <x:c r="M248" t="str">
        <x:v>2026-06</x:v>
      </x:c>
    </x:row>
    <x:row r="249">
      <x:c r="A249" t="str">
        <x:v>ORD-1248</x:v>
      </x:c>
      <x:c r="B249" s="3" t="n">
        <x:v>46182</x:v>
      </x:c>
      <x:c r="C249" t="str">
        <x:v>Filter Beans 1kg</x:v>
      </x:c>
      <x:c r="D249" t="str">
        <x:v>Coffee</x:v>
      </x:c>
      <x:c r="E249" t="str">
        <x:v>Retail Store</x:v>
      </x:c>
      <x:c r="F249" t="str">
        <x:v>Bursa</x:v>
      </x:c>
      <x:c r="G249" s="4" t="n">
        <x:v>1</x:v>
      </x:c>
      <x:c r="H249" s="5" t="n">
        <x:v>20.8</x:v>
      </x:c>
      <x:c r="I249" s="6" t="n">
        <x:v>0.1</x:v>
      </x:c>
      <x:c r="J249" s="5" t="n">
        <x:v>18.72</x:v>
      </x:c>
      <x:c r="K249" s="5" t="n">
        <x:v>11.8</x:v>
      </x:c>
      <x:c r="L249" s="5" t="n">
        <x:v>6.92</x:v>
      </x:c>
      <x:c r="M249" t="str">
        <x:v>2026-06</x:v>
      </x:c>
    </x:row>
    <x:row r="250">
      <x:c r="A250" t="str">
        <x:v>ORD-1249</x:v>
      </x:c>
      <x:c r="B250" s="3" t="n">
        <x:v>46189</x:v>
      </x:c>
      <x:c r="C250" t="str">
        <x:v>Cold Brew Bottle</x:v>
      </x:c>
      <x:c r="D250" t="str">
        <x:v>Equipment</x:v>
      </x:c>
      <x:c r="E250" t="str">
        <x:v>Online</x:v>
      </x:c>
      <x:c r="F250" t="str">
        <x:v>Ankara</x:v>
      </x:c>
      <x:c r="G250" s="4" t="n">
        <x:v>6</x:v>
      </x:c>
      <x:c r="H250" s="5" t="n">
        <x:v>24.96</x:v>
      </x:c>
      <x:c r="I250" s="6" t="n">
        <x:v>0</x:v>
      </x:c>
      <x:c r="J250" s="5" t="n">
        <x:v>149.76</x:v>
      </x:c>
      <x:c r="K250" s="5" t="n">
        <x:v>75</x:v>
      </x:c>
      <x:c r="L250" s="5" t="n">
        <x:v>74.76</x:v>
      </x:c>
      <x:c r="M250" t="str">
        <x:v>2026-06</x:v>
      </x:c>
    </x:row>
    <x:row r="251">
      <x:c r="A251" t="str">
        <x:v>ORD-1250</x:v>
      </x:c>
      <x:c r="B251" s="3" t="n">
        <x:v>46196</x:v>
      </x:c>
      <x:c r="C251" t="str">
        <x:v>Filter Beans 1kg</x:v>
      </x:c>
      <x:c r="D251" t="str">
        <x:v>Coffee</x:v>
      </x:c>
      <x:c r="E251" t="str">
        <x:v>Wholesale</x:v>
      </x:c>
      <x:c r="F251" t="str">
        <x:v>Bursa</x:v>
      </x:c>
      <x:c r="G251" s="4" t="n">
        <x:v>3</x:v>
      </x:c>
      <x:c r="H251" s="5" t="n">
        <x:v>20.8</x:v>
      </x:c>
      <x:c r="I251" s="6" t="n">
        <x:v>0</x:v>
      </x:c>
      <x:c r="J251" s="5" t="n">
        <x:v>62.4</x:v>
      </x:c>
      <x:c r="K251" s="5" t="n">
        <x:v>35.4</x:v>
      </x:c>
      <x:c r="L251" s="5" t="n">
        <x:v>27</x:v>
      </x:c>
      <x:c r="M251" t="str">
        <x:v>2026-06</x:v>
      </x:c>
    </x:row>
    <x:row r="252">
      <x:c r="A252" t="str">
        <x:v>ORD-1251</x:v>
      </x:c>
      <x:c r="B252" s="3" t="n">
        <x:v>46175</x:v>
      </x:c>
      <x:c r="C252" t="str">
        <x:v>Cold Brew Bottle</x:v>
      </x:c>
      <x:c r="D252" t="str">
        <x:v>Equipment</x:v>
      </x:c>
      <x:c r="E252" t="str">
        <x:v>Retail Store</x:v>
      </x:c>
      <x:c r="F252" t="str">
        <x:v>Ankara</x:v>
      </x:c>
      <x:c r="G252" s="4" t="n">
        <x:v>8</x:v>
      </x:c>
      <x:c r="H252" s="5" t="n">
        <x:v>24.96</x:v>
      </x:c>
      <x:c r="I252" s="6" t="n">
        <x:v>0</x:v>
      </x:c>
      <x:c r="J252" s="5" t="n">
        <x:v>199.68</x:v>
      </x:c>
      <x:c r="K252" s="5" t="n">
        <x:v>100</x:v>
      </x:c>
      <x:c r="L252" s="5" t="n">
        <x:v>99.68</x:v>
      </x:c>
      <x:c r="M252" t="str">
        <x:v>2026-06</x:v>
      </x:c>
    </x:row>
    <x:row r="253">
      <x:c r="A253" t="str">
        <x:v>ORD-1252</x:v>
      </x:c>
      <x:c r="B253" s="3" t="n">
        <x:v>46182</x:v>
      </x:c>
      <x:c r="C253" t="str">
        <x:v>Filter Beans 1kg</x:v>
      </x:c>
      <x:c r="D253" t="str">
        <x:v>Coffee</x:v>
      </x:c>
      <x:c r="E253" t="str">
        <x:v>Online</x:v>
      </x:c>
      <x:c r="F253" t="str">
        <x:v>Bursa</x:v>
      </x:c>
      <x:c r="G253" s="4" t="n">
        <x:v>5</x:v>
      </x:c>
      <x:c r="H253" s="5" t="n">
        <x:v>20.8</x:v>
      </x:c>
      <x:c r="I253" s="6" t="n">
        <x:v>0.15</x:v>
      </x:c>
      <x:c r="J253" s="5" t="n">
        <x:v>88.4</x:v>
      </x:c>
      <x:c r="K253" s="5" t="n">
        <x:v>59</x:v>
      </x:c>
      <x:c r="L253" s="5" t="n">
        <x:v>29.4</x:v>
      </x:c>
      <x:c r="M253" t="str">
        <x:v>2026-06</x:v>
      </x:c>
    </x:row>
    <x:row r="254">
      <x:c r="A254" t="str">
        <x:v>ORD-1253</x:v>
      </x:c>
      <x:c r="B254" s="3" t="n">
        <x:v>46189</x:v>
      </x:c>
      <x:c r="C254" t="str">
        <x:v>Cold Brew Bottle</x:v>
      </x:c>
      <x:c r="D254" t="str">
        <x:v>Equipment</x:v>
      </x:c>
      <x:c r="E254" t="str">
        <x:v>Wholesale</x:v>
      </x:c>
      <x:c r="F254" t="str">
        <x:v>Ankara</x:v>
      </x:c>
      <x:c r="G254" s="4" t="n">
        <x:v>2</x:v>
      </x:c>
      <x:c r="H254" s="5" t="n">
        <x:v>24.96</x:v>
      </x:c>
      <x:c r="I254" s="6" t="n">
        <x:v>0</x:v>
      </x:c>
      <x:c r="J254" s="5" t="n">
        <x:v>49.92</x:v>
      </x:c>
      <x:c r="K254" s="5" t="n">
        <x:v>25</x:v>
      </x:c>
      <x:c r="L254" s="5" t="n">
        <x:v>24.92</x:v>
      </x:c>
      <x:c r="M254" t="str">
        <x:v>2026-06</x:v>
      </x:c>
    </x:row>
    <x:row r="255">
      <x:c r="A255" t="str">
        <x:v>ORD-1254</x:v>
      </x:c>
      <x:c r="B255" s="3" t="n">
        <x:v>46196</x:v>
      </x:c>
      <x:c r="C255" t="str">
        <x:v>Filter Beans 1kg</x:v>
      </x:c>
      <x:c r="D255" t="str">
        <x:v>Coffee</x:v>
      </x:c>
      <x:c r="E255" t="str">
        <x:v>Retail Store</x:v>
      </x:c>
      <x:c r="F255" t="str">
        <x:v>Bursa</x:v>
      </x:c>
      <x:c r="G255" s="4" t="n">
        <x:v>7</x:v>
      </x:c>
      <x:c r="H255" s="5" t="n">
        <x:v>20.8</x:v>
      </x:c>
      <x:c r="I255" s="6" t="n">
        <x:v>0</x:v>
      </x:c>
      <x:c r="J255" s="5" t="n">
        <x:v>145.6</x:v>
      </x:c>
      <x:c r="K255" s="5" t="n">
        <x:v>82.6</x:v>
      </x:c>
      <x:c r="L255" s="5" t="n">
        <x:v>63</x:v>
      </x:c>
      <x:c r="M255" t="str">
        <x:v>2026-06</x:v>
      </x:c>
    </x:row>
    <x:row r="256">
      <x:c r="A256" t="str">
        <x:v>ORD-1255</x:v>
      </x:c>
      <x:c r="B256" s="3" t="n">
        <x:v>46175</x:v>
      </x:c>
      <x:c r="C256" t="str">
        <x:v>Cold Brew Bottle</x:v>
      </x:c>
      <x:c r="D256" t="str">
        <x:v>Equipment</x:v>
      </x:c>
      <x:c r="E256" t="str">
        <x:v>Online</x:v>
      </x:c>
      <x:c r="F256" t="str">
        <x:v>Ankara</x:v>
      </x:c>
      <x:c r="G256" s="4" t="n">
        <x:v>4</x:v>
      </x:c>
      <x:c r="H256" s="5" t="n">
        <x:v>24.96</x:v>
      </x:c>
      <x:c r="I256" s="6" t="n">
        <x:v>0.1</x:v>
      </x:c>
      <x:c r="J256" s="5" t="n">
        <x:v>89.86</x:v>
      </x:c>
      <x:c r="K256" s="5" t="n">
        <x:v>50</x:v>
      </x:c>
      <x:c r="L256" s="5" t="n">
        <x:v>39.86</x:v>
      </x:c>
      <x:c r="M256" t="str">
        <x:v>2026-06</x:v>
      </x:c>
    </x:row>
    <x:row r="257">
      <x:c r="A257" t="str">
        <x:v>ORD-1256</x:v>
      </x:c>
      <x:c r="B257" s="3" t="n">
        <x:v>46182</x:v>
      </x:c>
      <x:c r="C257" t="str">
        <x:v>Filter Beans 1kg</x:v>
      </x:c>
      <x:c r="D257" t="str">
        <x:v>Coffee</x:v>
      </x:c>
      <x:c r="E257" t="str">
        <x:v>Wholesale</x:v>
      </x:c>
      <x:c r="F257" t="str">
        <x:v>Bursa</x:v>
      </x:c>
      <x:c r="G257" s="4" t="n">
        <x:v>1</x:v>
      </x:c>
      <x:c r="H257" s="5" t="n">
        <x:v>20.8</x:v>
      </x:c>
      <x:c r="I257" s="6" t="n">
        <x:v>0</x:v>
      </x:c>
      <x:c r="J257" s="5" t="n">
        <x:v>20.8</x:v>
      </x:c>
      <x:c r="K257" s="5" t="n">
        <x:v>11.8</x:v>
      </x:c>
      <x:c r="L257" s="5" t="n">
        <x:v>9</x:v>
      </x:c>
      <x:c r="M257" t="str">
        <x:v>2026-06</x:v>
      </x:c>
    </x:row>
    <x:row r="258">
      <x:c r="A258" t="str">
        <x:v>ORD-1257</x:v>
      </x:c>
      <x:c r="B258" s="3" t="n">
        <x:v>46189</x:v>
      </x:c>
      <x:c r="C258" t="str">
        <x:v>Cold Brew Bottle</x:v>
      </x:c>
      <x:c r="D258" t="str">
        <x:v>Equipment</x:v>
      </x:c>
      <x:c r="E258" t="str">
        <x:v>Retail Store</x:v>
      </x:c>
      <x:c r="F258" t="str">
        <x:v>Ankara</x:v>
      </x:c>
      <x:c r="G258" s="4" t="n">
        <x:v>6</x:v>
      </x:c>
      <x:c r="H258" s="5" t="n">
        <x:v>24.96</x:v>
      </x:c>
      <x:c r="I258" s="6" t="n">
        <x:v>0</x:v>
      </x:c>
      <x:c r="J258" s="5" t="n">
        <x:v>149.76</x:v>
      </x:c>
      <x:c r="K258" s="5" t="n">
        <x:v>75</x:v>
      </x:c>
      <x:c r="L258" s="5" t="n">
        <x:v>74.76</x:v>
      </x:c>
      <x:c r="M258" t="str">
        <x:v>2026-06</x:v>
      </x:c>
    </x:row>
    <x:row r="259">
      <x:c r="A259" t="str">
        <x:v>ORD-1258</x:v>
      </x:c>
      <x:c r="B259" s="3" t="n">
        <x:v>46196</x:v>
      </x:c>
      <x:c r="C259" t="str">
        <x:v>Filter Beans 1kg</x:v>
      </x:c>
      <x:c r="D259" t="str">
        <x:v>Coffee</x:v>
      </x:c>
      <x:c r="E259" t="str">
        <x:v>Online</x:v>
      </x:c>
      <x:c r="F259" t="str">
        <x:v>Bursa</x:v>
      </x:c>
      <x:c r="G259" s="4" t="n">
        <x:v>3</x:v>
      </x:c>
      <x:c r="H259" s="5" t="n">
        <x:v>20.8</x:v>
      </x:c>
      <x:c r="I259" s="6" t="n">
        <x:v>0</x:v>
      </x:c>
      <x:c r="J259" s="5" t="n">
        <x:v>62.4</x:v>
      </x:c>
      <x:c r="K259" s="5" t="n">
        <x:v>35.4</x:v>
      </x:c>
      <x:c r="L259" s="5" t="n">
        <x:v>27</x:v>
      </x:c>
      <x:c r="M259" t="str">
        <x:v>2026-06</x:v>
      </x:c>
    </x:row>
    <x:row r="260">
      <x:c r="A260" t="str">
        <x:v>ORD-1259</x:v>
      </x:c>
      <x:c r="B260" s="3" t="n">
        <x:v>46175</x:v>
      </x:c>
      <x:c r="C260" t="str">
        <x:v>Cold Brew Bottle</x:v>
      </x:c>
      <x:c r="D260" t="str">
        <x:v>Equipment</x:v>
      </x:c>
      <x:c r="E260" t="str">
        <x:v>Wholesale</x:v>
      </x:c>
      <x:c r="F260" t="str">
        <x:v>Ankara</x:v>
      </x:c>
      <x:c r="G260" s="4" t="n">
        <x:v>8</x:v>
      </x:c>
      <x:c r="H260" s="5" t="n">
        <x:v>24.96</x:v>
      </x:c>
      <x:c r="I260" s="6" t="n">
        <x:v>0</x:v>
      </x:c>
      <x:c r="J260" s="5" t="n">
        <x:v>199.68</x:v>
      </x:c>
      <x:c r="K260" s="5" t="n">
        <x:v>100</x:v>
      </x:c>
      <x:c r="L260" s="5" t="n">
        <x:v>99.68</x:v>
      </x:c>
      <x:c r="M260" t="str">
        <x:v>2026-06</x:v>
      </x:c>
    </x:row>
    <x:row r="261">
      <x:c r="A261" t="str">
        <x:v>ORD-1260</x:v>
      </x:c>
      <x:c r="B261" s="3" t="n">
        <x:v>46182</x:v>
      </x:c>
      <x:c r="C261" t="str">
        <x:v>Filter Beans 1kg</x:v>
      </x:c>
      <x:c r="D261" t="str">
        <x:v>Coffee</x:v>
      </x:c>
      <x:c r="E261" t="str">
        <x:v>Retail Store</x:v>
      </x:c>
      <x:c r="F261" t="str">
        <x:v>Bursa</x:v>
      </x:c>
      <x:c r="G261" s="4" t="n">
        <x:v>5</x:v>
      </x:c>
      <x:c r="H261" s="5" t="n">
        <x:v>20.8</x:v>
      </x:c>
      <x:c r="I261" s="6" t="n">
        <x:v>0</x:v>
      </x:c>
      <x:c r="J261" s="5" t="n">
        <x:v>104</x:v>
      </x:c>
      <x:c r="K261" s="5" t="n">
        <x:v>59</x:v>
      </x:c>
      <x:c r="L261" s="5" t="n">
        <x:v>45</x:v>
      </x:c>
      <x:c r="M261" t="str">
        <x:v>2026-06</x:v>
      </x:c>
    </x:row>
    <x:row r="262">
      <x:c r="A262" t="str">
        <x:v>ORD-1261</x:v>
      </x:c>
      <x:c r="B262" s="3" t="n">
        <x:v>46189</x:v>
      </x:c>
      <x:c r="C262" t="str">
        <x:v>Cold Brew Bottle</x:v>
      </x:c>
      <x:c r="D262" t="str">
        <x:v>Equipment</x:v>
      </x:c>
      <x:c r="E262" t="str">
        <x:v>Online</x:v>
      </x:c>
      <x:c r="F262" t="str">
        <x:v>Ankara</x:v>
      </x:c>
      <x:c r="G262" s="4" t="n">
        <x:v>2</x:v>
      </x:c>
      <x:c r="H262" s="5" t="n">
        <x:v>24.96</x:v>
      </x:c>
      <x:c r="I262" s="6" t="n">
        <x:v>0</x:v>
      </x:c>
      <x:c r="J262" s="5" t="n">
        <x:v>49.92</x:v>
      </x:c>
      <x:c r="K262" s="5" t="n">
        <x:v>25</x:v>
      </x:c>
      <x:c r="L262" s="5" t="n">
        <x:v>24.92</x:v>
      </x:c>
      <x:c r="M262" t="str">
        <x:v>2026-06</x:v>
      </x:c>
    </x:row>
    <x:row r="263">
      <x:c r="A263" t="str">
        <x:v>ORD-1262</x:v>
      </x:c>
      <x:c r="B263" s="3" t="n">
        <x:v>46196</x:v>
      </x:c>
      <x:c r="C263" t="str">
        <x:v>Filter Beans 1kg</x:v>
      </x:c>
      <x:c r="D263" t="str">
        <x:v>Coffee</x:v>
      </x:c>
      <x:c r="E263" t="str">
        <x:v>Wholesale</x:v>
      </x:c>
      <x:c r="F263" t="str">
        <x:v>Bursa</x:v>
      </x:c>
      <x:c r="G263" s="4" t="n">
        <x:v>7</x:v>
      </x:c>
      <x:c r="H263" s="5" t="n">
        <x:v>20.8</x:v>
      </x:c>
      <x:c r="I263" s="6" t="n">
        <x:v>0.1</x:v>
      </x:c>
      <x:c r="J263" s="5" t="n">
        <x:v>131.04</x:v>
      </x:c>
      <x:c r="K263" s="5" t="n">
        <x:v>82.6</x:v>
      </x:c>
      <x:c r="L263" s="5" t="n">
        <x:v>48.44</x:v>
      </x:c>
      <x:c r="M263" t="str">
        <x:v>2026-06</x:v>
      </x:c>
    </x:row>
    <x:row r="264">
      <x:c r="A264" t="str">
        <x:v>ORD-1263</x:v>
      </x:c>
      <x:c r="B264" s="3" t="n">
        <x:v>46175</x:v>
      </x:c>
      <x:c r="C264" t="str">
        <x:v>Cold Brew Bottle</x:v>
      </x:c>
      <x:c r="D264" t="str">
        <x:v>Equipment</x:v>
      </x:c>
      <x:c r="E264" t="str">
        <x:v>Retail Store</x:v>
      </x:c>
      <x:c r="F264" t="str">
        <x:v>Ankara</x:v>
      </x:c>
      <x:c r="G264" s="4" t="n">
        <x:v>4</x:v>
      </x:c>
      <x:c r="H264" s="5" t="n">
        <x:v>24.96</x:v>
      </x:c>
      <x:c r="I264" s="6" t="n">
        <x:v>0.15</x:v>
      </x:c>
      <x:c r="J264" s="5" t="n">
        <x:v>84.86</x:v>
      </x:c>
      <x:c r="K264" s="5" t="n">
        <x:v>50</x:v>
      </x:c>
      <x:c r="L264" s="5" t="n">
        <x:v>34.86</x:v>
      </x:c>
      <x:c r="M264" t="str">
        <x:v>2026-06</x:v>
      </x:c>
    </x:row>
    <x:row r="265">
      <x:c r="A265" t="str">
        <x:v>ORD-1264</x:v>
      </x:c>
      <x:c r="B265" s="3" t="n">
        <x:v>46182</x:v>
      </x:c>
      <x:c r="C265" t="str">
        <x:v>Filter Beans 1kg</x:v>
      </x:c>
      <x:c r="D265" t="str">
        <x:v>Coffee</x:v>
      </x:c>
      <x:c r="E265" t="str">
        <x:v>Online</x:v>
      </x:c>
      <x:c r="F265" t="str">
        <x:v>Bursa</x:v>
      </x:c>
      <x:c r="G265" s="4" t="n">
        <x:v>1</x:v>
      </x:c>
      <x:c r="H265" s="5" t="n">
        <x:v>20.8</x:v>
      </x:c>
      <x:c r="I265" s="6" t="n">
        <x:v>0</x:v>
      </x:c>
      <x:c r="J265" s="5" t="n">
        <x:v>20.8</x:v>
      </x:c>
      <x:c r="K265" s="5" t="n">
        <x:v>11.8</x:v>
      </x:c>
      <x:c r="L265" s="5" t="n">
        <x:v>9</x:v>
      </x:c>
      <x:c r="M265" t="str">
        <x:v>2026-06</x:v>
      </x:c>
    </x:row>
    <x:row r="266">
      <x:c r="A266" t="str">
        <x:v>ORD-1265</x:v>
      </x:c>
      <x:c r="B266" s="3" t="n">
        <x:v>46189</x:v>
      </x:c>
      <x:c r="C266" t="str">
        <x:v>Cold Brew Bottle</x:v>
      </x:c>
      <x:c r="D266" t="str">
        <x:v>Equipment</x:v>
      </x:c>
      <x:c r="E266" t="str">
        <x:v>Wholesale</x:v>
      </x:c>
      <x:c r="F266" t="str">
        <x:v>Ankara</x:v>
      </x:c>
      <x:c r="G266" s="4" t="n">
        <x:v>6</x:v>
      </x:c>
      <x:c r="H266" s="5" t="n">
        <x:v>24.96</x:v>
      </x:c>
      <x:c r="I266" s="6" t="n">
        <x:v>0</x:v>
      </x:c>
      <x:c r="J266" s="5" t="n">
        <x:v>149.76</x:v>
      </x:c>
      <x:c r="K266" s="5" t="n">
        <x:v>75</x:v>
      </x:c>
      <x:c r="L266" s="5" t="n">
        <x:v>74.76</x:v>
      </x:c>
      <x:c r="M266" t="str">
        <x:v>2026-06</x:v>
      </x:c>
    </x:row>
    <x:row r="267">
      <x:c r="A267" t="str">
        <x:v>ORD-1266</x:v>
      </x:c>
      <x:c r="B267" s="3" t="n">
        <x:v>46196</x:v>
      </x:c>
      <x:c r="C267" t="str">
        <x:v>Filter Beans 1kg</x:v>
      </x:c>
      <x:c r="D267" t="str">
        <x:v>Coffee</x:v>
      </x:c>
      <x:c r="E267" t="str">
        <x:v>Retail Store</x:v>
      </x:c>
      <x:c r="F267" t="str">
        <x:v>Bursa</x:v>
      </x:c>
      <x:c r="G267" s="4" t="n">
        <x:v>3</x:v>
      </x:c>
      <x:c r="H267" s="5" t="n">
        <x:v>20.8</x:v>
      </x:c>
      <x:c r="I267" s="6" t="n">
        <x:v>0</x:v>
      </x:c>
      <x:c r="J267" s="5" t="n">
        <x:v>62.4</x:v>
      </x:c>
      <x:c r="K267" s="5" t="n">
        <x:v>35.4</x:v>
      </x:c>
      <x:c r="L267" s="5" t="n">
        <x:v>27</x:v>
      </x:c>
      <x:c r="M267" t="str">
        <x:v>2026-06</x:v>
      </x:c>
    </x:row>
    <x:row r="268">
      <x:c r="A268" t="str">
        <x:v>ORD-1267</x:v>
      </x:c>
      <x:c r="B268" s="3" t="n">
        <x:v>46175</x:v>
      </x:c>
      <x:c r="C268" t="str">
        <x:v>Cold Brew Bottle</x:v>
      </x:c>
      <x:c r="D268" t="str">
        <x:v>Equipment</x:v>
      </x:c>
      <x:c r="E268" t="str">
        <x:v>Online</x:v>
      </x:c>
      <x:c r="F268" t="str">
        <x:v>Ankara</x:v>
      </x:c>
      <x:c r="G268" s="4" t="n">
        <x:v>8</x:v>
      </x:c>
      <x:c r="H268" s="5" t="n">
        <x:v>24.96</x:v>
      </x:c>
      <x:c r="I268" s="6" t="n">
        <x:v>0</x:v>
      </x:c>
      <x:c r="J268" s="5" t="n">
        <x:v>199.68</x:v>
      </x:c>
      <x:c r="K268" s="5" t="n">
        <x:v>100</x:v>
      </x:c>
      <x:c r="L268" s="5" t="n">
        <x:v>99.68</x:v>
      </x:c>
      <x:c r="M268" t="str">
        <x:v>2026-06</x:v>
      </x:c>
    </x:row>
    <x:row r="269">
      <x:c r="A269" t="str">
        <x:v>ORD-1268</x:v>
      </x:c>
      <x:c r="B269" s="3" t="n">
        <x:v>46182</x:v>
      </x:c>
      <x:c r="C269" t="str">
        <x:v>Filter Beans 1kg</x:v>
      </x:c>
      <x:c r="D269" t="str">
        <x:v>Coffee</x:v>
      </x:c>
      <x:c r="E269" t="str">
        <x:v>Wholesale</x:v>
      </x:c>
      <x:c r="F269" t="str">
        <x:v>Bursa</x:v>
      </x:c>
      <x:c r="G269" s="4" t="n">
        <x:v>5</x:v>
      </x:c>
      <x:c r="H269" s="5" t="n">
        <x:v>20.8</x:v>
      </x:c>
      <x:c r="I269" s="6" t="n">
        <x:v>0</x:v>
      </x:c>
      <x:c r="J269" s="5" t="n">
        <x:v>104</x:v>
      </x:c>
      <x:c r="K269" s="5" t="n">
        <x:v>59</x:v>
      </x:c>
      <x:c r="L269" s="5" t="n">
        <x:v>45</x:v>
      </x:c>
      <x:c r="M269" t="str">
        <x:v>2026-06</x:v>
      </x:c>
    </x:row>
    <x:row r="270">
      <x:c r="A270" t="str">
        <x:v>ORD-1269</x:v>
      </x:c>
      <x:c r="B270" s="3" t="n">
        <x:v>46189</x:v>
      </x:c>
      <x:c r="C270" t="str">
        <x:v>Cold Brew Bottle</x:v>
      </x:c>
      <x:c r="D270" t="str">
        <x:v>Equipment</x:v>
      </x:c>
      <x:c r="E270" t="str">
        <x:v>Retail Store</x:v>
      </x:c>
      <x:c r="F270" t="str">
        <x:v>Ankara</x:v>
      </x:c>
      <x:c r="G270" s="4" t="n">
        <x:v>2</x:v>
      </x:c>
      <x:c r="H270" s="5" t="n">
        <x:v>24.96</x:v>
      </x:c>
      <x:c r="I270" s="6" t="n">
        <x:v>0.1</x:v>
      </x:c>
      <x:c r="J270" s="5" t="n">
        <x:v>44.93</x:v>
      </x:c>
      <x:c r="K270" s="5" t="n">
        <x:v>25</x:v>
      </x:c>
      <x:c r="L270" s="5" t="n">
        <x:v>19.93</x:v>
      </x:c>
      <x:c r="M270" t="str">
        <x:v>2026-06</x:v>
      </x:c>
    </x:row>
    <x:row r="271">
      <x:c r="A271" t="str">
        <x:v>ORD-1270</x:v>
      </x:c>
      <x:c r="B271" s="3" t="n">
        <x:v>46196</x:v>
      </x:c>
      <x:c r="C271" t="str">
        <x:v>Filter Beans 1kg</x:v>
      </x:c>
      <x:c r="D271" t="str">
        <x:v>Coffee</x:v>
      </x:c>
      <x:c r="E271" t="str">
        <x:v>Online</x:v>
      </x:c>
      <x:c r="F271" t="str">
        <x:v>Bursa</x:v>
      </x:c>
      <x:c r="G271" s="4" t="n">
        <x:v>7</x:v>
      </x:c>
      <x:c r="H271" s="5" t="n">
        <x:v>20.8</x:v>
      </x:c>
      <x:c r="I271" s="6" t="n">
        <x:v>0</x:v>
      </x:c>
      <x:c r="J271" s="5" t="n">
        <x:v>145.6</x:v>
      </x:c>
      <x:c r="K271" s="5" t="n">
        <x:v>82.6</x:v>
      </x:c>
      <x:c r="L271" s="5" t="n">
        <x:v>63</x:v>
      </x:c>
      <x:c r="M271" t="str">
        <x:v>2026-06</x:v>
      </x:c>
    </x:row>
    <x:row r="272">
      <x:c r="A272" t="str">
        <x:v>ORD-1271</x:v>
      </x:c>
      <x:c r="B272" s="3" t="n">
        <x:v>46175</x:v>
      </x:c>
      <x:c r="C272" t="str">
        <x:v>Cold Brew Bottle</x:v>
      </x:c>
      <x:c r="D272" t="str">
        <x:v>Equipment</x:v>
      </x:c>
      <x:c r="E272" t="str">
        <x:v>Wholesale</x:v>
      </x:c>
      <x:c r="F272" t="str">
        <x:v>Ankara</x:v>
      </x:c>
      <x:c r="G272" s="4" t="n">
        <x:v>4</x:v>
      </x:c>
      <x:c r="H272" s="5" t="n">
        <x:v>24.96</x:v>
      </x:c>
      <x:c r="I272" s="6" t="n">
        <x:v>0</x:v>
      </x:c>
      <x:c r="J272" s="5" t="n">
        <x:v>99.84</x:v>
      </x:c>
      <x:c r="K272" s="5" t="n">
        <x:v>50</x:v>
      </x:c>
      <x:c r="L272" s="5" t="n">
        <x:v>49.84</x:v>
      </x:c>
      <x:c r="M272" t="str">
        <x:v>2026-06</x:v>
      </x:c>
    </x:row>
    <x:row r="273">
      <x:c r="A273" t="str">
        <x:v>ORD-1272</x:v>
      </x:c>
      <x:c r="B273" s="3" t="n">
        <x:v>46182</x:v>
      </x:c>
      <x:c r="C273" t="str">
        <x:v>Filter Beans 1kg</x:v>
      </x:c>
      <x:c r="D273" t="str">
        <x:v>Coffee</x:v>
      </x:c>
      <x:c r="E273" t="str">
        <x:v>Retail Store</x:v>
      </x:c>
      <x:c r="F273" t="str">
        <x:v>Bursa</x:v>
      </x:c>
      <x:c r="G273" s="4" t="n">
        <x:v>1</x:v>
      </x:c>
      <x:c r="H273" s="5" t="n">
        <x:v>20.8</x:v>
      </x:c>
      <x:c r="I273" s="6" t="n">
        <x:v>0</x:v>
      </x:c>
      <x:c r="J273" s="5" t="n">
        <x:v>20.8</x:v>
      </x:c>
      <x:c r="K273" s="5" t="n">
        <x:v>11.8</x:v>
      </x:c>
      <x:c r="L273" s="5" t="n">
        <x:v>9</x:v>
      </x:c>
      <x:c r="M273" t="str">
        <x:v>2026-06</x:v>
      </x:c>
    </x:row>
    <x:row r="274">
      <x:c r="A274" t="str">
        <x:v>ORD-1273</x:v>
      </x:c>
      <x:c r="B274" s="3" t="n">
        <x:v>46189</x:v>
      </x:c>
      <x:c r="C274" t="str">
        <x:v>Cold Brew Bottle</x:v>
      </x:c>
      <x:c r="D274" t="str">
        <x:v>Equipment</x:v>
      </x:c>
      <x:c r="E274" t="str">
        <x:v>Online</x:v>
      </x:c>
      <x:c r="F274" t="str">
        <x:v>Ankara</x:v>
      </x:c>
      <x:c r="G274" s="4" t="n">
        <x:v>6</x:v>
      </x:c>
      <x:c r="H274" s="5" t="n">
        <x:v>24.96</x:v>
      </x:c>
      <x:c r="I274" s="6" t="n">
        <x:v>0</x:v>
      </x:c>
      <x:c r="J274" s="5" t="n">
        <x:v>149.76</x:v>
      </x:c>
      <x:c r="K274" s="5" t="n">
        <x:v>75</x:v>
      </x:c>
      <x:c r="L274" s="5" t="n">
        <x:v>74.76</x:v>
      </x:c>
      <x:c r="M274" t="str">
        <x:v>2026-06</x:v>
      </x:c>
    </x:row>
    <x:row r="275">
      <x:c r="A275" t="str">
        <x:v>ORD-1274</x:v>
      </x:c>
      <x:c r="B275" s="3" t="n">
        <x:v>46196</x:v>
      </x:c>
      <x:c r="C275" t="str">
        <x:v>Filter Beans 1kg</x:v>
      </x:c>
      <x:c r="D275" t="str">
        <x:v>Coffee</x:v>
      </x:c>
      <x:c r="E275" t="str">
        <x:v>Wholesale</x:v>
      </x:c>
      <x:c r="F275" t="str">
        <x:v>Bursa</x:v>
      </x:c>
      <x:c r="G275" s="4" t="n">
        <x:v>3</x:v>
      </x:c>
      <x:c r="H275" s="5" t="n">
        <x:v>20.8</x:v>
      </x:c>
      <x:c r="I275" s="6" t="n">
        <x:v>0.15</x:v>
      </x:c>
      <x:c r="J275" s="5" t="n">
        <x:v>53.04</x:v>
      </x:c>
      <x:c r="K275" s="5" t="n">
        <x:v>35.4</x:v>
      </x:c>
      <x:c r="L275" s="5" t="n">
        <x:v>17.64</x:v>
      </x:c>
      <x:c r="M275" t="str">
        <x:v>2026-06</x:v>
      </x:c>
    </x:row>
    <x:row r="276">
      <x:c r="A276" t="str">
        <x:v>ORD-1275</x:v>
      </x:c>
      <x:c r="B276" s="3" t="n">
        <x:v>46175</x:v>
      </x:c>
      <x:c r="C276" t="str">
        <x:v>Cold Brew Bottle</x:v>
      </x:c>
      <x:c r="D276" t="str">
        <x:v>Equipment</x:v>
      </x:c>
      <x:c r="E276" t="str">
        <x:v>Retail Store</x:v>
      </x:c>
      <x:c r="F276" t="str">
        <x:v>Ankara</x:v>
      </x:c>
      <x:c r="G276" s="4" t="n">
        <x:v>8</x:v>
      </x:c>
      <x:c r="H276" s="5" t="n">
        <x:v>24.96</x:v>
      </x:c>
      <x:c r="I276" s="6" t="n">
        <x:v>0</x:v>
      </x:c>
      <x:c r="J276" s="5" t="n">
        <x:v>199.68</x:v>
      </x:c>
      <x:c r="K276" s="5" t="n">
        <x:v>100</x:v>
      </x:c>
      <x:c r="L276" s="5" t="n">
        <x:v>99.68</x:v>
      </x:c>
      <x:c r="M276" t="str">
        <x:v>2026-06</x:v>
      </x:c>
    </x:row>
    <x:row r="277">
      <x:c r="A277" t="str">
        <x:v>ORD-1276</x:v>
      </x:c>
      <x:c r="B277" s="3" t="n">
        <x:v>46182</x:v>
      </x:c>
      <x:c r="C277" t="str">
        <x:v>Filter Beans 1kg</x:v>
      </x:c>
      <x:c r="D277" t="str">
        <x:v>Coffee</x:v>
      </x:c>
      <x:c r="E277" t="str">
        <x:v>Online</x:v>
      </x:c>
      <x:c r="F277" t="str">
        <x:v>Bursa</x:v>
      </x:c>
      <x:c r="G277" s="4" t="n">
        <x:v>5</x:v>
      </x:c>
      <x:c r="H277" s="5" t="n">
        <x:v>20.8</x:v>
      </x:c>
      <x:c r="I277" s="6" t="n">
        <x:v>0.1</x:v>
      </x:c>
      <x:c r="J277" s="5" t="n">
        <x:v>93.6</x:v>
      </x:c>
      <x:c r="K277" s="5" t="n">
        <x:v>59</x:v>
      </x:c>
      <x:c r="L277" s="5" t="n">
        <x:v>34.6</x:v>
      </x:c>
      <x:c r="M277" t="str">
        <x:v>2026-06</x:v>
      </x:c>
    </x:row>
    <x:row r="278">
      <x:c r="A278" t="str">
        <x:v>ORD-1277</x:v>
      </x:c>
      <x:c r="B278" s="3" t="n">
        <x:v>46189</x:v>
      </x:c>
      <x:c r="C278" t="str">
        <x:v>Cold Brew Bottle</x:v>
      </x:c>
      <x:c r="D278" t="str">
        <x:v>Equipment</x:v>
      </x:c>
      <x:c r="E278" t="str">
        <x:v>Wholesale</x:v>
      </x:c>
      <x:c r="F278" t="str">
        <x:v>Ankara</x:v>
      </x:c>
      <x:c r="G278" s="4" t="n">
        <x:v>2</x:v>
      </x:c>
      <x:c r="H278" s="5" t="n">
        <x:v>24.96</x:v>
      </x:c>
      <x:c r="I278" s="6" t="n">
        <x:v>0</x:v>
      </x:c>
      <x:c r="J278" s="5" t="n">
        <x:v>49.92</x:v>
      </x:c>
      <x:c r="K278" s="5" t="n">
        <x:v>25</x:v>
      </x:c>
      <x:c r="L278" s="5" t="n">
        <x:v>24.92</x:v>
      </x:c>
      <x:c r="M278" t="str">
        <x:v>2026-06</x:v>
      </x:c>
    </x:row>
    <x:row r="279">
      <x:c r="A279" t="str">
        <x:v>ORD-1278</x:v>
      </x:c>
      <x:c r="B279" s="3" t="n">
        <x:v>46196</x:v>
      </x:c>
      <x:c r="C279" t="str">
        <x:v>Filter Beans 1kg</x:v>
      </x:c>
      <x:c r="D279" t="str">
        <x:v>Coffee</x:v>
      </x:c>
      <x:c r="E279" t="str">
        <x:v>Retail Store</x:v>
      </x:c>
      <x:c r="F279" t="str">
        <x:v>Bursa</x:v>
      </x:c>
      <x:c r="G279" s="4" t="n">
        <x:v>7</x:v>
      </x:c>
      <x:c r="H279" s="5" t="n">
        <x:v>20.8</x:v>
      </x:c>
      <x:c r="I279" s="6" t="n">
        <x:v>0</x:v>
      </x:c>
      <x:c r="J279" s="5" t="n">
        <x:v>145.6</x:v>
      </x:c>
      <x:c r="K279" s="5" t="n">
        <x:v>82.6</x:v>
      </x:c>
      <x:c r="L279" s="5" t="n">
        <x:v>63</x:v>
      </x:c>
      <x:c r="M279" t="str">
        <x:v>2026-06</x:v>
      </x:c>
    </x:row>
    <x:row r="280">
      <x:c r="A280" t="str">
        <x:v>ORD-1279</x:v>
      </x:c>
      <x:c r="B280" s="3" t="n">
        <x:v>46175</x:v>
      </x:c>
      <x:c r="C280" t="str">
        <x:v>Cold Brew Bottle</x:v>
      </x:c>
      <x:c r="D280" t="str">
        <x:v>Equipment</x:v>
      </x:c>
      <x:c r="E280" t="str">
        <x:v>Online</x:v>
      </x:c>
      <x:c r="F280" t="str">
        <x:v>Ankara</x:v>
      </x:c>
      <x:c r="G280" s="4" t="n">
        <x:v>4</x:v>
      </x:c>
      <x:c r="H280" s="5" t="n">
        <x:v>24.96</x:v>
      </x:c>
      <x:c r="I280" s="6" t="n">
        <x:v>0</x:v>
      </x:c>
      <x:c r="J280" s="5" t="n">
        <x:v>99.84</x:v>
      </x:c>
      <x:c r="K280" s="5" t="n">
        <x:v>50</x:v>
      </x:c>
      <x:c r="L280" s="5" t="n">
        <x:v>49.84</x:v>
      </x:c>
      <x:c r="M280" t="str">
        <x:v>2026-06</x:v>
      </x:c>
    </x:row>
    <x:row r="281">
      <x:c r="A281" t="str">
        <x:v>ORD-1280</x:v>
      </x:c>
      <x:c r="B281" s="3" t="n">
        <x:v>46182</x:v>
      </x:c>
      <x:c r="C281" t="str">
        <x:v>Filter Beans 1kg</x:v>
      </x:c>
      <x:c r="D281" t="str">
        <x:v>Coffee</x:v>
      </x:c>
      <x:c r="E281" t="str">
        <x:v>Wholesale</x:v>
      </x:c>
      <x:c r="F281" t="str">
        <x:v>Bursa</x:v>
      </x:c>
      <x:c r="G281" s="4" t="n">
        <x:v>1</x:v>
      </x:c>
      <x:c r="H281" s="5" t="n">
        <x:v>20.8</x:v>
      </x:c>
      <x:c r="I281" s="6" t="n">
        <x:v>0</x:v>
      </x:c>
      <x:c r="J281" s="5" t="n">
        <x:v>20.8</x:v>
      </x:c>
      <x:c r="K281" s="5" t="n">
        <x:v>11.8</x:v>
      </x:c>
      <x:c r="L281" s="5" t="n">
        <x:v>9</x:v>
      </x:c>
      <x:c r="M281" t="str">
        <x:v>2026-06</x:v>
      </x:c>
    </x:row>
    <x:row r="282">
      <x:c r="A282" t="str">
        <x:v>ORD-1281</x:v>
      </x:c>
      <x:c r="B282" s="3" t="n">
        <x:v>46189</x:v>
      </x:c>
      <x:c r="C282" t="str">
        <x:v>Cold Brew Bottle</x:v>
      </x:c>
      <x:c r="D282" t="str">
        <x:v>Equipment</x:v>
      </x:c>
      <x:c r="E282" t="str">
        <x:v>Retail Store</x:v>
      </x:c>
      <x:c r="F282" t="str">
        <x:v>Ankara</x:v>
      </x:c>
      <x:c r="G282" s="4" t="n">
        <x:v>6</x:v>
      </x:c>
      <x:c r="H282" s="5" t="n">
        <x:v>24.96</x:v>
      </x:c>
      <x:c r="I282" s="6" t="n">
        <x:v>0</x:v>
      </x:c>
      <x:c r="J282" s="5" t="n">
        <x:v>149.76</x:v>
      </x:c>
      <x:c r="K282" s="5" t="n">
        <x:v>75</x:v>
      </x:c>
      <x:c r="L282" s="5" t="n">
        <x:v>74.76</x:v>
      </x:c>
      <x:c r="M282" t="str">
        <x:v>2026-06</x:v>
      </x:c>
    </x:row>
    <x:row r="283">
      <x:c r="A283" t="str">
        <x:v>ORD-1282</x:v>
      </x:c>
      <x:c r="B283" s="3" t="n">
        <x:v>46196</x:v>
      </x:c>
      <x:c r="C283" t="str">
        <x:v>Filter Beans 1kg</x:v>
      </x:c>
      <x:c r="D283" t="str">
        <x:v>Coffee</x:v>
      </x:c>
      <x:c r="E283" t="str">
        <x:v>Online</x:v>
      </x:c>
      <x:c r="F283" t="str">
        <x:v>Bursa</x:v>
      </x:c>
      <x:c r="G283" s="4" t="n">
        <x:v>3</x:v>
      </x:c>
      <x:c r="H283" s="5" t="n">
        <x:v>20.8</x:v>
      </x:c>
      <x:c r="I283" s="6" t="n">
        <x:v>0</x:v>
      </x:c>
      <x:c r="J283" s="5" t="n">
        <x:v>62.4</x:v>
      </x:c>
      <x:c r="K283" s="5" t="n">
        <x:v>35.4</x:v>
      </x:c>
      <x:c r="L283" s="5" t="n">
        <x:v>27</x:v>
      </x:c>
      <x:c r="M283" t="str">
        <x:v>2026-06</x:v>
      </x:c>
    </x:row>
    <x:row r="284">
      <x:c r="A284" t="str">
        <x:v>ORD-1283</x:v>
      </x:c>
      <x:c r="B284" s="3" t="n">
        <x:v>46175</x:v>
      </x:c>
      <x:c r="C284" t="str">
        <x:v>Cold Brew Bottle</x:v>
      </x:c>
      <x:c r="D284" t="str">
        <x:v>Equipment</x:v>
      </x:c>
      <x:c r="E284" t="str">
        <x:v>Wholesale</x:v>
      </x:c>
      <x:c r="F284" t="str">
        <x:v>Ankara</x:v>
      </x:c>
      <x:c r="G284" s="4" t="n">
        <x:v>8</x:v>
      </x:c>
      <x:c r="H284" s="5" t="n">
        <x:v>24.96</x:v>
      </x:c>
      <x:c r="I284" s="6" t="n">
        <x:v>0.1</x:v>
      </x:c>
      <x:c r="J284" s="5" t="n">
        <x:v>179.71</x:v>
      </x:c>
      <x:c r="K284" s="5" t="n">
        <x:v>100</x:v>
      </x:c>
      <x:c r="L284" s="5" t="n">
        <x:v>79.71</x:v>
      </x:c>
      <x:c r="M284" t="str">
        <x:v>2026-06</x:v>
      </x:c>
    </x:row>
    <x:row r="285">
      <x:c r="A285" t="str">
        <x:v>ORD-1284</x:v>
      </x:c>
      <x:c r="B285" s="3" t="n">
        <x:v>46182</x:v>
      </x:c>
      <x:c r="C285" t="str">
        <x:v>Filter Beans 1kg</x:v>
      </x:c>
      <x:c r="D285" t="str">
        <x:v>Coffee</x:v>
      </x:c>
      <x:c r="E285" t="str">
        <x:v>Retail Store</x:v>
      </x:c>
      <x:c r="F285" t="str">
        <x:v>Bursa</x:v>
      </x:c>
      <x:c r="G285" s="4" t="n">
        <x:v>5</x:v>
      </x:c>
      <x:c r="H285" s="5" t="n">
        <x:v>20.8</x:v>
      </x:c>
      <x:c r="I285" s="6" t="n">
        <x:v>0</x:v>
      </x:c>
      <x:c r="J285" s="5" t="n">
        <x:v>104</x:v>
      </x:c>
      <x:c r="K285" s="5" t="n">
        <x:v>59</x:v>
      </x:c>
      <x:c r="L285" s="5" t="n">
        <x:v>45</x:v>
      </x:c>
      <x:c r="M285" t="str">
        <x:v>2026-06</x:v>
      </x:c>
    </x:row>
    <x:row r="286">
      <x:c r="A286" t="str">
        <x:v>ORD-1285</x:v>
      </x:c>
      <x:c r="B286" s="3" t="n">
        <x:v>46189</x:v>
      </x:c>
      <x:c r="C286" t="str">
        <x:v>Cold Brew Bottle</x:v>
      </x:c>
      <x:c r="D286" t="str">
        <x:v>Equipment</x:v>
      </x:c>
      <x:c r="E286" t="str">
        <x:v>Online</x:v>
      </x:c>
      <x:c r="F286" t="str">
        <x:v>Ankara</x:v>
      </x:c>
      <x:c r="G286" s="4" t="n">
        <x:v>2</x:v>
      </x:c>
      <x:c r="H286" s="5" t="n">
        <x:v>24.96</x:v>
      </x:c>
      <x:c r="I286" s="6" t="n">
        <x:v>0.15</x:v>
      </x:c>
      <x:c r="J286" s="5" t="n">
        <x:v>42.43</x:v>
      </x:c>
      <x:c r="K286" s="5" t="n">
        <x:v>25</x:v>
      </x:c>
      <x:c r="L286" s="5" t="n">
        <x:v>17.43</x:v>
      </x:c>
      <x:c r="M286" t="str">
        <x:v>2026-06</x:v>
      </x:c>
    </x:row>
    <x:row r="287">
      <x:c r="A287" t="str">
        <x:v>ORD-1286</x:v>
      </x:c>
      <x:c r="B287" s="3" t="n">
        <x:v>46196</x:v>
      </x:c>
      <x:c r="C287" t="str">
        <x:v>Filter Beans 1kg</x:v>
      </x:c>
      <x:c r="D287" t="str">
        <x:v>Coffee</x:v>
      </x:c>
      <x:c r="E287" t="str">
        <x:v>Wholesale</x:v>
      </x:c>
      <x:c r="F287" t="str">
        <x:v>Bursa</x:v>
      </x:c>
      <x:c r="G287" s="4" t="n">
        <x:v>7</x:v>
      </x:c>
      <x:c r="H287" s="5" t="n">
        <x:v>20.8</x:v>
      </x:c>
      <x:c r="I287" s="6" t="n">
        <x:v>0</x:v>
      </x:c>
      <x:c r="J287" s="5" t="n">
        <x:v>145.6</x:v>
      </x:c>
      <x:c r="K287" s="5" t="n">
        <x:v>82.6</x:v>
      </x:c>
      <x:c r="L287" s="5" t="n">
        <x:v>63</x:v>
      </x:c>
      <x:c r="M287" t="str">
        <x:v>2026-06</x:v>
      </x:c>
    </x:row>
    <x:row r="288">
      <x:c r="A288" t="str">
        <x:v>ORD-1287</x:v>
      </x:c>
      <x:c r="B288" s="3" t="n">
        <x:v>46175</x:v>
      </x:c>
      <x:c r="C288" t="str">
        <x:v>Cold Brew Bottle</x:v>
      </x:c>
      <x:c r="D288" t="str">
        <x:v>Equipment</x:v>
      </x:c>
      <x:c r="E288" t="str">
        <x:v>Retail Store</x:v>
      </x:c>
      <x:c r="F288" t="str">
        <x:v>Ankara</x:v>
      </x:c>
      <x:c r="G288" s="4" t="n">
        <x:v>4</x:v>
      </x:c>
      <x:c r="H288" s="5" t="n">
        <x:v>24.96</x:v>
      </x:c>
      <x:c r="I288" s="6" t="n">
        <x:v>0</x:v>
      </x:c>
      <x:c r="J288" s="5" t="n">
        <x:v>99.84</x:v>
      </x:c>
      <x:c r="K288" s="5" t="n">
        <x:v>50</x:v>
      </x:c>
      <x:c r="L288" s="5" t="n">
        <x:v>49.84</x:v>
      </x:c>
      <x:c r="M288" t="str">
        <x:v>2026-06</x:v>
      </x:c>
    </x:row>
    <x:row r="289">
      <x:c r="A289" t="str">
        <x:v>ORD-1288</x:v>
      </x:c>
      <x:c r="B289" s="3" t="n">
        <x:v>46182</x:v>
      </x:c>
      <x:c r="C289" t="str">
        <x:v>Filter Beans 1kg</x:v>
      </x:c>
      <x:c r="D289" t="str">
        <x:v>Coffee</x:v>
      </x:c>
      <x:c r="E289" t="str">
        <x:v>Online</x:v>
      </x:c>
      <x:c r="F289" t="str">
        <x:v>Bursa</x:v>
      </x:c>
      <x:c r="G289" s="4" t="n">
        <x:v>1</x:v>
      </x:c>
      <x:c r="H289" s="5" t="n">
        <x:v>20.8</x:v>
      </x:c>
      <x:c r="I289" s="6" t="n">
        <x:v>0</x:v>
      </x:c>
      <x:c r="J289" s="5" t="n">
        <x:v>20.8</x:v>
      </x:c>
      <x:c r="K289" s="5" t="n">
        <x:v>11.8</x:v>
      </x:c>
      <x:c r="L289" s="5" t="n">
        <x:v>9</x:v>
      </x:c>
      <x:c r="M289" t="str">
        <x:v>2026-06</x:v>
      </x:c>
    </x:row>
  </x:sheetData>
  <x:pageMargins left="0.7" right="0.7" top="0.75" bottom="0.75" header="0.3" footer="0.3"/>
  <x:tableParts count="1">
    <x:tablePart xmlns:r="http://schemas.openxmlformats.org/officeDocument/2006/relationships" r:id="R9986c2b355e34f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9" t="str">
        <x:v>Monthly Performance Summary</x:v>
      </x:c>
      <x:c r="B1" s="9" t="str">
        <x:v>Monthly Performance Summary</x:v>
      </x:c>
      <x:c r="C1" s="9" t="str">
        <x:v>Monthly Performance Summary</x:v>
      </x:c>
      <x:c r="D1" s="9" t="str">
        <x:v>Monthly Performance Summary</x:v>
      </x:c>
      <x:c r="E1" s="9" t="str">
        <x:v>Monthly Performance Summary</x:v>
      </x:c>
      <x:c r="F1" s="9" t="str">
        <x:v>Monthly Performance Summary</x:v>
      </x:c>
    </x:row>
    <x:row r="3" ht="24" customHeight="1">
      <x:c r="A3" s="12" t="str">
        <x:v>Month</x:v>
      </x:c>
      <x:c r="B3" s="13" t="str">
        <x:v>Revenue</x:v>
      </x:c>
      <x:c r="C3" s="13" t="str">
        <x:v>Cost</x:v>
      </x:c>
      <x:c r="D3" s="13" t="str">
        <x:v>Profit</x:v>
      </x:c>
      <x:c r="E3" s="13" t="str">
        <x:v>Margin</x:v>
      </x:c>
      <x:c r="F3" s="14" t="str">
        <x:v>Orders</x:v>
      </x:c>
    </x:row>
    <x:row r="4">
      <x:c r="A4" s="15" t="str">
        <x:v>2026-01</x:v>
      </x:c>
      <x:c r="B4" s="16" t="n">
        <x:f>SUMIFS('Consolidated Data'!$J$2:$J$289,'Consolidated Data'!$M$2:$M$289,A4)</x:f>
        <x:v>5393.9</x:v>
      </x:c>
      <x:c r="C4" s="16" t="n">
        <x:f>SUMIFS('Consolidated Data'!$K$2:$K$289,'Consolidated Data'!$M$2:$M$289,A4)</x:f>
        <x:v>3168</x:v>
      </x:c>
      <x:c r="D4" s="16" t="n">
        <x:f>B4-C4</x:f>
        <x:v>2225.8999999999996</x:v>
      </x:c>
      <x:c r="E4" s="17" t="n">
        <x:f>IFERROR(D4/B4,0)</x:f>
        <x:v>0.4126698678136413</x:v>
      </x:c>
      <x:c r="F4" s="18" t="n">
        <x:f>COUNTIF('Consolidated Data'!$M$2:$M$289,A4)</x:f>
        <x:v>48</x:v>
      </x:c>
    </x:row>
    <x:row r="5">
      <x:c r="A5" s="15" t="str">
        <x:v>2026-02</x:v>
      </x:c>
      <x:c r="B5" s="16" t="n">
        <x:f>SUMIFS('Consolidated Data'!$J$2:$J$289,'Consolidated Data'!$M$2:$M$289,A5)</x:f>
        <x:v>2158.01</x:v>
      </x:c>
      <x:c r="C5" s="16" t="n">
        <x:f>SUMIFS('Consolidated Data'!$K$2:$K$289,'Consolidated Data'!$M$2:$M$289,A5)</x:f>
        <x:v>777.6000000000001</x:v>
      </x:c>
      <x:c r="D5" s="16" t="n">
        <x:f>B5-C5</x:f>
        <x:v>1380.41</x:v>
      </x:c>
      <x:c r="E5" s="17" t="n">
        <x:f>IFERROR(D5/B5,0)</x:f>
        <x:v>0.6396680274882878</x:v>
      </x:c>
      <x:c r="F5" s="18" t="n">
        <x:f>COUNTIF('Consolidated Data'!$M$2:$M$289,A5)</x:f>
        <x:v>48</x:v>
      </x:c>
    </x:row>
    <x:row r="6">
      <x:c r="A6" s="15" t="str">
        <x:v>2026-03</x:v>
      </x:c>
      <x:c r="B6" s="16" t="n">
        <x:f>SUMIFS('Consolidated Data'!$J$2:$J$289,'Consolidated Data'!$M$2:$M$289,A6)</x:f>
        <x:v>4652.090000000001</x:v>
      </x:c>
      <x:c r="C6" s="16" t="n">
        <x:f>SUMIFS('Consolidated Data'!$K$2:$K$289,'Consolidated Data'!$M$2:$M$289,A6)</x:f>
        <x:v>2616</x:v>
      </x:c>
      <x:c r="D6" s="16" t="n">
        <x:f>B6-C6</x:f>
        <x:v>2036.090000000001</x:v>
      </x:c>
      <x:c r="E6" s="17" t="n">
        <x:f>IFERROR(D6/B6,0)</x:f>
        <x:v>0.4376721000668518</x:v>
      </x:c>
      <x:c r="F6" s="18" t="n">
        <x:f>COUNTIF('Consolidated Data'!$M$2:$M$289,A6)</x:f>
        <x:v>48</x:v>
      </x:c>
    </x:row>
    <x:row r="7">
      <x:c r="A7" s="15" t="str">
        <x:v>2026-04</x:v>
      </x:c>
      <x:c r="B7" s="16" t="n">
        <x:f>SUMIFS('Consolidated Data'!$J$2:$J$289,'Consolidated Data'!$M$2:$M$289,A7)</x:f>
        <x:v>5220.500000000001</x:v>
      </x:c>
      <x:c r="C7" s="16" t="n">
        <x:f>SUMIFS('Consolidated Data'!$K$2:$K$289,'Consolidated Data'!$M$2:$M$289,A7)</x:f>
        <x:v>2988</x:v>
      </x:c>
      <x:c r="D7" s="16" t="n">
        <x:f>B7-C7</x:f>
        <x:v>2232.500000000001</x:v>
      </x:c>
      <x:c r="E7" s="17" t="n">
        <x:f>IFERROR(D7/B7,0)</x:f>
        <x:v>0.42764103055262914</x:v>
      </x:c>
      <x:c r="F7" s="18" t="n">
        <x:f>COUNTIF('Consolidated Data'!$M$2:$M$289,A7)</x:f>
        <x:v>48</x:v>
      </x:c>
    </x:row>
    <x:row r="8">
      <x:c r="A8" s="15" t="str">
        <x:v>2026-05</x:v>
      </x:c>
      <x:c r="B8" s="16" t="n">
        <x:f>SUMIFS('Consolidated Data'!$J$2:$J$289,'Consolidated Data'!$M$2:$M$289,A8)</x:f>
        <x:v>2127.0400000000004</x:v>
      </x:c>
      <x:c r="C8" s="16" t="n">
        <x:f>SUMIFS('Consolidated Data'!$K$2:$K$289,'Consolidated Data'!$M$2:$M$289,A8)</x:f>
        <x:v>734.3999999999999</x:v>
      </x:c>
      <x:c r="D8" s="16" t="n">
        <x:f>B8-C8</x:f>
        <x:v>1392.6400000000006</x:v>
      </x:c>
      <x:c r="E8" s="17" t="n">
        <x:f>IFERROR(D8/B8,0)</x:f>
        <x:v>0.6547314578005117</x:v>
      </x:c>
      <x:c r="F8" s="18" t="n">
        <x:f>COUNTIF('Consolidated Data'!$M$2:$M$289,A8)</x:f>
        <x:v>48</x:v>
      </x:c>
    </x:row>
    <x:row r="9">
      <x:c r="A9" s="19" t="str">
        <x:v>2026-06</x:v>
      </x:c>
      <x:c r="B9" s="20" t="n">
        <x:f>SUMIFS('Consolidated Data'!$J$2:$J$289,'Consolidated Data'!$M$2:$M$289,A9)</x:f>
        <x:v>4860.130000000001</x:v>
      </x:c>
      <x:c r="C9" s="20" t="n">
        <x:f>SUMIFS('Consolidated Data'!$K$2:$K$289,'Consolidated Data'!$M$2:$M$289,A9)</x:f>
        <x:v>2632.8</x:v>
      </x:c>
      <x:c r="D9" s="20" t="n">
        <x:f>B9-C9</x:f>
        <x:v>2227.330000000001</x:v>
      </x:c>
      <x:c r="E9" s="21" t="n">
        <x:f>IFERROR(D9/B9,0)</x:f>
        <x:v>0.4582860952279055</x:v>
      </x:c>
      <x:c r="F9" s="22" t="n">
        <x:f>COUNTIF('Consolidated Data'!$M$2:$M$289,A9)</x:f>
        <x:v>48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9" t="str">
        <x:v>Product Performance Summary</x:v>
      </x:c>
      <x:c r="B1" s="9" t="str">
        <x:v>Product Performance Summary</x:v>
      </x:c>
      <x:c r="C1" s="9" t="str">
        <x:v>Product Performance Summary</x:v>
      </x:c>
      <x:c r="D1" s="9" t="str">
        <x:v>Product Performance Summary</x:v>
      </x:c>
      <x:c r="E1" s="9" t="str">
        <x:v>Product Performance Summary</x:v>
      </x:c>
      <x:c r="F1" s="9" t="str">
        <x:v>Product Performance Summary</x:v>
      </x:c>
    </x:row>
    <x:row r="3" ht="24" customHeight="1">
      <x:c r="A3" s="12" t="str">
        <x:v>Product</x:v>
      </x:c>
      <x:c r="B3" s="13" t="str">
        <x:v>Category</x:v>
      </x:c>
      <x:c r="C3" s="13" t="str">
        <x:v>Revenue</x:v>
      </x:c>
      <x:c r="D3" s="13" t="str">
        <x:v>Profit</x:v>
      </x:c>
      <x:c r="E3" s="13" t="str">
        <x:v>Units</x:v>
      </x:c>
      <x:c r="F3" s="14" t="str">
        <x:v>Margin</x:v>
      </x:c>
    </x:row>
    <x:row r="4">
      <x:c r="A4" s="15" t="str">
        <x:v>Espresso Beans 1kg</x:v>
      </x:c>
      <x:c r="B4" s="23" t="str">
        <x:v>Coffee</x:v>
      </x:c>
      <x:c r="C4" s="16" t="n">
        <x:f>SUMIFS('Consolidated Data'!$J$2:$J$289,'Consolidated Data'!$C$2:$C$289,A4)</x:f>
        <x:v>3809.2999999999993</x:v>
      </x:c>
      <x:c r="D4" s="16" t="n">
        <x:f>SUMIFS('Consolidated Data'!$L$2:$L$289,'Consolidated Data'!$C$2:$C$289,A4)</x:f>
        <x:v>1541.3</x:v>
      </x:c>
      <x:c r="E4" s="24" t="n">
        <x:f>SUMIFS('Consolidated Data'!$G$2:$G$289,'Consolidated Data'!$C$2:$C$289,A4)</x:f>
        <x:v>216</x:v>
      </x:c>
      <x:c r="F4" s="25" t="n">
        <x:f>IFERROR(D4/C4,0)</x:f>
        <x:v>0.4046150211324916</x:v>
      </x:c>
    </x:row>
    <x:row r="5">
      <x:c r="A5" s="15" t="str">
        <x:v>Filter Beans 1kg</x:v>
      </x:c>
      <x:c r="B5" s="23" t="str">
        <x:v>Coffee</x:v>
      </x:c>
      <x:c r="C5" s="16" t="n">
        <x:f>SUMIFS('Consolidated Data'!$J$2:$J$289,'Consolidated Data'!$C$2:$C$289,A5)</x:f>
        <x:v>4328.340000000001</x:v>
      </x:c>
      <x:c r="D5" s="16" t="n">
        <x:f>SUMIFS('Consolidated Data'!$L$2:$L$289,'Consolidated Data'!$C$2:$C$289,A5)</x:f>
        <x:v>1779.5400000000002</x:v>
      </x:c>
      <x:c r="E5" s="24" t="n">
        <x:f>SUMIFS('Consolidated Data'!$G$2:$G$289,'Consolidated Data'!$C$2:$C$289,A5)</x:f>
        <x:v>216</x:v>
      </x:c>
      <x:c r="F5" s="25" t="n">
        <x:f>IFERROR(D5/C5,0)</x:f>
        <x:v>0.4111368330584011</x:v>
      </x:c>
    </x:row>
    <x:row r="6">
      <x:c r="A6" s="15" t="str">
        <x:v>Ceramic Mug</x:v>
      </x:c>
      <x:c r="B6" s="23" t="str">
        <x:v>Accessories</x:v>
      </x:c>
      <x:c r="C6" s="16" t="n">
        <x:f>SUMIFS('Consolidated Data'!$J$2:$J$289,'Consolidated Data'!$C$2:$C$289,A6)</x:f>
        <x:v>2559.33</x:v>
      </x:c>
      <x:c r="D6" s="16" t="n">
        <x:f>SUMIFS('Consolidated Data'!$L$2:$L$289,'Consolidated Data'!$C$2:$C$289,A6)</x:f>
        <x:v>1608.93</x:v>
      </x:c>
      <x:c r="E6" s="24" t="n">
        <x:f>SUMIFS('Consolidated Data'!$G$2:$G$289,'Consolidated Data'!$C$2:$C$289,A6)</x:f>
        <x:v>216</x:v>
      </x:c>
      <x:c r="F6" s="25" t="n">
        <x:f>IFERROR(D6/C6,0)</x:f>
        <x:v>0.628652811478004</x:v>
      </x:c>
    </x:row>
    <x:row r="7">
      <x:c r="A7" s="15" t="str">
        <x:v>French Press</x:v>
      </x:c>
      <x:c r="B7" s="23" t="str">
        <x:v>Equipment</x:v>
      </x:c>
      <x:c r="C7" s="16" t="n">
        <x:f>SUMIFS('Consolidated Data'!$J$2:$J$289,'Consolidated Data'!$C$2:$C$289,A7)</x:f>
        <x:v>6805.100000000006</x:v>
      </x:c>
      <x:c r="D7" s="16" t="n">
        <x:f>SUMIFS('Consolidated Data'!$L$2:$L$289,'Consolidated Data'!$C$2:$C$289,A7)</x:f>
        <x:v>2917.099999999999</x:v>
      </x:c>
      <x:c r="E7" s="24" t="n">
        <x:f>SUMIFS('Consolidated Data'!$G$2:$G$289,'Consolidated Data'!$C$2:$C$289,A7)</x:f>
        <x:v>216</x:v>
      </x:c>
      <x:c r="F7" s="25" t="n">
        <x:f>IFERROR(D7/C7,0)</x:f>
        <x:v>0.4286637962704437</x:v>
      </x:c>
    </x:row>
    <x:row r="8">
      <x:c r="A8" s="15" t="str">
        <x:v>Cold Brew Bottle</x:v>
      </x:c>
      <x:c r="B8" s="23" t="str">
        <x:v>Equipment</x:v>
      </x:c>
      <x:c r="C8" s="16" t="n">
        <x:f>SUMIFS('Consolidated Data'!$J$2:$J$289,'Consolidated Data'!$C$2:$C$289,A8)</x:f>
        <x:v>5183.880000000003</x:v>
      </x:c>
      <x:c r="D8" s="16" t="n">
        <x:f>SUMIFS('Consolidated Data'!$L$2:$L$289,'Consolidated Data'!$C$2:$C$289,A8)</x:f>
        <x:v>2483.8800000000006</x:v>
      </x:c>
      <x:c r="E8" s="24" t="n">
        <x:f>SUMIFS('Consolidated Data'!$G$2:$G$289,'Consolidated Data'!$C$2:$C$289,A8)</x:f>
        <x:v>216</x:v>
      </x:c>
      <x:c r="F8" s="25" t="n">
        <x:f>IFERROR(D8/C8,0)</x:f>
        <x:v>0.47915461006041793</x:v>
      </x:c>
    </x:row>
    <x:row r="9">
      <x:c r="A9" s="19" t="str">
        <x:v>Paper Filters 100pk</x:v>
      </x:c>
      <x:c r="B9" s="26" t="str">
        <x:v>Accessories</x:v>
      </x:c>
      <x:c r="C9" s="20" t="n">
        <x:f>SUMIFS('Consolidated Data'!$J$2:$J$289,'Consolidated Data'!$C$2:$C$289,A9)</x:f>
        <x:v>1725.7199999999991</x:v>
      </x:c>
      <x:c r="D9" s="20" t="n">
        <x:f>SUMIFS('Consolidated Data'!$L$2:$L$289,'Consolidated Data'!$C$2:$C$289,A9)</x:f>
        <x:v>1164.1200000000003</x:v>
      </x:c>
      <x:c r="E9" s="27" t="n">
        <x:f>SUMIFS('Consolidated Data'!$G$2:$G$289,'Consolidated Data'!$C$2:$C$289,A9)</x:f>
        <x:v>216</x:v>
      </x:c>
      <x:c r="F9" s="28" t="n">
        <x:f>IFERROR(D9/C9,0)</x:f>
        <x:v>0.67457061400459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4" hidden="0" customWidth="1"/>
  </x:cols>
  <x:sheetData>
    <x:row r="1" ht="34" customHeight="1">
      <x:c r="A1" s="9" t="str">
        <x:v>Refresh &amp; Handover Guide</x:v>
      </x:c>
      <x:c r="B1" s="9" t="str">
        <x:v>Refresh &amp; Handover Guide</x:v>
      </x:c>
      <x:c r="C1" s="9" t="str">
        <x:v>Refresh &amp; Handover Guide</x:v>
      </x:c>
      <x:c r="D1" s="9" t="str">
        <x:v>Refresh &amp; Handover Guide</x:v>
      </x:c>
      <x:c r="E1" s="9" t="str">
        <x:v>Refresh &amp; Handover Guide</x:v>
      </x:c>
      <x:c r="F1" s="9" t="str">
        <x:v>Refresh &amp; Handover Guide</x:v>
      </x:c>
      <x:c r="G1" s="9" t="str">
        <x:v>Refresh &amp; Handover Guide</x:v>
      </x:c>
      <x:c r="H1" s="9" t="str">
        <x:v>Refresh &amp; Handover Guide</x:v>
      </x:c>
    </x:row>
    <x:row r="3" ht="24" customHeight="1">
      <x:c r="A3" s="12" t="str">
        <x:v>Item</x:v>
      </x:c>
      <x:c r="B3" s="14" t="str">
        <x:v>Instruction</x:v>
      </x:c>
    </x:row>
    <x:row r="4" ht="38" customHeight="1">
      <x:c r="A4" s="93" t="str">
        <x:v>Purpose</x:v>
      </x:c>
      <x:c r="B4" s="97" t="str">
        <x:v>Consolidate monthly CSV sales exports into one repeatable report.</x:v>
      </x:c>
    </x:row>
    <x:row r="5" ht="38" customHeight="1">
      <x:c r="A5" s="93" t="str">
        <x:v>Source folder</x:v>
      </x:c>
      <x:c r="B5" s="97" t="str">
        <x:v>sample-data/monthly-sales-files/</x:v>
      </x:c>
    </x:row>
    <x:row r="6" ht="38" customHeight="1">
      <x:c r="A6" s="93" t="str">
        <x:v>One-time setup</x:v>
      </x:c>
      <x:c r="B6" s="97" t="str">
        <x:v>In Excel: Data &gt; Get Data &gt; From File &gt; From Folder. Select the source folder, choose Combine &amp; Transform, then apply the supplied Power Query script.</x:v>
      </x:c>
    </x:row>
    <x:row r="7" ht="38" customHeight="1">
      <x:c r="A7" s="93" t="str">
        <x:v>Monthly refresh</x:v>
      </x:c>
      <x:c r="B7" s="97" t="str">
        <x:v>Drop the next CSV into the same folder. Keep the required columns. Open the workbook and choose Data &gt; Refresh All.</x:v>
      </x:c>
    </x:row>
    <x:row r="8" ht="38" customHeight="1">
      <x:c r="A8" s="93" t="str">
        <x:v>Required columns</x:v>
      </x:c>
      <x:c r="B8" s="97" t="str">
        <x:v>Order ID, Order Date, Product, Category, Channel, Region, Quantity, Unit Price, Discount, Revenue, Cost, Profit.</x:v>
      </x:c>
    </x:row>
    <x:row r="9" ht="38" customHeight="1">
      <x:c r="A9" s="93" t="str">
        <x:v>Quality checks</x:v>
      </x:c>
      <x:c r="B9" s="97" t="str">
        <x:v>Confirm row count increased, newest month appears, revenue equals source totals, and no query errors are present.</x:v>
      </x:c>
    </x:row>
    <x:row r="10" ht="38" customHeight="1">
      <x:c r="A10" s="95" t="str">
        <x:v>Portfolio note</x:v>
      </x:c>
      <x:c r="B10" s="98" t="str">
        <x:v>The included workbook contains the validated Jan–Jun consolidated result. Power Query M code is supplied beside it for reproducible folder ingestion.</x:v>
      </x:c>
    </x:row>
  </x:sheetData>
  <x:mergeCells>
    <x:mergeCell ref="A1:H1"/>
  </x:mergeCells>
  <x:pageMargins left="0.7" right="0.7" top="0.75" bottom="0.75" header="0.3" footer="0.3"/>
</x:worksheet>
</file>