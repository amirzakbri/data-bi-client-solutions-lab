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d991da52f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ssion Dashboard" sheetId="1" r:id="R5cdc3c43fd324dd2"/>
    <x:sheet xmlns:r="http://schemas.openxmlformats.org/officeDocument/2006/relationships" name="Rep Statements" sheetId="2" r:id="R74b4f09f4ff541f5"/>
    <x:sheet xmlns:r="http://schemas.openxmlformats.org/officeDocument/2006/relationships" name="Commission Calc" sheetId="3" r:id="R61193b3eba59420e"/>
    <x:sheet xmlns:r="http://schemas.openxmlformats.org/officeDocument/2006/relationships" name="Sales Inputs" sheetId="4" r:id="Re212494e4269491b"/>
    <x:sheet xmlns:r="http://schemas.openxmlformats.org/officeDocument/2006/relationships" name="Rep Master" sheetId="5" r:id="Racf3116a2512452b"/>
    <x:sheet xmlns:r="http://schemas.openxmlformats.org/officeDocument/2006/relationships" name="Commission Rules" sheetId="6" r:id="R7fc63f7993ef41cc"/>
    <x:sheet xmlns:r="http://schemas.openxmlformats.org/officeDocument/2006/relationships" name="Checks" sheetId="7" r:id="R1c7111145531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$#,##0"/>
    <x:numFmt numFmtId="202" formatCode="yyyy-mm-dd"/>
    <x:numFmt numFmtId="203" formatCode="$#,##0.00"/>
    <x:numFmt numFmtId="204" formatCode="0%"/>
    <x:numFmt numFmtId="205" formatCode="0.00%"/>
    <x:numFmt numFmtId="206" formatCode="#,##0.0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CE8EF"/>
      <x:name val="Carlito"/>
    </x:font>
    <x:font>
      <x:b/>
      <x:sz val="9"/>
      <x:color rgb="FFFFFFFF"/>
      <x:name val="Carlito"/>
    </x:font>
    <x:font>
      <x:b/>
      <x:sz val="9"/>
      <x:color rgb="FF236A8D"/>
      <x:name val="Carlito"/>
    </x:font>
    <x:font>
      <x:b/>
      <x:sz val="18"/>
      <x:color rgb="FF263442"/>
      <x:name val="Carlito"/>
    </x:font>
    <x:font>
      <x:b/>
      <x:sz val="11"/>
      <x:color rgb="FFFFFFFF"/>
      <x:name val="Carlito"/>
    </x:font>
    <x:font>
      <x:b/>
      <x:sz val="11"/>
      <x:color rgb="FF26344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6A8D"/>
      </x:patternFill>
    </x:fill>
    <x:fill>
      <x:patternFill patternType="solid">
        <x:fgColor rgb="FFFFF5D6"/>
      </x:patternFill>
    </x:fill>
    <x:fill>
      <x:patternFill patternType="solid">
        <x:fgColor rgb="FFF7FAFB"/>
      </x:patternFill>
    </x:fill>
    <x:fill>
      <x:patternFill patternType="solid">
        <x:fgColor rgb="FFEDF4F7"/>
      </x:patternFill>
    </x:fill>
    <x:fill>
      <x:patternFill patternType="solid">
        <x:fgColor rgb="FFEEF4F7"/>
      </x:patternFill>
    </x:fill>
    <x:fill>
      <x:patternFill patternType="solid">
        <x:fgColor rgb="FFDCEAF0"/>
      </x:patternFill>
    </x:fill>
    <x:fill>
      <x:patternFill patternType="solid">
        <x:fgColor rgb="FF16817A"/>
      </x:patternFill>
    </x:fill>
  </x:fills>
  <x:borders count="1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FFFFFF"/>
      </x:righ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FFFFFF"/>
      </x:righ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FFFFFF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D9E2E8"/>
      </x:left>
    </x:border>
    <x:border>
      <x:right style="thin">
        <x:color rgb="FFD9E2E8"/>
      </x:right>
    </x:border>
    <x:border>
      <x:left style="thin">
        <x:color rgb="FFD9E2E8"/>
      </x:left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200" fontId="0" fillId="4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4" borderId="0" xfId="0" applyNumberFormat="1" applyFont="1" applyFill="1" applyBorder="1"/>
    <x:xf numFmtId="0" fontId="0" fillId="4" borderId="7" xfId="0" applyNumberFormat="1" applyFont="1" applyFill="1" applyBorder="1"/>
    <x:xf numFmtId="201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201" fontId="0" fillId="4" borderId="12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0" fillId="4" borderId="0" xfId="0" applyNumberFormat="1" applyFont="1" applyFill="1" applyBorder="1"/>
    <x:xf numFmtId="202" fontId="0" fillId="4" borderId="8" xfId="0" applyNumberFormat="1" applyFont="1" applyFill="1" applyBorder="1"/>
    <x:xf numFmtId="203" fontId="0" fillId="4" borderId="8" xfId="0" applyNumberFormat="1" applyFont="1" applyFill="1" applyBorder="1"/>
    <x:xf numFmtId="204" fontId="0" fillId="4" borderId="8" xfId="0" applyNumberFormat="1" applyFont="1" applyFill="1" applyBorder="1"/>
    <x:xf numFmtId="0" fontId="0" fillId="4" borderId="9" xfId="0" applyNumberFormat="1" applyFont="1" applyFill="1" applyBorder="1"/>
    <x:xf numFmtId="202" fontId="0" fillId="4" borderId="11" xfId="0" applyNumberFormat="1" applyFont="1" applyFill="1" applyBorder="1"/>
    <x:xf numFmtId="203" fontId="0" fillId="4" borderId="11" xfId="0" applyNumberFormat="1" applyFont="1" applyFill="1" applyBorder="1"/>
    <x:xf numFmtId="204" fontId="0" fillId="4" borderId="11" xfId="0" applyNumberFormat="1" applyFont="1" applyFill="1" applyBorder="1"/>
    <x:xf numFmtId="0" fontId="0" fillId="4" borderId="12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203" fontId="0" fillId="6" borderId="0" xfId="0" applyNumberFormat="1" applyFont="1" applyFill="1" applyBorder="1"/>
    <x:xf numFmtId="200" fontId="0" fillId="6" borderId="0" xfId="0" applyNumberFormat="1" applyFont="1" applyFill="1" applyBorder="1"/>
    <x:xf numFmtId="205" fontId="0" fillId="6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203" fontId="0" fillId="5" borderId="8" xfId="0" applyNumberFormat="1" applyFont="1" applyFill="1" applyBorder="1"/>
    <x:xf numFmtId="203" fontId="0" fillId="6" borderId="8" xfId="0" applyNumberFormat="1" applyFont="1" applyFill="1" applyBorder="1"/>
    <x:xf numFmtId="200" fontId="0" fillId="6" borderId="8" xfId="0" applyNumberFormat="1" applyFont="1" applyFill="1" applyBorder="1"/>
    <x:xf numFmtId="205" fontId="0" fillId="6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203" fontId="0" fillId="5" borderId="11" xfId="0" applyNumberFormat="1" applyFont="1" applyFill="1" applyBorder="1"/>
    <x:xf numFmtId="203" fontId="0" fillId="6" borderId="11" xfId="0" applyNumberFormat="1" applyFont="1" applyFill="1" applyBorder="1"/>
    <x:xf numFmtId="200" fontId="0" fillId="6" borderId="11" xfId="0" applyNumberFormat="1" applyFont="1" applyFill="1" applyBorder="1"/>
    <x:xf numFmtId="205" fontId="0" fillId="6" borderId="12" xfId="0" applyNumberFormat="1" applyFont="1" applyFill="1" applyBorder="1"/>
    <x:xf numFmtId="203" fontId="0" fillId="0" borderId="8" xfId="0" applyNumberFormat="1" applyFont="1" applyFill="1" applyBorder="1"/>
    <x:xf numFmtId="200" fontId="0" fillId="0" borderId="8" xfId="0" applyNumberFormat="1" applyFont="1" applyFill="1" applyBorder="1"/>
    <x:xf numFmtId="205" fontId="0" fillId="0" borderId="8" xfId="0" applyNumberFormat="1" applyFont="1" applyFill="1" applyBorder="1"/>
    <x:xf numFmtId="203" fontId="0" fillId="0" borderId="11" xfId="0" applyNumberFormat="1" applyFont="1" applyFill="1" applyBorder="1"/>
    <x:xf numFmtId="200" fontId="0" fillId="0" borderId="11" xfId="0" applyNumberFormat="1" applyFont="1" applyFill="1" applyBorder="1"/>
    <x:xf numFmtId="205" fontId="0" fillId="0" borderId="11" xfId="0" applyNumberFormat="1" applyFont="1" applyFill="1" applyBorder="1"/>
    <x:xf numFmtId="0" fontId="0" fillId="7" borderId="0" xfId="0" applyNumberFormat="1" applyFont="1" applyFill="1" applyBorder="1"/>
    <x:xf numFmtId="0" fontId="0" fillId="7" borderId="13" xfId="0" applyNumberFormat="1" applyFont="1" applyFill="1" applyBorder="1"/>
    <x:xf numFmtId="0" fontId="0" fillId="7" borderId="1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4" xfId="0" applyNumberFormat="1" applyFont="1" applyFill="1" applyBorder="1"/>
    <x:xf numFmtId="0" fontId="4" fillId="7" borderId="13" xfId="0" applyNumberFormat="1" applyFont="1" applyFill="1" applyBorder="1"/>
    <x:xf numFmtId="0" fontId="4" fillId="7" borderId="10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4" xfId="0" applyNumberFormat="1" applyFont="1" applyFill="1" applyBorder="1"/>
    <x:xf numFmtId="201" fontId="5" fillId="7" borderId="14" xfId="0" applyNumberFormat="1" applyFont="1" applyFill="1" applyBorder="1"/>
    <x:xf numFmtId="201" fontId="5" fillId="7" borderId="15" xfId="0" applyNumberFormat="1" applyFont="1" applyFill="1" applyBorder="1"/>
    <x:xf numFmtId="201" fontId="5" fillId="7" borderId="16" xfId="0" applyNumberFormat="1" applyFont="1" applyFill="1" applyBorder="1"/>
    <x:xf numFmtId="201" fontId="5" fillId="7" borderId="4" xfId="0" applyNumberFormat="1" applyFont="1" applyFill="1" applyBorder="1"/>
    <x:xf numFmtId="200" fontId="5" fillId="7" borderId="14" xfId="0" applyNumberFormat="1" applyFont="1" applyFill="1" applyBorder="1"/>
    <x:xf numFmtId="200" fontId="5" fillId="7" borderId="15" xfId="0" applyNumberFormat="1" applyFont="1" applyFill="1" applyBorder="1"/>
    <x:xf numFmtId="200" fontId="5" fillId="7" borderId="16" xfId="0" applyNumberFormat="1" applyFont="1" applyFill="1" applyBorder="1"/>
    <x:xf numFmtId="200" fontId="5" fillId="7" borderId="4" xfId="0" applyNumberFormat="1" applyFont="1" applyFill="1" applyBorder="1"/>
    <x:xf numFmtId="0" fontId="6" fillId="3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6" xfId="0" applyNumberFormat="1" applyFont="1" applyFill="1" applyBorder="1"/>
    <x:xf numFmtId="201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17" xfId="0" applyNumberFormat="1" applyFont="1" applyFill="1" applyBorder="1"/>
    <x:xf numFmtId="201" fontId="0" fillId="0" borderId="11" xfId="0" applyNumberFormat="1" applyFont="1" applyFill="1" applyBorder="1"/>
    <x:xf numFmtId="204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16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16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201" fontId="0" fillId="0" borderId="17" xfId="0" applyNumberFormat="1" applyFont="1" applyFill="1" applyBorder="1"/>
    <x:xf numFmtId="201" fontId="0" fillId="0" borderId="13" xfId="0" applyNumberFormat="1" applyFont="1" applyFill="1" applyBorder="1"/>
    <x:xf numFmtId="206" fontId="0" fillId="0" borderId="0" xfId="0" applyNumberFormat="1" applyFont="1" applyFill="1" applyBorder="1"/>
    <x:xf numFmtId="206" fontId="0" fillId="0" borderId="8" xfId="0" applyNumberFormat="1" applyFont="1" applyFill="1" applyBorder="1"/>
    <x:xf numFmtId="206" fontId="0" fillId="0" borderId="11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0" xfId="0" applyNumberFormat="1" applyFont="1" applyFill="1" applyBorder="1"/>
    <x:xf numFmtId="0" fontId="7" fillId="7" borderId="16" xfId="0" applyNumberFormat="1" applyFont="1" applyFill="1" applyBorder="1"/>
    <x:xf numFmtId="0" fontId="7" fillId="7" borderId="4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0" fontId="4" fillId="7" borderId="10" xfId="0" applyNumberFormat="1" applyFont="1" applyFill="1" applyBorder="1" applyAlignment="1">
      <x:alignment vertical="center"/>
    </x:xf>
    <x:xf numFmtId="201" fontId="5" fillId="7" borderId="14" xfId="0" applyNumberFormat="1" applyFont="1" applyFill="1" applyBorder="1" applyAlignment="1">
      <x:alignment vertical="center"/>
    </x:xf>
    <x:xf numFmtId="201" fontId="5" fillId="7" borderId="15" xfId="0" applyNumberFormat="1" applyFont="1" applyFill="1" applyBorder="1" applyAlignment="1">
      <x:alignment vertical="center"/>
    </x:xf>
    <x:xf numFmtId="200" fontId="5" fillId="7" borderId="14" xfId="0" applyNumberFormat="1" applyFont="1" applyFill="1" applyBorder="1" applyAlignment="1">
      <x:alignment vertical="center"/>
    </x:xf>
    <x:xf numFmtId="200" fontId="5" fillId="7" borderId="15" xfId="0" applyNumberFormat="1" applyFont="1" applyFill="1" applyBorder="1" applyAlignment="1">
      <x:alignment vertical="center"/>
    </x:xf>
    <x:xf numFmtId="0" fontId="5" fillId="7" borderId="14" xfId="0" applyNumberFormat="1" applyFont="1" applyFill="1" applyBorder="1" applyAlignment="1">
      <x:alignment vertical="center"/>
    </x:xf>
    <x:xf numFmtId="0" fontId="5" fillId="7" borderId="15" xfId="0" applyNumberFormat="1" applyFont="1" applyFill="1" applyBorder="1" applyAlignment="1">
      <x:alignment vertical="center"/>
    </x:xf>
    <x:xf numFmtId="201" fontId="5" fillId="7" borderId="16" xfId="0" applyNumberFormat="1" applyFont="1" applyFill="1" applyBorder="1" applyAlignment="1">
      <x:alignment vertical="center"/>
    </x:xf>
    <x:xf numFmtId="201" fontId="5" fillId="7" borderId="4" xfId="0" applyNumberFormat="1" applyFont="1" applyFill="1" applyBorder="1" applyAlignment="1">
      <x:alignment vertical="center"/>
    </x:xf>
    <x:xf numFmtId="200" fontId="5" fillId="7" borderId="16" xfId="0" applyNumberFormat="1" applyFont="1" applyFill="1" applyBorder="1" applyAlignment="1">
      <x:alignment vertical="center"/>
    </x:xf>
    <x:xf numFmtId="200" fontId="5" fillId="7" borderId="4" xfId="0" applyNumberFormat="1" applyFont="1" applyFill="1" applyBorder="1" applyAlignment="1">
      <x:alignment vertical="center"/>
    </x:xf>
    <x:xf numFmtId="0" fontId="5" fillId="7" borderId="16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0" fontId="7" fillId="8" borderId="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205" fontId="0" fillId="0" borderId="8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4" fontId="0" fillId="0" borderId="11" xfId="0" applyNumberFormat="1" applyFont="1" applyFill="1" applyBorder="1" applyAlignment="1">
      <x:alignment vertical="center"/>
    </x:xf>
    <x:xf numFmtId="205" fontId="0" fillId="0" borderId="1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203" fontId="0" fillId="5" borderId="8" xfId="0" applyNumberFormat="1" applyFont="1" applyFill="1" applyBorder="1" applyAlignment="1">
      <x:alignment vertical="center"/>
    </x:xf>
    <x:xf numFmtId="203" fontId="0" fillId="6" borderId="8" xfId="0" applyNumberFormat="1" applyFont="1" applyFill="1" applyBorder="1" applyAlignment="1">
      <x:alignment vertical="center"/>
    </x:xf>
    <x:xf numFmtId="200" fontId="0" fillId="6" borderId="8" xfId="0" applyNumberFormat="1" applyFont="1" applyFill="1" applyBorder="1" applyAlignment="1">
      <x:alignment vertical="center"/>
    </x:xf>
    <x:xf numFmtId="205" fontId="0" fillId="6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203" fontId="0" fillId="5" borderId="11" xfId="0" applyNumberFormat="1" applyFont="1" applyFill="1" applyBorder="1" applyAlignment="1">
      <x:alignment vertical="center"/>
    </x:xf>
    <x:xf numFmtId="203" fontId="0" fillId="6" borderId="11" xfId="0" applyNumberFormat="1" applyFont="1" applyFill="1" applyBorder="1" applyAlignment="1">
      <x:alignment vertical="center"/>
    </x:xf>
    <x:xf numFmtId="200" fontId="0" fillId="6" borderId="11" xfId="0" applyNumberFormat="1" applyFont="1" applyFill="1" applyBorder="1" applyAlignment="1">
      <x:alignment vertical="center"/>
    </x:xf>
    <x:xf numFmtId="205" fontId="0" fillId="6" borderId="12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202" fontId="0" fillId="4" borderId="8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203" fontId="0" fillId="4" borderId="8" xfId="0" applyNumberFormat="1" applyFont="1" applyFill="1" applyBorder="1" applyAlignment="1">
      <x:alignment vertical="center"/>
    </x:xf>
    <x:xf numFmtId="204" fontId="0" fillId="4" borderId="8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202" fontId="0" fillId="4" borderId="11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203" fontId="0" fillId="4" borderId="11" xfId="0" applyNumberFormat="1" applyFont="1" applyFill="1" applyBorder="1" applyAlignment="1">
      <x:alignment vertical="center"/>
    </x:xf>
    <x:xf numFmtId="204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201" fontId="0" fillId="4" borderId="9" xfId="0" applyNumberFormat="1" applyFont="1" applyFill="1" applyBorder="1" applyAlignment="1">
      <x:alignment vertical="center"/>
    </x:xf>
    <x:xf numFmtId="201" fontId="0" fillId="4" borderId="12" xfId="0" applyNumberFormat="1" applyFont="1" applyFill="1" applyBorder="1" applyAlignment="1">
      <x:alignment vertical="center"/>
    </x:xf>
    <x:xf numFmtId="200" fontId="0" fillId="4" borderId="8" xfId="0" applyNumberFormat="1" applyFont="1" applyFill="1" applyBorder="1" applyAlignment="1">
      <x:alignment vertical="center"/>
    </x:xf>
    <x:xf numFmtId="206" fontId="0" fillId="0" borderId="8" xfId="0" applyNumberFormat="1" applyFont="1" applyFill="1" applyBorder="1" applyAlignment="1">
      <x:alignment vertical="center"/>
    </x:xf>
    <x:xf numFmtId="206" fontId="0" fillId="0" borderId="11" xfId="0" applyNumberFormat="1" applyFont="1" applyFill="1" applyBorder="1" applyAlignment="1">
      <x:alignment vertical="center"/>
    </x:xf>
    <x:xf numFmtId="0" fontId="7" fillId="7" borderId="13" xfId="0" applyNumberFormat="1" applyFont="1" applyFill="1" applyBorder="1" applyAlignment="1">
      <x:alignment vertical="center"/>
    </x:xf>
    <x:xf numFmtId="0" fontId="7" fillId="7" borderId="10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8A5A00"/>
      </x:font>
      <x:fill>
        <x:patternFill patternType="solid">
          <x:bgColor rgb="FFFFF1D6"/>
        </x:patternFill>
      </x:fill>
    </x:dxf>
    <x:dxf>
      <x:font>
        <x:b/>
        <x:color rgb="FF2E7D5B"/>
      </x:font>
      <x:fill>
        <x:patternFill patternType="solid">
          <x:bgColor rgb="FFE6F4EA"/>
        </x:patternFill>
      </x:fill>
    </x:dxf>
    <x:dxf>
      <x:font>
        <x:b/>
        <x:color rgb="FFB6423C"/>
      </x:font>
      <x:fill>
        <x:patternFill patternType="solid">
          <x:bgColor rgb="FFFCE8E6"/>
        </x:patternFill>
      </x:fill>
    </x:dxf>
    <x:dxf>
      <x:font>
        <x:b/>
        <x:color rgb="FF2E7D5B"/>
      </x:font>
      <x:fill>
        <x:patternFill patternType="solid">
          <x:bgColor rgb="FFE6F4EA"/>
        </x:patternFill>
      </x:fill>
    </x:dxf>
    <x:dxf>
      <x:font>
        <x:b/>
        <x:color rgb="FFB6423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03d52fcce40b0" /><Relationship Type="http://schemas.openxmlformats.org/officeDocument/2006/relationships/theme" Target="/xl/theme/theme1.xml" Id="R3f720050f76e4b87" /><Relationship Type="http://schemas.openxmlformats.org/officeDocument/2006/relationships/sharedStrings" Target="/xl/sharedStrings.xml" Id="Redb7f85c7b3f42ec" /><Relationship Type="http://schemas.openxmlformats.org/officeDocument/2006/relationships/worksheet" Target="/xl/worksheets/sheet1.xml" Id="R5cdc3c43fd324dd2" /><Relationship Type="http://schemas.openxmlformats.org/officeDocument/2006/relationships/worksheet" Target="/xl/worksheets/sheet2.xml" Id="R74b4f09f4ff541f5" /><Relationship Type="http://schemas.openxmlformats.org/officeDocument/2006/relationships/worksheet" Target="/xl/worksheets/sheet3.xml" Id="R61193b3eba59420e" /><Relationship Type="http://schemas.openxmlformats.org/officeDocument/2006/relationships/worksheet" Target="/xl/worksheets/sheet4.xml" Id="Re212494e4269491b" /><Relationship Type="http://schemas.openxmlformats.org/officeDocument/2006/relationships/worksheet" Target="/xl/worksheets/sheet5.xml" Id="Racf3116a2512452b" /><Relationship Type="http://schemas.openxmlformats.org/officeDocument/2006/relationships/worksheet" Target="/xl/worksheets/sheet6.xml" Id="R7fc63f7993ef41cc" /><Relationship Type="http://schemas.openxmlformats.org/officeDocument/2006/relationships/worksheet" Target="/xl/worksheets/sheet7.xml" Id="R1c71111455314a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da793c8fd441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Commission payout by component ($)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Amount</c:v>
          </c:tx>
          <c:cat>
            <c:strRef>
              <c:f>'Commission Dashboard'!$H$10:$H$13</c:f>
              <c:strCache>
                <c:ptCount val="0"/>
              </c:strCache>
            </c:strRef>
          </c:cat>
          <c:val>
            <c:numRef>
              <c:f>'Commission Dashboard'!$I$10:$I$13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da793c8fd441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cebc3d03f7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8" hidden="0" customWidth="1"/>
    <x:col min="10" max="10" width="14" hidden="0" customWidth="1"/>
    <x:col min="11" max="11" width="16" hidden="0" customWidth="1"/>
    <x:col min="12" max="12" width="14" hidden="0" customWidth="1"/>
  </x:cols>
  <x:sheetData>
    <x:row r="1" ht="34" customHeight="1">
      <x:c r="A1" s="119" t="str">
        <x:v>Sales Commission Calculator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</x:row>
    <x:row r="2" ht="23" customHeight="1">
      <x:c r="A2" s="120" t="str">
        <x:v>July 2026 payout dashboard | approved deals only | USD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</x:row>
    <x:row r="3" ht="23" customHeight="1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</x:row>
    <x:row r="4" ht="23" customHeight="1">
      <x:c r="A4" s="122" t="str">
        <x:v>NET REVENUE</x:v>
      </x:c>
      <x:c r="B4" s="123" t="str"/>
      <x:c r="C4" s="122" t="str">
        <x:v>TOTAL QUOTA</x:v>
      </x:c>
      <x:c r="D4" s="123" t="str"/>
      <x:c r="E4" s="122" t="str">
        <x:v>ATTAINMENT</x:v>
      </x:c>
      <x:c r="F4" s="123" t="str"/>
      <x:c r="G4" s="122" t="str">
        <x:v>TOTAL PAYOUT</x:v>
      </x:c>
      <x:c r="H4" s="123" t="str"/>
      <x:c r="I4" s="122" t="str">
        <x:v>ACCELERATOR REPS</x:v>
      </x:c>
      <x:c r="J4" s="123" t="str"/>
      <x:c r="K4" s="122" t="str">
        <x:v>PENDING DEALS</x:v>
      </x:c>
      <x:c r="L4" s="123" t="str"/>
    </x:row>
    <x:row r="5" ht="23" customHeight="1">
      <x:c r="A5" s="124" t="n">
        <x:f>SUM('Commission Calc'!$I$5:$I$16)</x:f>
        <x:v>924475.12</x:v>
      </x:c>
      <x:c r="B5" s="125"/>
      <x:c r="C5" s="124" t="n">
        <x:f>SUM('Commission Calc'!$E$5:$E$16)</x:f>
        <x:v>955000</x:v>
      </x:c>
      <x:c r="D5" s="125"/>
      <x:c r="E5" s="126" t="n">
        <x:f>A5/C5</x:f>
        <x:v>0.96803677486911</x:v>
      </x:c>
      <x:c r="F5" s="127"/>
      <x:c r="G5" s="124" t="n">
        <x:f>SUM('Commission Calc'!$P$5:$P$16)</x:f>
        <x:v>34682.8126</x:v>
      </x:c>
      <x:c r="H5" s="125"/>
      <x:c r="I5" s="128" t="n">
        <x:f>COUNTIF('Commission Calc'!$J$5:$J$16,"&gt;=1")</x:f>
        <x:v>5</x:v>
      </x:c>
      <x:c r="J5" s="129"/>
      <x:c r="K5" s="128" t="n">
        <x:f>COUNTIF('Sales Inputs'!$M$5:$M$244,"Pending")</x:f>
        <x:v>48</x:v>
      </x:c>
      <x:c r="L5" s="129"/>
    </x:row>
    <x:row r="6" ht="23" customHeight="1">
      <x:c r="A6" s="130"/>
      <x:c r="B6" s="131"/>
      <x:c r="C6" s="130"/>
      <x:c r="D6" s="131"/>
      <x:c r="E6" s="132"/>
      <x:c r="F6" s="133"/>
      <x:c r="G6" s="130"/>
      <x:c r="H6" s="131"/>
      <x:c r="I6" s="134"/>
      <x:c r="J6" s="135"/>
      <x:c r="K6" s="134"/>
      <x:c r="L6" s="135"/>
    </x:row>
    <x:row r="7" ht="23" customHeight="1">
      <x:c r="A7" s="121"/>
      <x:c r="B7" s="121"/>
      <x:c r="C7" s="121"/>
      <x:c r="D7" s="121"/>
      <x:c r="E7" s="121"/>
      <x:c r="F7" s="121"/>
      <x:c r="G7" s="121"/>
      <x:c r="H7" s="121"/>
      <x:c r="I7" s="121"/>
      <x:c r="J7" s="121"/>
      <x:c r="K7" s="121"/>
      <x:c r="L7" s="121"/>
    </x:row>
    <x:row r="8" ht="23" customHeight="1">
      <x:c r="A8" s="136" t="str">
        <x:v>Representative performance and payout</x:v>
      </x:c>
      <x:c r="B8" s="136"/>
      <x:c r="C8" s="136"/>
      <x:c r="D8" s="136"/>
      <x:c r="E8" s="136"/>
      <x:c r="F8" s="136"/>
      <x:c r="G8" s="121"/>
      <x:c r="H8" s="137" t="str">
        <x:v>Payout composition</x:v>
      </x:c>
      <x:c r="I8" s="137"/>
      <x:c r="J8" s="137"/>
      <x:c r="K8" s="137"/>
      <x:c r="L8" s="137"/>
    </x:row>
    <x:row r="9" ht="23" customHeight="1">
      <x:c r="A9" s="138" t="str">
        <x:v>Rep</x:v>
      </x:c>
      <x:c r="B9" s="139" t="str">
        <x:v>Net Revenue</x:v>
      </x:c>
      <x:c r="C9" s="139" t="str">
        <x:v>Attainment</x:v>
      </x:c>
      <x:c r="D9" s="139" t="str">
        <x:v>Payout</x:v>
      </x:c>
      <x:c r="E9" s="139" t="str">
        <x:v>Effective Rate</x:v>
      </x:c>
      <x:c r="F9" s="140" t="str">
        <x:v>Status</x:v>
      </x:c>
      <x:c r="G9" s="121"/>
      <x:c r="H9" s="138" t="str">
        <x:v>Component</x:v>
      </x:c>
      <x:c r="I9" s="140" t="str">
        <x:v>Amount</x:v>
      </x:c>
      <x:c r="J9" s="121"/>
      <x:c r="K9" s="121"/>
      <x:c r="L9" s="121"/>
    </x:row>
    <x:row r="10" ht="23" customHeight="1">
      <x:c r="A10" s="141" t="str">
        <x:v>Maya Chen</x:v>
      </x:c>
      <x:c r="B10" s="142" t="n">
        <x:f>'Commission Calc'!I5</x:f>
        <x:v>71125.68</x:v>
      </x:c>
      <x:c r="C10" s="143" t="n">
        <x:f>'Commission Calc'!J5</x:f>
        <x:v>0.7902853333333333</x:v>
      </x:c>
      <x:c r="D10" s="142" t="n">
        <x:f>'Commission Calc'!P5</x:f>
        <x:v>2335.6571999999996</x:v>
      </x:c>
      <x:c r="E10" s="144" t="n">
        <x:f>'Commission Calc'!Q5</x:f>
        <x:v>0.032838451597229014</x:v>
      </x:c>
      <x:c r="F10" s="145" t="str">
        <x:f>'Rep Statements'!L5</x:f>
        <x:v>Below threshold</x:v>
      </x:c>
      <x:c r="G10" s="121"/>
      <x:c r="H10" s="141" t="str">
        <x:v>Base tier</x:v>
      </x:c>
      <x:c r="I10" s="146" t="n">
        <x:f>SUM('Commission Calc'!$K$5:$K$16)</x:f>
        <x:v>22879.2231</x:v>
      </x:c>
      <x:c r="J10" s="121"/>
      <x:c r="K10" s="121"/>
      <x:c r="L10" s="121"/>
    </x:row>
    <x:row r="11" ht="23" customHeight="1">
      <x:c r="A11" s="141" t="str">
        <x:v>Ethan Brooks</x:v>
      </x:c>
      <x:c r="B11" s="142" t="n">
        <x:f>'Commission Calc'!I6</x:f>
        <x:v>75912.06</x:v>
      </x:c>
      <x:c r="C11" s="143" t="n">
        <x:f>'Commission Calc'!J6</x:f>
        <x:v>0.8930830588235293</x:v>
      </x:c>
      <x:c r="D11" s="142" t="n">
        <x:f>'Commission Calc'!P6</x:f>
        <x:v>2643.483</x:v>
      </x:c>
      <x:c r="E11" s="144" t="n">
        <x:f>'Commission Calc'!Q6</x:f>
        <x:v>0.03482296488858293</x:v>
      </x:c>
      <x:c r="F11" s="145" t="str">
        <x:f>'Rep Statements'!L6</x:f>
        <x:v>On track</x:v>
      </x:c>
      <x:c r="G11" s="121"/>
      <x:c r="H11" s="141" t="str">
        <x:v>Quota tier</x:v>
      </x:c>
      <x:c r="I11" s="146" t="n">
        <x:f>SUM('Commission Calc'!$L$5:$L$16)</x:f>
        <x:v>5770.8545</x:v>
      </x:c>
      <x:c r="J11" s="121"/>
      <x:c r="K11" s="121"/>
      <x:c r="L11" s="121"/>
    </x:row>
    <x:row r="12" ht="23" customHeight="1">
      <x:c r="A12" s="141" t="str">
        <x:v>Sofia Patel</x:v>
      </x:c>
      <x:c r="B12" s="142" t="n">
        <x:f>'Commission Calc'!I7</x:f>
        <x:v>78028.66</x:v>
      </x:c>
      <x:c r="C12" s="143" t="n">
        <x:f>'Commission Calc'!J7</x:f>
        <x:v>0.9753582500000001</x:v>
      </x:c>
      <x:c r="D12" s="142" t="n">
        <x:f>'Commission Calc'!P7</x:f>
        <x:v>2807.393</x:v>
      </x:c>
      <x:c r="E12" s="144" t="n">
        <x:f>'Commission Calc'!Q7</x:f>
        <x:v>0.03597899797330878</x:v>
      </x:c>
      <x:c r="F12" s="145" t="str">
        <x:f>'Rep Statements'!L7</x:f>
        <x:v>On track</x:v>
      </x:c>
      <x:c r="G12" s="121"/>
      <x:c r="H12" s="141" t="str">
        <x:v>Accelerator</x:v>
      </x:c>
      <x:c r="I12" s="146" t="n">
        <x:f>SUM('Commission Calc'!$M$5:$M$16)</x:f>
        <x:v>3713.3808</x:v>
      </x:c>
      <x:c r="J12" s="121"/>
      <x:c r="K12" s="121"/>
      <x:c r="L12" s="121"/>
    </x:row>
    <x:row r="13" ht="23" customHeight="1">
      <x:c r="A13" s="141" t="str">
        <x:v>Noah Williams</x:v>
      </x:c>
      <x:c r="B13" s="142" t="n">
        <x:f>'Commission Calc'!I8</x:f>
        <x:v>74838.75</x:v>
      </x:c>
      <x:c r="C13" s="143" t="n">
        <x:f>'Commission Calc'!J8</x:f>
        <x:v>0.9594711538461539</x:v>
      </x:c>
      <x:c r="D13" s="142" t="n">
        <x:f>'Commission Calc'!P8</x:f>
        <x:v>2667.9375</x:v>
      </x:c>
      <x:c r="E13" s="144" t="n">
        <x:f>'Commission Calc'!Q8</x:f>
        <x:v>0.03564914566317583</x:v>
      </x:c>
      <x:c r="F13" s="145" t="str">
        <x:f>'Rep Statements'!L8</x:f>
        <x:v>On track</x:v>
      </x:c>
      <x:c r="G13" s="121"/>
      <x:c r="H13" s="147" t="str">
        <x:v>Product bonus</x:v>
      </x:c>
      <x:c r="I13" s="148" t="n">
        <x:f>SUM('Commission Calc'!$O$5:$O$16)</x:f>
        <x:v>2319.3541999999998</x:v>
      </x:c>
      <x:c r="J13" s="121"/>
      <x:c r="K13" s="121"/>
      <x:c r="L13" s="121"/>
    </x:row>
    <x:row r="14" ht="23" customHeight="1">
      <x:c r="A14" s="141" t="str">
        <x:v>Lina Haddad</x:v>
      </x:c>
      <x:c r="B14" s="142" t="n">
        <x:f>'Commission Calc'!I9</x:f>
        <x:v>75705.25</x:v>
      </x:c>
      <x:c r="C14" s="143" t="n">
        <x:f>'Commission Calc'!J9</x:f>
        <x:v>1.2210524193548387</x:v>
      </x:c>
      <x:c r="D14" s="142" t="n">
        <x:f>'Commission Calc'!P9</x:f>
        <x:v>3341.54</x:v>
      </x:c>
      <x:c r="E14" s="144" t="n">
        <x:f>'Commission Calc'!Q9</x:f>
        <x:v>0.04413881467929899</x:v>
      </x:c>
      <x:c r="F14" s="145" t="str">
        <x:f>'Rep Statements'!L9</x:f>
        <x:v>Accelerator</x:v>
      </x:c>
      <x:c r="G14" s="121"/>
      <x:c r="H14" s="121"/>
      <x:c r="I14" s="121"/>
      <x:c r="J14" s="121"/>
      <x:c r="K14" s="121"/>
      <x:c r="L14" s="121"/>
    </x:row>
    <x:row r="15" ht="23" customHeight="1">
      <x:c r="A15" s="141" t="str">
        <x:v>Lucas Martin</x:v>
      </x:c>
      <x:c r="B15" s="142" t="n">
        <x:f>'Commission Calc'!I10</x:f>
        <x:v>80060.43</x:v>
      </x:c>
      <x:c r="C15" s="143" t="n">
        <x:f>'Commission Calc'!J10</x:f>
        <x:v>1.1773592647058821</x:v>
      </x:c>
      <x:c r="D15" s="142" t="n">
        <x:f>'Commission Calc'!P10</x:f>
        <x:v>3495.0018999999998</x:v>
      </x:c>
      <x:c r="E15" s="144" t="n">
        <x:f>'Commission Calc'!Q10</x:f>
        <x:v>0.04365454819565671</x:v>
      </x:c>
      <x:c r="F15" s="145" t="str">
        <x:f>'Rep Statements'!L10</x:f>
        <x:v>Accelerator</x:v>
      </x:c>
      <x:c r="G15" s="121"/>
      <x:c r="H15" s="121"/>
      <x:c r="I15" s="121"/>
      <x:c r="J15" s="121"/>
      <x:c r="K15" s="121"/>
      <x:c r="L15" s="121"/>
    </x:row>
    <x:row r="16" ht="23" customHeight="1">
      <x:c r="A16" s="141" t="str">
        <x:v>Aylin Demir</x:v>
      </x:c>
      <x:c r="B16" s="142" t="n">
        <x:f>'Commission Calc'!I11</x:f>
        <x:v>79515.09</x:v>
      </x:c>
      <x:c r="C16" s="143" t="n">
        <x:f>'Commission Calc'!J11</x:f>
        <x:v>0.7951509</x:v>
      </x:c>
      <x:c r="D16" s="142" t="n">
        <x:f>'Commission Calc'!P11</x:f>
        <x:v>2592.5802</x:v>
      </x:c>
      <x:c r="E16" s="144" t="n">
        <x:f>'Commission Calc'!Q11</x:f>
        <x:v>0.03260488292222269</x:v>
      </x:c>
      <x:c r="F16" s="145" t="str">
        <x:f>'Rep Statements'!L11</x:f>
        <x:v>Below threshold</x:v>
      </x:c>
      <x:c r="G16" s="121"/>
      <x:c r="H16" s="121"/>
      <x:c r="I16" s="121"/>
      <x:c r="J16" s="121"/>
      <x:c r="K16" s="121"/>
      <x:c r="L16" s="121"/>
    </x:row>
    <x:row r="17" ht="23" customHeight="1">
      <x:c r="A17" s="141" t="str">
        <x:v>Owen Taylor</x:v>
      </x:c>
      <x:c r="B17" s="142" t="n">
        <x:f>'Commission Calc'!I12</x:f>
        <x:v>81492.32</x:v>
      </x:c>
      <x:c r="C17" s="143" t="n">
        <x:f>'Commission Calc'!J12</x:f>
        <x:v>1.0186540000000002</x:v>
      </x:c>
      <x:c r="D17" s="142" t="n">
        <x:f>'Commission Calc'!P12</x:f>
        <x:v>3029.9556000000007</x:v>
      </x:c>
      <x:c r="E17" s="144" t="n">
        <x:f>'Commission Calc'!Q12</x:f>
        <x:v>0.0371808729951485</x:v>
      </x:c>
      <x:c r="F17" s="145" t="str">
        <x:f>'Rep Statements'!L12</x:f>
        <x:v>Accelerator</x:v>
      </x:c>
      <x:c r="G17" s="121"/>
      <x:c r="H17" s="121"/>
      <x:c r="I17" s="121"/>
      <x:c r="J17" s="121"/>
      <x:c r="K17" s="121"/>
      <x:c r="L17" s="121"/>
    </x:row>
    <x:row r="18" ht="23" customHeight="1">
      <x:c r="A18" s="141" t="str">
        <x:v>Sara Kim</x:v>
      </x:c>
      <x:c r="B18" s="142" t="n">
        <x:f>'Commission Calc'!I13</x:f>
        <x:v>80500.48</x:v>
      </x:c>
      <x:c r="C18" s="143" t="n">
        <x:f>'Commission Calc'!J13</x:f>
        <x:v>1.150006857142857</x:v>
      </x:c>
      <x:c r="D18" s="142" t="n">
        <x:f>'Commission Calc'!P13</x:f>
        <x:v>3423.3083999999994</x:v>
      </x:c>
      <x:c r="E18" s="144" t="n">
        <x:f>'Commission Calc'!Q13</x:f>
        <x:v>0.04252531661923009</x:v>
      </x:c>
      <x:c r="F18" s="145" t="str">
        <x:f>'Rep Statements'!L13</x:f>
        <x:v>Accelerator</x:v>
      </x:c>
      <x:c r="G18" s="121"/>
      <x:c r="H18" s="121"/>
      <x:c r="I18" s="121"/>
      <x:c r="J18" s="121"/>
      <x:c r="K18" s="121"/>
      <x:c r="L18" s="121"/>
    </x:row>
    <x:row r="19" ht="23" customHeight="1">
      <x:c r="A19" s="141" t="str">
        <x:v>Daniel Ruiz</x:v>
      </x:c>
      <x:c r="B19" s="142" t="n">
        <x:f>'Commission Calc'!I14</x:f>
        <x:v>77863.74</x:v>
      </x:c>
      <x:c r="C19" s="143" t="n">
        <x:f>'Commission Calc'!J14</x:f>
        <x:v>0.8196183157894738</x:v>
      </x:c>
      <x:c r="D19" s="142" t="n">
        <x:f>'Commission Calc'!P14</x:f>
        <x:v>2572.3720000000003</x:v>
      </x:c>
      <x:c r="E19" s="144" t="n">
        <x:f>'Commission Calc'!Q14</x:f>
        <x:v>0.0330368410251036</x:v>
      </x:c>
      <x:c r="F19" s="145" t="str">
        <x:f>'Rep Statements'!L14</x:f>
        <x:v>On track</x:v>
      </x:c>
      <x:c r="G19" s="121"/>
      <x:c r="H19" s="121"/>
      <x:c r="I19" s="121"/>
      <x:c r="J19" s="121"/>
      <x:c r="K19" s="121"/>
      <x:c r="L19" s="121"/>
    </x:row>
    <x:row r="20" ht="23" customHeight="1">
      <x:c r="A20" s="141" t="str">
        <x:v>Elif Kaya</x:v>
      </x:c>
      <x:c r="B20" s="142" t="n">
        <x:f>'Commission Calc'!I15</x:f>
        <x:v>75773.88</x:v>
      </x:c>
      <x:c r="C20" s="143" t="n">
        <x:f>'Commission Calc'!J15</x:f>
        <x:v>0.9240717073170732</x:v>
      </x:c>
      <x:c r="D20" s="142" t="n">
        <x:f>'Commission Calc'!P15</x:f>
        <x:v>2705.2086000000004</x:v>
      </x:c>
      <x:c r="E20" s="144" t="n">
        <x:f>'Commission Calc'!Q15</x:f>
        <x:v>0.03570107007850199</x:v>
      </x:c>
      <x:c r="F20" s="145" t="str">
        <x:f>'Rep Statements'!L15</x:f>
        <x:v>On track</x:v>
      </x:c>
      <x:c r="G20" s="121"/>
      <x:c r="H20" s="121"/>
      <x:c r="I20" s="121"/>
      <x:c r="J20" s="121"/>
      <x:c r="K20" s="121"/>
      <x:c r="L20" s="121"/>
    </x:row>
    <x:row r="21" ht="23" customHeight="1">
      <x:c r="A21" s="147" t="str">
        <x:v>Jon Bell</x:v>
      </x:c>
      <x:c r="B21" s="149" t="n">
        <x:f>'Commission Calc'!I16</x:f>
        <x:v>73658.78</x:v>
      </x:c>
      <x:c r="C21" s="150" t="n">
        <x:f>'Commission Calc'!J16</x:f>
        <x:v>1.1332119999999999</x:v>
      </x:c>
      <x:c r="D21" s="149" t="n">
        <x:f>'Commission Calc'!P16</x:f>
        <x:v>3068.3752</x:v>
      </x:c>
      <x:c r="E21" s="151" t="n">
        <x:f>'Commission Calc'!Q16</x:f>
        <x:v>0.041656611744044635</x:v>
      </x:c>
      <x:c r="F21" s="152" t="str">
        <x:f>'Rep Statements'!L16</x:f>
        <x:v>Accelerator</x:v>
      </x:c>
      <x:c r="G21" s="121"/>
      <x:c r="H21" s="121"/>
      <x:c r="I21" s="121"/>
      <x:c r="J21" s="121"/>
      <x:c r="K21" s="121"/>
      <x:c r="L21" s="121"/>
    </x:row>
    <x:row r="22" ht="23" customHeight="1"/>
    <x:row r="23" ht="23" customHeight="1"/>
    <x:row r="24" ht="23" customHeight="1"/>
    <x:row r="25" ht="23" customHeight="1"/>
    <x:row r="26" ht="23" customHeight="1"/>
    <x:row r="27" ht="23" customHeight="1"/>
  </x:sheetData>
  <x:mergeCells>
    <x:mergeCell ref="A1:L1"/>
    <x:mergeCell ref="A2:L2"/>
    <x:mergeCell ref="A5:B6"/>
    <x:mergeCell ref="C5:D6"/>
    <x:mergeCell ref="E5:F6"/>
    <x:mergeCell ref="G5:H6"/>
    <x:mergeCell ref="I5:J6"/>
    <x:mergeCell ref="K5:L6"/>
    <x:mergeCell ref="A8:F8"/>
    <x:mergeCell ref="H8:L8"/>
  </x:mergeCells>
  <x:pageMargins left="0.7" right="0.7" top="0.75" bottom="0.75" header="0.3" footer="0.3"/>
  <x:drawing xmlns:r="http://schemas.openxmlformats.org/officeDocument/2006/relationships" r:id="R74cebc3d03f745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4" hidden="0" customWidth="1"/>
    <x:col min="12" max="12" width="18" hidden="0" customWidth="1"/>
  </x:cols>
  <x:sheetData>
    <x:row r="1" ht="34" customHeight="1">
      <x:c r="A1" s="119" t="str">
        <x:v>Rep Statements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</x:row>
    <x:row r="2" ht="23" customHeight="1">
      <x:c r="A2" s="120" t="str">
        <x:v>Finance-ready payout detail by sales representative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</x:row>
    <x:row r="4">
      <x:c r="A4" s="153" t="str">
        <x:v>Rep ID</x:v>
      </x:c>
      <x:c r="B4" s="154" t="str">
        <x:v>Rep Name</x:v>
      </x:c>
      <x:c r="C4" s="154" t="str">
        <x:v>Quota</x:v>
      </x:c>
      <x:c r="D4" s="154" t="str">
        <x:v>Net Revenue</x:v>
      </x:c>
      <x:c r="E4" s="154" t="str">
        <x:v>Attainment</x:v>
      </x:c>
      <x:c r="F4" s="154" t="str">
        <x:v>Base Tier</x:v>
      </x:c>
      <x:c r="G4" s="154" t="str">
        <x:v>Quota Tier</x:v>
      </x:c>
      <x:c r="H4" s="154" t="str">
        <x:v>Accelerator</x:v>
      </x:c>
      <x:c r="I4" s="154" t="str">
        <x:v>Product Bonus</x:v>
      </x:c>
      <x:c r="J4" s="154" t="str">
        <x:v>Total Payout</x:v>
      </x:c>
      <x:c r="K4" s="154" t="str">
        <x:v>Effective Rate</x:v>
      </x:c>
      <x:c r="L4" s="155" t="str">
        <x:v>Status</x:v>
      </x:c>
    </x:row>
    <x:row r="5">
      <x:c r="A5" s="141" t="str">
        <x:f>'Commission Calc'!A5</x:f>
        <x:v>R01</x:v>
      </x:c>
      <x:c r="B5" s="156" t="str">
        <x:f>'Commission Calc'!B5</x:f>
        <x:v>Maya Chen</x:v>
      </x:c>
      <x:c r="C5" s="157" t="n">
        <x:f>'Commission Calc'!E5</x:f>
        <x:v>90000</x:v>
      </x:c>
      <x:c r="D5" s="157" t="n">
        <x:f>'Commission Calc'!I5</x:f>
        <x:v>71125.68</x:v>
      </x:c>
      <x:c r="E5" s="158" t="n">
        <x:f>'Commission Calc'!J5</x:f>
        <x:v>0.7902853333333333</x:v>
      </x:c>
      <x:c r="F5" s="157" t="n">
        <x:f>'Commission Calc'!K5</x:f>
        <x:v>2133.7704</x:v>
      </x:c>
      <x:c r="G5" s="157" t="n">
        <x:f>'Commission Calc'!L5</x:f>
        <x:v>0</x:v>
      </x:c>
      <x:c r="H5" s="157" t="n">
        <x:f>'Commission Calc'!M5</x:f>
        <x:v>0</x:v>
      </x:c>
      <x:c r="I5" s="157" t="n">
        <x:f>'Commission Calc'!O5</x:f>
        <x:v>201.8868</x:v>
      </x:c>
      <x:c r="J5" s="157" t="n">
        <x:f>'Commission Calc'!P5</x:f>
        <x:v>2335.6571999999996</x:v>
      </x:c>
      <x:c r="K5" s="144" t="n">
        <x:f>'Commission Calc'!Q5</x:f>
        <x:v>0.032838451597229014</x:v>
      </x:c>
      <x:c r="L5" s="159" t="str">
        <x:f>IF(E5&gt;=1,"Accelerator",IF(E5&gt;=0.8,"On track","Below threshold"))</x:f>
        <x:v>Below threshold</x:v>
      </x:c>
    </x:row>
    <x:row r="6">
      <x:c r="A6" s="141" t="str">
        <x:f>'Commission Calc'!A6</x:f>
        <x:v>R02</x:v>
      </x:c>
      <x:c r="B6" s="156" t="str">
        <x:f>'Commission Calc'!B6</x:f>
        <x:v>Ethan Brooks</x:v>
      </x:c>
      <x:c r="C6" s="157" t="n">
        <x:f>'Commission Calc'!E6</x:f>
        <x:v>85000</x:v>
      </x:c>
      <x:c r="D6" s="157" t="n">
        <x:f>'Commission Calc'!I6</x:f>
        <x:v>75912.06</x:v>
      </x:c>
      <x:c r="E6" s="158" t="n">
        <x:f>'Commission Calc'!J6</x:f>
        <x:v>0.8930830588235293</x:v>
      </x:c>
      <x:c r="F6" s="157" t="n">
        <x:f>'Commission Calc'!K6</x:f>
        <x:v>2040</x:v>
      </x:c>
      <x:c r="G6" s="157" t="n">
        <x:f>'Commission Calc'!L6</x:f>
        <x:v>395.6029999999999</x:v>
      </x:c>
      <x:c r="H6" s="157" t="n">
        <x:f>'Commission Calc'!M6</x:f>
        <x:v>0</x:v>
      </x:c>
      <x:c r="I6" s="157" t="n">
        <x:f>'Commission Calc'!O6</x:f>
        <x:v>207.88</x:v>
      </x:c>
      <x:c r="J6" s="157" t="n">
        <x:f>'Commission Calc'!P6</x:f>
        <x:v>2643.483</x:v>
      </x:c>
      <x:c r="K6" s="144" t="n">
        <x:f>'Commission Calc'!Q6</x:f>
        <x:v>0.03482296488858293</x:v>
      </x:c>
      <x:c r="L6" s="159" t="str">
        <x:f>IF(E6&gt;=1,"Accelerator",IF(E6&gt;=0.8,"On track","Below threshold"))</x:f>
        <x:v>On track</x:v>
      </x:c>
    </x:row>
    <x:row r="7">
      <x:c r="A7" s="141" t="str">
        <x:f>'Commission Calc'!A7</x:f>
        <x:v>R03</x:v>
      </x:c>
      <x:c r="B7" s="156" t="str">
        <x:f>'Commission Calc'!B7</x:f>
        <x:v>Sofia Patel</x:v>
      </x:c>
      <x:c r="C7" s="157" t="n">
        <x:f>'Commission Calc'!E7</x:f>
        <x:v>80000</x:v>
      </x:c>
      <x:c r="D7" s="157" t="n">
        <x:f>'Commission Calc'!I7</x:f>
        <x:v>78028.66</x:v>
      </x:c>
      <x:c r="E7" s="158" t="n">
        <x:f>'Commission Calc'!J7</x:f>
        <x:v>0.9753582500000001</x:v>
      </x:c>
      <x:c r="F7" s="157" t="n">
        <x:f>'Commission Calc'!K7</x:f>
        <x:v>1920</x:v>
      </x:c>
      <x:c r="G7" s="157" t="n">
        <x:f>'Commission Calc'!L7</x:f>
        <x:v>701.4330000000002</x:v>
      </x:c>
      <x:c r="H7" s="157" t="n">
        <x:f>'Commission Calc'!M7</x:f>
        <x:v>0</x:v>
      </x:c>
      <x:c r="I7" s="157" t="n">
        <x:f>'Commission Calc'!O7</x:f>
        <x:v>185.96</x:v>
      </x:c>
      <x:c r="J7" s="157" t="n">
        <x:f>'Commission Calc'!P7</x:f>
        <x:v>2807.393</x:v>
      </x:c>
      <x:c r="K7" s="144" t="n">
        <x:f>'Commission Calc'!Q7</x:f>
        <x:v>0.03597899797330878</x:v>
      </x:c>
      <x:c r="L7" s="159" t="str">
        <x:f>IF(E7&gt;=1,"Accelerator",IF(E7&gt;=0.8,"On track","Below threshold"))</x:f>
        <x:v>On track</x:v>
      </x:c>
    </x:row>
    <x:row r="8">
      <x:c r="A8" s="141" t="str">
        <x:f>'Commission Calc'!A8</x:f>
        <x:v>R04</x:v>
      </x:c>
      <x:c r="B8" s="156" t="str">
        <x:f>'Commission Calc'!B8</x:f>
        <x:v>Noah Williams</x:v>
      </x:c>
      <x:c r="C8" s="157" t="n">
        <x:f>'Commission Calc'!E8</x:f>
        <x:v>78000</x:v>
      </x:c>
      <x:c r="D8" s="157" t="n">
        <x:f>'Commission Calc'!I8</x:f>
        <x:v>74838.75</x:v>
      </x:c>
      <x:c r="E8" s="158" t="n">
        <x:f>'Commission Calc'!J8</x:f>
        <x:v>0.9594711538461539</x:v>
      </x:c>
      <x:c r="F8" s="157" t="n">
        <x:f>'Commission Calc'!K8</x:f>
        <x:v>1872</x:v>
      </x:c>
      <x:c r="G8" s="157" t="n">
        <x:f>'Commission Calc'!L8</x:f>
        <x:v>621.9375</x:v>
      </x:c>
      <x:c r="H8" s="157" t="n">
        <x:f>'Commission Calc'!M8</x:f>
        <x:v>0</x:v>
      </x:c>
      <x:c r="I8" s="157" t="n">
        <x:f>'Commission Calc'!O8</x:f>
        <x:v>174</x:v>
      </x:c>
      <x:c r="J8" s="157" t="n">
        <x:f>'Commission Calc'!P8</x:f>
        <x:v>2667.9375</x:v>
      </x:c>
      <x:c r="K8" s="144" t="n">
        <x:f>'Commission Calc'!Q8</x:f>
        <x:v>0.03564914566317583</x:v>
      </x:c>
      <x:c r="L8" s="159" t="str">
        <x:f>IF(E8&gt;=1,"Accelerator",IF(E8&gt;=0.8,"On track","Below threshold"))</x:f>
        <x:v>On track</x:v>
      </x:c>
    </x:row>
    <x:row r="9">
      <x:c r="A9" s="141" t="str">
        <x:f>'Commission Calc'!A9</x:f>
        <x:v>R05</x:v>
      </x:c>
      <x:c r="B9" s="156" t="str">
        <x:f>'Commission Calc'!B9</x:f>
        <x:v>Lina Haddad</x:v>
      </x:c>
      <x:c r="C9" s="157" t="n">
        <x:f>'Commission Calc'!E9</x:f>
        <x:v>62000</x:v>
      </x:c>
      <x:c r="D9" s="157" t="n">
        <x:f>'Commission Calc'!I9</x:f>
        <x:v>75705.25</x:v>
      </x:c>
      <x:c r="E9" s="158" t="n">
        <x:f>'Commission Calc'!J9</x:f>
        <x:v>1.2210524193548387</x:v>
      </x:c>
      <x:c r="F9" s="157" t="n">
        <x:f>'Commission Calc'!K9</x:f>
        <x:v>1488</x:v>
      </x:c>
      <x:c r="G9" s="157" t="n">
        <x:f>'Commission Calc'!L9</x:f>
        <x:v>620</x:v>
      </x:c>
      <x:c r="H9" s="157" t="n">
        <x:f>'Commission Calc'!M9</x:f>
        <x:v>1096.42</x:v>
      </x:c>
      <x:c r="I9" s="157" t="n">
        <x:f>'Commission Calc'!O9</x:f>
        <x:v>137.12</x:v>
      </x:c>
      <x:c r="J9" s="157" t="n">
        <x:f>'Commission Calc'!P9</x:f>
        <x:v>3341.54</x:v>
      </x:c>
      <x:c r="K9" s="144" t="n">
        <x:f>'Commission Calc'!Q9</x:f>
        <x:v>0.04413881467929899</x:v>
      </x:c>
      <x:c r="L9" s="159" t="str">
        <x:f>IF(E9&gt;=1,"Accelerator",IF(E9&gt;=0.8,"On track","Below threshold"))</x:f>
        <x:v>Accelerator</x:v>
      </x:c>
    </x:row>
    <x:row r="10">
      <x:c r="A10" s="141" t="str">
        <x:f>'Commission Calc'!A10</x:f>
        <x:v>R06</x:v>
      </x:c>
      <x:c r="B10" s="156" t="str">
        <x:f>'Commission Calc'!B10</x:f>
        <x:v>Lucas Martin</x:v>
      </x:c>
      <x:c r="C10" s="157" t="n">
        <x:f>'Commission Calc'!E10</x:f>
        <x:v>68000</x:v>
      </x:c>
      <x:c r="D10" s="157" t="n">
        <x:f>'Commission Calc'!I10</x:f>
        <x:v>80060.43</x:v>
      </x:c>
      <x:c r="E10" s="158" t="n">
        <x:f>'Commission Calc'!J10</x:f>
        <x:v>1.1773592647058821</x:v>
      </x:c>
      <x:c r="F10" s="157" t="n">
        <x:f>'Commission Calc'!K10</x:f>
        <x:v>1632</x:v>
      </x:c>
      <x:c r="G10" s="157" t="n">
        <x:f>'Commission Calc'!L10</x:f>
        <x:v>680</x:v>
      </x:c>
      <x:c r="H10" s="157" t="n">
        <x:f>'Commission Calc'!M10</x:f>
        <x:v>964.8343999999995</x:v>
      </x:c>
      <x:c r="I10" s="157" t="n">
        <x:f>'Commission Calc'!O10</x:f>
        <x:v>218.16750000000002</x:v>
      </x:c>
      <x:c r="J10" s="157" t="n">
        <x:f>'Commission Calc'!P10</x:f>
        <x:v>3495.0018999999998</x:v>
      </x:c>
      <x:c r="K10" s="144" t="n">
        <x:f>'Commission Calc'!Q10</x:f>
        <x:v>0.04365454819565671</x:v>
      </x:c>
      <x:c r="L10" s="159" t="str">
        <x:f>IF(E10&gt;=1,"Accelerator",IF(E10&gt;=0.8,"On track","Below threshold"))</x:f>
        <x:v>Accelerator</x:v>
      </x:c>
    </x:row>
    <x:row r="11">
      <x:c r="A11" s="141" t="str">
        <x:f>'Commission Calc'!A11</x:f>
        <x:v>R07</x:v>
      </x:c>
      <x:c r="B11" s="156" t="str">
        <x:f>'Commission Calc'!B11</x:f>
        <x:v>Aylin Demir</x:v>
      </x:c>
      <x:c r="C11" s="157" t="n">
        <x:f>'Commission Calc'!E11</x:f>
        <x:v>100000</x:v>
      </x:c>
      <x:c r="D11" s="157" t="n">
        <x:f>'Commission Calc'!I11</x:f>
        <x:v>79515.09</x:v>
      </x:c>
      <x:c r="E11" s="158" t="n">
        <x:f>'Commission Calc'!J11</x:f>
        <x:v>0.7951509</x:v>
      </x:c>
      <x:c r="F11" s="157" t="n">
        <x:f>'Commission Calc'!K11</x:f>
        <x:v>2385.4527</x:v>
      </x:c>
      <x:c r="G11" s="157" t="n">
        <x:f>'Commission Calc'!L11</x:f>
        <x:v>0</x:v>
      </x:c>
      <x:c r="H11" s="157" t="n">
        <x:f>'Commission Calc'!M11</x:f>
        <x:v>0</x:v>
      </x:c>
      <x:c r="I11" s="157" t="n">
        <x:f>'Commission Calc'!O11</x:f>
        <x:v>207.1275</x:v>
      </x:c>
      <x:c r="J11" s="157" t="n">
        <x:f>'Commission Calc'!P11</x:f>
        <x:v>2592.5802</x:v>
      </x:c>
      <x:c r="K11" s="144" t="n">
        <x:f>'Commission Calc'!Q11</x:f>
        <x:v>0.03260488292222269</x:v>
      </x:c>
      <x:c r="L11" s="159" t="str">
        <x:f>IF(E11&gt;=1,"Accelerator",IF(E11&gt;=0.8,"On track","Below threshold"))</x:f>
        <x:v>Below threshold</x:v>
      </x:c>
    </x:row>
    <x:row r="12">
      <x:c r="A12" s="141" t="str">
        <x:f>'Commission Calc'!A12</x:f>
        <x:v>R08</x:v>
      </x:c>
      <x:c r="B12" s="156" t="str">
        <x:f>'Commission Calc'!B12</x:f>
        <x:v>Owen Taylor</x:v>
      </x:c>
      <x:c r="C12" s="157" t="n">
        <x:f>'Commission Calc'!E12</x:f>
        <x:v>80000</x:v>
      </x:c>
      <x:c r="D12" s="157" t="n">
        <x:f>'Commission Calc'!I12</x:f>
        <x:v>81492.32</x:v>
      </x:c>
      <x:c r="E12" s="158" t="n">
        <x:f>'Commission Calc'!J12</x:f>
        <x:v>1.0186540000000002</x:v>
      </x:c>
      <x:c r="F12" s="157" t="n">
        <x:f>'Commission Calc'!K12</x:f>
        <x:v>1920</x:v>
      </x:c>
      <x:c r="G12" s="157" t="n">
        <x:f>'Commission Calc'!L12</x:f>
        <x:v>800</x:v>
      </x:c>
      <x:c r="H12" s="157" t="n">
        <x:f>'Commission Calc'!M12</x:f>
        <x:v>119.38560000000057</x:v>
      </x:c>
      <x:c r="I12" s="157" t="n">
        <x:f>'Commission Calc'!O12</x:f>
        <x:v>190.57</x:v>
      </x:c>
      <x:c r="J12" s="157" t="n">
        <x:f>'Commission Calc'!P12</x:f>
        <x:v>3029.9556000000007</x:v>
      </x:c>
      <x:c r="K12" s="144" t="n">
        <x:f>'Commission Calc'!Q12</x:f>
        <x:v>0.0371808729951485</x:v>
      </x:c>
      <x:c r="L12" s="159" t="str">
        <x:f>IF(E12&gt;=1,"Accelerator",IF(E12&gt;=0.8,"On track","Below threshold"))</x:f>
        <x:v>Accelerator</x:v>
      </x:c>
    </x:row>
    <x:row r="13">
      <x:c r="A13" s="141" t="str">
        <x:f>'Commission Calc'!A13</x:f>
        <x:v>R09</x:v>
      </x:c>
      <x:c r="B13" s="156" t="str">
        <x:f>'Commission Calc'!B13</x:f>
        <x:v>Sara Kim</x:v>
      </x:c>
      <x:c r="C13" s="157" t="n">
        <x:f>'Commission Calc'!E13</x:f>
        <x:v>70000</x:v>
      </x:c>
      <x:c r="D13" s="157" t="n">
        <x:f>'Commission Calc'!I13</x:f>
        <x:v>80500.48</x:v>
      </x:c>
      <x:c r="E13" s="158" t="n">
        <x:f>'Commission Calc'!J13</x:f>
        <x:v>1.150006857142857</x:v>
      </x:c>
      <x:c r="F13" s="157" t="n">
        <x:f>'Commission Calc'!K13</x:f>
        <x:v>1680</x:v>
      </x:c>
      <x:c r="G13" s="157" t="n">
        <x:f>'Commission Calc'!L13</x:f>
        <x:v>700</x:v>
      </x:c>
      <x:c r="H13" s="157" t="n">
        <x:f>'Commission Calc'!M13</x:f>
        <x:v>840.0383999999997</x:v>
      </x:c>
      <x:c r="I13" s="157" t="n">
        <x:f>'Commission Calc'!O13</x:f>
        <x:v>203.27</x:v>
      </x:c>
      <x:c r="J13" s="157" t="n">
        <x:f>'Commission Calc'!P13</x:f>
        <x:v>3423.3083999999994</x:v>
      </x:c>
      <x:c r="K13" s="144" t="n">
        <x:f>'Commission Calc'!Q13</x:f>
        <x:v>0.04252531661923009</x:v>
      </x:c>
      <x:c r="L13" s="159" t="str">
        <x:f>IF(E13&gt;=1,"Accelerator",IF(E13&gt;=0.8,"On track","Below threshold"))</x:f>
        <x:v>Accelerator</x:v>
      </x:c>
    </x:row>
    <x:row r="14">
      <x:c r="A14" s="141" t="str">
        <x:f>'Commission Calc'!A14</x:f>
        <x:v>R10</x:v>
      </x:c>
      <x:c r="B14" s="156" t="str">
        <x:f>'Commission Calc'!B14</x:f>
        <x:v>Daniel Ruiz</x:v>
      </x:c>
      <x:c r="C14" s="157" t="n">
        <x:f>'Commission Calc'!E14</x:f>
        <x:v>95000</x:v>
      </x:c>
      <x:c r="D14" s="157" t="n">
        <x:f>'Commission Calc'!I14</x:f>
        <x:v>77863.74</x:v>
      </x:c>
      <x:c r="E14" s="158" t="n">
        <x:f>'Commission Calc'!J14</x:f>
        <x:v>0.8196183157894738</x:v>
      </x:c>
      <x:c r="F14" s="157" t="n">
        <x:f>'Commission Calc'!K14</x:f>
        <x:v>2280</x:v>
      </x:c>
      <x:c r="G14" s="157" t="n">
        <x:f>'Commission Calc'!L14</x:f>
        <x:v>93.18700000000027</x:v>
      </x:c>
      <x:c r="H14" s="157" t="n">
        <x:f>'Commission Calc'!M14</x:f>
        <x:v>0</x:v>
      </x:c>
      <x:c r="I14" s="157" t="n">
        <x:f>'Commission Calc'!O14</x:f>
        <x:v>199.185</x:v>
      </x:c>
      <x:c r="J14" s="157" t="n">
        <x:f>'Commission Calc'!P14</x:f>
        <x:v>2572.3720000000003</x:v>
      </x:c>
      <x:c r="K14" s="144" t="n">
        <x:f>'Commission Calc'!Q14</x:f>
        <x:v>0.0330368410251036</x:v>
      </x:c>
      <x:c r="L14" s="159" t="str">
        <x:f>IF(E14&gt;=1,"Accelerator",IF(E14&gt;=0.8,"On track","Below threshold"))</x:f>
        <x:v>On track</x:v>
      </x:c>
    </x:row>
    <x:row r="15">
      <x:c r="A15" s="141" t="str">
        <x:f>'Commission Calc'!A15</x:f>
        <x:v>R11</x:v>
      </x:c>
      <x:c r="B15" s="156" t="str">
        <x:f>'Commission Calc'!B15</x:f>
        <x:v>Elif Kaya</x:v>
      </x:c>
      <x:c r="C15" s="157" t="n">
        <x:f>'Commission Calc'!E15</x:f>
        <x:v>82000</x:v>
      </x:c>
      <x:c r="D15" s="157" t="n">
        <x:f>'Commission Calc'!I15</x:f>
        <x:v>75773.88</x:v>
      </x:c>
      <x:c r="E15" s="158" t="n">
        <x:f>'Commission Calc'!J15</x:f>
        <x:v>0.9240717073170732</x:v>
      </x:c>
      <x:c r="F15" s="157" t="n">
        <x:f>'Commission Calc'!K15</x:f>
        <x:v>1968</x:v>
      </x:c>
      <x:c r="G15" s="157" t="n">
        <x:f>'Commission Calc'!L15</x:f>
        <x:v>508.69400000000024</x:v>
      </x:c>
      <x:c r="H15" s="157" t="n">
        <x:f>'Commission Calc'!M15</x:f>
        <x:v>0</x:v>
      </x:c>
      <x:c r="I15" s="157" t="n">
        <x:f>'Commission Calc'!O15</x:f>
        <x:v>228.5146</x:v>
      </x:c>
      <x:c r="J15" s="157" t="n">
        <x:f>'Commission Calc'!P15</x:f>
        <x:v>2705.2086000000004</x:v>
      </x:c>
      <x:c r="K15" s="144" t="n">
        <x:f>'Commission Calc'!Q15</x:f>
        <x:v>0.03570107007850199</x:v>
      </x:c>
      <x:c r="L15" s="159" t="str">
        <x:f>IF(E15&gt;=1,"Accelerator",IF(E15&gt;=0.8,"On track","Below threshold"))</x:f>
        <x:v>On track</x:v>
      </x:c>
    </x:row>
    <x:row r="16">
      <x:c r="A16" s="147" t="str">
        <x:f>'Commission Calc'!A16</x:f>
        <x:v>R12</x:v>
      </x:c>
      <x:c r="B16" s="160" t="str">
        <x:f>'Commission Calc'!B16</x:f>
        <x:v>Jon Bell</x:v>
      </x:c>
      <x:c r="C16" s="161" t="n">
        <x:f>'Commission Calc'!E16</x:f>
        <x:v>65000</x:v>
      </x:c>
      <x:c r="D16" s="161" t="n">
        <x:f>'Commission Calc'!I16</x:f>
        <x:v>73658.78</x:v>
      </x:c>
      <x:c r="E16" s="162" t="n">
        <x:f>'Commission Calc'!J16</x:f>
        <x:v>1.1332119999999999</x:v>
      </x:c>
      <x:c r="F16" s="161" t="n">
        <x:f>'Commission Calc'!K16</x:f>
        <x:v>1560</x:v>
      </x:c>
      <x:c r="G16" s="161" t="n">
        <x:f>'Commission Calc'!L16</x:f>
        <x:v>650</x:v>
      </x:c>
      <x:c r="H16" s="161" t="n">
        <x:f>'Commission Calc'!M16</x:f>
        <x:v>692.7023999999999</x:v>
      </x:c>
      <x:c r="I16" s="161" t="n">
        <x:f>'Commission Calc'!O16</x:f>
        <x:v>165.6728</x:v>
      </x:c>
      <x:c r="J16" s="161" t="n">
        <x:f>'Commission Calc'!P16</x:f>
        <x:v>3068.3752</x:v>
      </x:c>
      <x:c r="K16" s="151" t="n">
        <x:f>'Commission Calc'!Q16</x:f>
        <x:v>0.041656611744044635</x:v>
      </x:c>
      <x:c r="L16" s="163" t="str">
        <x:f>IF(E16&gt;=1,"Accelerator",IF(E16&gt;=0.8,"On track","Below threshold"))</x:f>
        <x:v>Accelerator</x:v>
      </x:c>
    </x:row>
  </x:sheetData>
  <x:mergeCells>
    <x:mergeCell ref="A1:L1"/>
    <x:mergeCell ref="A2:L2"/>
  </x:mergeCells>
  <x:conditionalFormatting sqref="L5:L16">
    <x:cfRule type="containsText" dxfId="1" priority="1" operator="containsText" text="Accelerator"/>
    <x:cfRule type="containsText" dxfId="2" priority="2" operator="containsText" text="Be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5" hidden="0" customWidth="1"/>
    <x:col min="4" max="4" width="13" hidden="0" customWidth="1"/>
    <x:col min="5" max="5" width="14" hidden="0" customWidth="1"/>
    <x:col min="6" max="6" width="13" hidden="0" customWidth="1"/>
    <x:col min="7" max="7" width="18" hidden="0" customWidth="1"/>
    <x:col min="8" max="8" width="16" hidden="0" customWidth="1"/>
    <x:col min="9" max="9" width="20" hidden="0" customWidth="1"/>
    <x:col min="10" max="10" width="12" hidden="0" customWidth="1"/>
    <x:col min="11" max="11" width="17" hidden="0" customWidth="1"/>
    <x:col min="12" max="12" width="17" hidden="0" customWidth="1"/>
    <x:col min="13" max="13" width="19" hidden="0" customWidth="1"/>
    <x:col min="14" max="14" width="16" hidden="0" customWidth="1"/>
    <x:col min="15" max="15" width="15" hidden="0" customWidth="1"/>
    <x:col min="16" max="16" width="15" hidden="0" customWidth="1"/>
    <x:col min="17" max="17" width="14" hidden="0" customWidth="1"/>
  </x:cols>
  <x:sheetData>
    <x:row r="1" ht="34" customHeight="1">
      <x:c r="A1" s="119" t="str">
        <x:v>Commission Calc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</x:row>
    <x:row r="2" ht="23" customHeight="1">
      <x:c r="A2" s="120" t="str">
        <x:v>Formula-driven credited revenue, marginal tiers, bonuses, and payout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  <x:c r="M3" s="121"/>
      <x:c r="N3" s="121"/>
      <x:c r="O3" s="121"/>
      <x:c r="P3" s="121"/>
      <x:c r="Q3" s="121"/>
    </x:row>
    <x:row r="4">
      <x:c r="A4" s="153" t="str">
        <x:v>Rep ID</x:v>
      </x:c>
      <x:c r="B4" s="154" t="str">
        <x:v>Rep Name</x:v>
      </x:c>
      <x:c r="C4" s="154" t="str">
        <x:v>Segment</x:v>
      </x:c>
      <x:c r="D4" s="154" t="str">
        <x:v>Region</x:v>
      </x:c>
      <x:c r="E4" s="154" t="str">
        <x:v>Quota</x:v>
      </x:c>
      <x:c r="F4" s="154" t="str">
        <x:v>Approved Deals</x:v>
      </x:c>
      <x:c r="G4" s="154" t="str">
        <x:v>Gross Credited Revenue</x:v>
      </x:c>
      <x:c r="H4" s="154" t="str">
        <x:v>Credited Returns</x:v>
      </x:c>
      <x:c r="I4" s="154" t="str">
        <x:v>Net Commissionable Revenue</x:v>
      </x:c>
      <x:c r="J4" s="154" t="str">
        <x:v>Attainment</x:v>
      </x:c>
      <x:c r="K4" s="154" t="str">
        <x:v>Tier 1 Commission</x:v>
      </x:c>
      <x:c r="L4" s="154" t="str">
        <x:v>Tier 2 Commission</x:v>
      </x:c>
      <x:c r="M4" s="154" t="str">
        <x:v>Accelerator Commission</x:v>
      </x:c>
      <x:c r="N4" s="154" t="str">
        <x:v>Bonus Revenue</x:v>
      </x:c>
      <x:c r="O4" s="154" t="str">
        <x:v>Product Bonus</x:v>
      </x:c>
      <x:c r="P4" s="154" t="str">
        <x:v>Total Payout</x:v>
      </x:c>
      <x:c r="Q4" s="155" t="str">
        <x:v>Effective Rate</x:v>
      </x:c>
    </x:row>
    <x:row r="5">
      <x:c r="A5" s="164" t="str">
        <x:f>'Rep Master'!A5</x:f>
        <x:v>R01</x:v>
      </x:c>
      <x:c r="B5" s="165" t="str">
        <x:f>'Rep Master'!B5</x:f>
        <x:v>Maya Chen</x:v>
      </x:c>
      <x:c r="C5" s="165" t="str">
        <x:f>'Rep Master'!C5</x:f>
        <x:v>Enterprise</x:v>
      </x:c>
      <x:c r="D5" s="165" t="str">
        <x:f>'Rep Master'!D5</x:f>
        <x:v>North</x:v>
      </x:c>
      <x:c r="E5" s="166" t="n">
        <x:f>'Rep Master'!E5</x:f>
        <x:v>90000</x:v>
      </x:c>
      <x:c r="F5" s="167" t="n">
        <x:f>COUNTIFS('Sales Inputs'!$C$5:$C$244,A5,'Sales Inputs'!$M$5:$M$244,'Commission Rules'!$B$10)</x:f>
        <x:v>16</x:v>
      </x:c>
      <x:c r="G5" s="167" t="n">
        <x:f>SUMPRODUCT(('Sales Inputs'!$C$5:$C$244=A5)*('Sales Inputs'!$M$5:$M$244='Commission Rules'!$B$10)*'Sales Inputs'!$I$5:$I$244*'Sales Inputs'!$K$5:$K$244)</x:f>
        <x:v>71742</x:v>
      </x:c>
      <x:c r="H5" s="167" t="n">
        <x:f>SUMPRODUCT(('Sales Inputs'!$C$5:$C$244=A5)*('Sales Inputs'!$M$5:$M$244='Commission Rules'!$B$10)*'Sales Inputs'!$J$5:$J$244*'Sales Inputs'!$K$5:$K$244)</x:f>
        <x:v>616.32</x:v>
      </x:c>
      <x:c r="I5" s="167" t="n">
        <x:f>G5-H5</x:f>
        <x:v>71125.68</x:v>
      </x:c>
      <x:c r="J5" s="168" t="n">
        <x:f>IFERROR(I5/E5,0)</x:f>
        <x:v>0.7902853333333333</x:v>
      </x:c>
      <x:c r="K5" s="167" t="n">
        <x:f>MIN(I5,E5*'Commission Rules'!$B$5)*'Commission Rules'!$B$6</x:f>
        <x:v>2133.7704</x:v>
      </x:c>
      <x:c r="L5" s="167" t="n">
        <x:f>MAX(MIN(I5,E5)-E5*'Commission Rules'!$B$5,0)*'Commission Rules'!$B$7</x:f>
        <x:v>0</x:v>
      </x:c>
      <x:c r="M5" s="167" t="n">
        <x:f>MAX(I5-E5,0)*'Commission Rules'!$B$8</x:f>
        <x:v>0</x:v>
      </x:c>
      <x:c r="N5" s="167" t="n">
        <x:f>SUMPRODUCT(('Sales Inputs'!$C$5:$C$244=A5)*('Sales Inputs'!$M$5:$M$244='Commission Rules'!$B$10)*('Sales Inputs'!$L$5:$L$244="Yes")*('Sales Inputs'!$I$5:$I$244-'Sales Inputs'!$J$5:$J$244)*'Sales Inputs'!$K$5:$K$244)</x:f>
        <x:v>20188.68</x:v>
      </x:c>
      <x:c r="O5" s="167" t="n">
        <x:f>N5*'Commission Rules'!$B$9</x:f>
        <x:v>201.8868</x:v>
      </x:c>
      <x:c r="P5" s="167" t="n">
        <x:f>K5+L5+M5+O5</x:f>
        <x:v>2335.6571999999996</x:v>
      </x:c>
      <x:c r="Q5" s="169" t="n">
        <x:f>IFERROR(P5/I5,0)</x:f>
        <x:v>0.032838451597229014</x:v>
      </x:c>
    </x:row>
    <x:row r="6">
      <x:c r="A6" s="164" t="str">
        <x:f>'Rep Master'!A6</x:f>
        <x:v>R02</x:v>
      </x:c>
      <x:c r="B6" s="165" t="str">
        <x:f>'Rep Master'!B6</x:f>
        <x:v>Ethan Brooks</x:v>
      </x:c>
      <x:c r="C6" s="165" t="str">
        <x:f>'Rep Master'!C6</x:f>
        <x:v>Enterprise</x:v>
      </x:c>
      <x:c r="D6" s="165" t="str">
        <x:f>'Rep Master'!D6</x:f>
        <x:v>South</x:v>
      </x:c>
      <x:c r="E6" s="166" t="n">
        <x:f>'Rep Master'!E6</x:f>
        <x:v>85000</x:v>
      </x:c>
      <x:c r="F6" s="167" t="n">
        <x:f>COUNTIFS('Sales Inputs'!$C$5:$C$244,A6,'Sales Inputs'!$M$5:$M$244,'Commission Rules'!$B$10)</x:f>
        <x:v>16</x:v>
      </x:c>
      <x:c r="G6" s="167" t="n">
        <x:f>SUMPRODUCT(('Sales Inputs'!$C$5:$C$244=A6)*('Sales Inputs'!$M$5:$M$244='Commission Rules'!$B$10)*'Sales Inputs'!$I$5:$I$244*'Sales Inputs'!$K$5:$K$244)</x:f>
        <x:v>76611</x:v>
      </x:c>
      <x:c r="H6" s="167" t="n">
        <x:f>SUMPRODUCT(('Sales Inputs'!$C$5:$C$244=A6)*('Sales Inputs'!$M$5:$M$244='Commission Rules'!$B$10)*'Sales Inputs'!$J$5:$J$244*'Sales Inputs'!$K$5:$K$244)</x:f>
        <x:v>698.94</x:v>
      </x:c>
      <x:c r="I6" s="167" t="n">
        <x:f>G6-H6</x:f>
        <x:v>75912.06</x:v>
      </x:c>
      <x:c r="J6" s="168" t="n">
        <x:f>IFERROR(I6/E6,0)</x:f>
        <x:v>0.8930830588235293</x:v>
      </x:c>
      <x:c r="K6" s="167" t="n">
        <x:f>MIN(I6,E6*'Commission Rules'!$B$5)*'Commission Rules'!$B$6</x:f>
        <x:v>2040</x:v>
      </x:c>
      <x:c r="L6" s="167" t="n">
        <x:f>MAX(MIN(I6,E6)-E6*'Commission Rules'!$B$5,0)*'Commission Rules'!$B$7</x:f>
        <x:v>395.6029999999999</x:v>
      </x:c>
      <x:c r="M6" s="167" t="n">
        <x:f>MAX(I6-E6,0)*'Commission Rules'!$B$8</x:f>
        <x:v>0</x:v>
      </x:c>
      <x:c r="N6" s="167" t="n">
        <x:f>SUMPRODUCT(('Sales Inputs'!$C$5:$C$244=A6)*('Sales Inputs'!$M$5:$M$244='Commission Rules'!$B$10)*('Sales Inputs'!$L$5:$L$244="Yes")*('Sales Inputs'!$I$5:$I$244-'Sales Inputs'!$J$5:$J$244)*'Sales Inputs'!$K$5:$K$244)</x:f>
        <x:v>20788</x:v>
      </x:c>
      <x:c r="O6" s="167" t="n">
        <x:f>N6*'Commission Rules'!$B$9</x:f>
        <x:v>207.88</x:v>
      </x:c>
      <x:c r="P6" s="167" t="n">
        <x:f>K6+L6+M6+O6</x:f>
        <x:v>2643.483</x:v>
      </x:c>
      <x:c r="Q6" s="169" t="n">
        <x:f>IFERROR(P6/I6,0)</x:f>
        <x:v>0.03482296488858293</x:v>
      </x:c>
    </x:row>
    <x:row r="7">
      <x:c r="A7" s="164" t="str">
        <x:f>'Rep Master'!A7</x:f>
        <x:v>R03</x:v>
      </x:c>
      <x:c r="B7" s="165" t="str">
        <x:f>'Rep Master'!B7</x:f>
        <x:v>Sofia Patel</x:v>
      </x:c>
      <x:c r="C7" s="165" t="str">
        <x:f>'Rep Master'!C7</x:f>
        <x:v>Mid-Market</x:v>
      </x:c>
      <x:c r="D7" s="165" t="str">
        <x:f>'Rep Master'!D7</x:f>
        <x:v>East</x:v>
      </x:c>
      <x:c r="E7" s="166" t="n">
        <x:f>'Rep Master'!E7</x:f>
        <x:v>80000</x:v>
      </x:c>
      <x:c r="F7" s="167" t="n">
        <x:f>COUNTIFS('Sales Inputs'!$C$5:$C$244,A7,'Sales Inputs'!$M$5:$M$244,'Commission Rules'!$B$10)</x:f>
        <x:v>16</x:v>
      </x:c>
      <x:c r="G7" s="167" t="n">
        <x:f>SUMPRODUCT(('Sales Inputs'!$C$5:$C$244=A7)*('Sales Inputs'!$M$5:$M$244='Commission Rules'!$B$10)*'Sales Inputs'!$I$5:$I$244*'Sales Inputs'!$K$5:$K$244)</x:f>
        <x:v>79676.5</x:v>
      </x:c>
      <x:c r="H7" s="167" t="n">
        <x:f>SUMPRODUCT(('Sales Inputs'!$C$5:$C$244=A7)*('Sales Inputs'!$M$5:$M$244='Commission Rules'!$B$10)*'Sales Inputs'!$J$5:$J$244*'Sales Inputs'!$K$5:$K$244)</x:f>
        <x:v>1647.84</x:v>
      </x:c>
      <x:c r="I7" s="167" t="n">
        <x:f>G7-H7</x:f>
        <x:v>78028.66</x:v>
      </x:c>
      <x:c r="J7" s="168" t="n">
        <x:f>IFERROR(I7/E7,0)</x:f>
        <x:v>0.9753582500000001</x:v>
      </x:c>
      <x:c r="K7" s="167" t="n">
        <x:f>MIN(I7,E7*'Commission Rules'!$B$5)*'Commission Rules'!$B$6</x:f>
        <x:v>1920</x:v>
      </x:c>
      <x:c r="L7" s="167" t="n">
        <x:f>MAX(MIN(I7,E7)-E7*'Commission Rules'!$B$5,0)*'Commission Rules'!$B$7</x:f>
        <x:v>701.4330000000002</x:v>
      </x:c>
      <x:c r="M7" s="167" t="n">
        <x:f>MAX(I7-E7,0)*'Commission Rules'!$B$8</x:f>
        <x:v>0</x:v>
      </x:c>
      <x:c r="N7" s="167" t="n">
        <x:f>SUMPRODUCT(('Sales Inputs'!$C$5:$C$244=A7)*('Sales Inputs'!$M$5:$M$244='Commission Rules'!$B$10)*('Sales Inputs'!$L$5:$L$244="Yes")*('Sales Inputs'!$I$5:$I$244-'Sales Inputs'!$J$5:$J$244)*'Sales Inputs'!$K$5:$K$244)</x:f>
        <x:v>18596</x:v>
      </x:c>
      <x:c r="O7" s="167" t="n">
        <x:f>N7*'Commission Rules'!$B$9</x:f>
        <x:v>185.96</x:v>
      </x:c>
      <x:c r="P7" s="167" t="n">
        <x:f>K7+L7+M7+O7</x:f>
        <x:v>2807.393</x:v>
      </x:c>
      <x:c r="Q7" s="169" t="n">
        <x:f>IFERROR(P7/I7,0)</x:f>
        <x:v>0.03597899797330878</x:v>
      </x:c>
    </x:row>
    <x:row r="8">
      <x:c r="A8" s="164" t="str">
        <x:f>'Rep Master'!A8</x:f>
        <x:v>R04</x:v>
      </x:c>
      <x:c r="B8" s="165" t="str">
        <x:f>'Rep Master'!B8</x:f>
        <x:v>Noah Williams</x:v>
      </x:c>
      <x:c r="C8" s="165" t="str">
        <x:f>'Rep Master'!C8</x:f>
        <x:v>Mid-Market</x:v>
      </x:c>
      <x:c r="D8" s="165" t="str">
        <x:f>'Rep Master'!D8</x:f>
        <x:v>West</x:v>
      </x:c>
      <x:c r="E8" s="166" t="n">
        <x:f>'Rep Master'!E8</x:f>
        <x:v>78000</x:v>
      </x:c>
      <x:c r="F8" s="167" t="n">
        <x:f>COUNTIFS('Sales Inputs'!$C$5:$C$244,A8,'Sales Inputs'!$M$5:$M$244,'Commission Rules'!$B$10)</x:f>
        <x:v>16</x:v>
      </x:c>
      <x:c r="G8" s="167" t="n">
        <x:f>SUMPRODUCT(('Sales Inputs'!$C$5:$C$244=A8)*('Sales Inputs'!$M$5:$M$244='Commission Rules'!$B$10)*'Sales Inputs'!$I$5:$I$244*'Sales Inputs'!$K$5:$K$244)</x:f>
        <x:v>74838.75</x:v>
      </x:c>
      <x:c r="H8" s="167" t="n">
        <x:f>SUMPRODUCT(('Sales Inputs'!$C$5:$C$244=A8)*('Sales Inputs'!$M$5:$M$244='Commission Rules'!$B$10)*'Sales Inputs'!$J$5:$J$244*'Sales Inputs'!$K$5:$K$244)</x:f>
        <x:v>0</x:v>
      </x:c>
      <x:c r="I8" s="167" t="n">
        <x:f>G8-H8</x:f>
        <x:v>74838.75</x:v>
      </x:c>
      <x:c r="J8" s="168" t="n">
        <x:f>IFERROR(I8/E8,0)</x:f>
        <x:v>0.9594711538461539</x:v>
      </x:c>
      <x:c r="K8" s="167" t="n">
        <x:f>MIN(I8,E8*'Commission Rules'!$B$5)*'Commission Rules'!$B$6</x:f>
        <x:v>1872</x:v>
      </x:c>
      <x:c r="L8" s="167" t="n">
        <x:f>MAX(MIN(I8,E8)-E8*'Commission Rules'!$B$5,0)*'Commission Rules'!$B$7</x:f>
        <x:v>621.9375</x:v>
      </x:c>
      <x:c r="M8" s="167" t="n">
        <x:f>MAX(I8-E8,0)*'Commission Rules'!$B$8</x:f>
        <x:v>0</x:v>
      </x:c>
      <x:c r="N8" s="167" t="n">
        <x:f>SUMPRODUCT(('Sales Inputs'!$C$5:$C$244=A8)*('Sales Inputs'!$M$5:$M$244='Commission Rules'!$B$10)*('Sales Inputs'!$L$5:$L$244="Yes")*('Sales Inputs'!$I$5:$I$244-'Sales Inputs'!$J$5:$J$244)*'Sales Inputs'!$K$5:$K$244)</x:f>
        <x:v>17400</x:v>
      </x:c>
      <x:c r="O8" s="167" t="n">
        <x:f>N8*'Commission Rules'!$B$9</x:f>
        <x:v>174</x:v>
      </x:c>
      <x:c r="P8" s="167" t="n">
        <x:f>K8+L8+M8+O8</x:f>
        <x:v>2667.9375</x:v>
      </x:c>
      <x:c r="Q8" s="169" t="n">
        <x:f>IFERROR(P8/I8,0)</x:f>
        <x:v>0.03564914566317583</x:v>
      </x:c>
    </x:row>
    <x:row r="9">
      <x:c r="A9" s="164" t="str">
        <x:f>'Rep Master'!A9</x:f>
        <x:v>R05</x:v>
      </x:c>
      <x:c r="B9" s="165" t="str">
        <x:f>'Rep Master'!B9</x:f>
        <x:v>Lina Haddad</x:v>
      </x:c>
      <x:c r="C9" s="165" t="str">
        <x:f>'Rep Master'!C9</x:f>
        <x:v>SMB</x:v>
      </x:c>
      <x:c r="D9" s="165" t="str">
        <x:f>'Rep Master'!D9</x:f>
        <x:v>North</x:v>
      </x:c>
      <x:c r="E9" s="166" t="n">
        <x:f>'Rep Master'!E9</x:f>
        <x:v>62000</x:v>
      </x:c>
      <x:c r="F9" s="167" t="n">
        <x:f>COUNTIFS('Sales Inputs'!$C$5:$C$244,A9,'Sales Inputs'!$M$5:$M$244,'Commission Rules'!$B$10)</x:f>
        <x:v>16</x:v>
      </x:c>
      <x:c r="G9" s="167" t="n">
        <x:f>SUMPRODUCT(('Sales Inputs'!$C$5:$C$244=A9)*('Sales Inputs'!$M$5:$M$244='Commission Rules'!$B$10)*'Sales Inputs'!$I$5:$I$244*'Sales Inputs'!$K$5:$K$244)</x:f>
        <x:v>75705.25</x:v>
      </x:c>
      <x:c r="H9" s="167" t="n">
        <x:f>SUMPRODUCT(('Sales Inputs'!$C$5:$C$244=A9)*('Sales Inputs'!$M$5:$M$244='Commission Rules'!$B$10)*'Sales Inputs'!$J$5:$J$244*'Sales Inputs'!$K$5:$K$244)</x:f>
        <x:v>0</x:v>
      </x:c>
      <x:c r="I9" s="167" t="n">
        <x:f>G9-H9</x:f>
        <x:v>75705.25</x:v>
      </x:c>
      <x:c r="J9" s="168" t="n">
        <x:f>IFERROR(I9/E9,0)</x:f>
        <x:v>1.2210524193548387</x:v>
      </x:c>
      <x:c r="K9" s="167" t="n">
        <x:f>MIN(I9,E9*'Commission Rules'!$B$5)*'Commission Rules'!$B$6</x:f>
        <x:v>1488</x:v>
      </x:c>
      <x:c r="L9" s="167" t="n">
        <x:f>MAX(MIN(I9,E9)-E9*'Commission Rules'!$B$5,0)*'Commission Rules'!$B$7</x:f>
        <x:v>620</x:v>
      </x:c>
      <x:c r="M9" s="167" t="n">
        <x:f>MAX(I9-E9,0)*'Commission Rules'!$B$8</x:f>
        <x:v>1096.42</x:v>
      </x:c>
      <x:c r="N9" s="167" t="n">
        <x:f>SUMPRODUCT(('Sales Inputs'!$C$5:$C$244=A9)*('Sales Inputs'!$M$5:$M$244='Commission Rules'!$B$10)*('Sales Inputs'!$L$5:$L$244="Yes")*('Sales Inputs'!$I$5:$I$244-'Sales Inputs'!$J$5:$J$244)*'Sales Inputs'!$K$5:$K$244)</x:f>
        <x:v>13712</x:v>
      </x:c>
      <x:c r="O9" s="167" t="n">
        <x:f>N9*'Commission Rules'!$B$9</x:f>
        <x:v>137.12</x:v>
      </x:c>
      <x:c r="P9" s="167" t="n">
        <x:f>K9+L9+M9+O9</x:f>
        <x:v>3341.54</x:v>
      </x:c>
      <x:c r="Q9" s="169" t="n">
        <x:f>IFERROR(P9/I9,0)</x:f>
        <x:v>0.04413881467929899</x:v>
      </x:c>
    </x:row>
    <x:row r="10">
      <x:c r="A10" s="164" t="str">
        <x:f>'Rep Master'!A10</x:f>
        <x:v>R06</x:v>
      </x:c>
      <x:c r="B10" s="165" t="str">
        <x:f>'Rep Master'!B10</x:f>
        <x:v>Lucas Martin</x:v>
      </x:c>
      <x:c r="C10" s="165" t="str">
        <x:f>'Rep Master'!C10</x:f>
        <x:v>SMB</x:v>
      </x:c>
      <x:c r="D10" s="165" t="str">
        <x:f>'Rep Master'!D10</x:f>
        <x:v>South</x:v>
      </x:c>
      <x:c r="E10" s="166" t="n">
        <x:f>'Rep Master'!E10</x:f>
        <x:v>68000</x:v>
      </x:c>
      <x:c r="F10" s="167" t="n">
        <x:f>COUNTIFS('Sales Inputs'!$C$5:$C$244,A10,'Sales Inputs'!$M$5:$M$244,'Commission Rules'!$B$10)</x:f>
        <x:v>16</x:v>
      </x:c>
      <x:c r="G10" s="167" t="n">
        <x:f>SUMPRODUCT(('Sales Inputs'!$C$5:$C$244=A10)*('Sales Inputs'!$M$5:$M$244='Commission Rules'!$B$10)*'Sales Inputs'!$I$5:$I$244*'Sales Inputs'!$K$5:$K$244)</x:f>
        <x:v>82038.75</x:v>
      </x:c>
      <x:c r="H10" s="167" t="n">
        <x:f>SUMPRODUCT(('Sales Inputs'!$C$5:$C$244=A10)*('Sales Inputs'!$M$5:$M$244='Commission Rules'!$B$10)*'Sales Inputs'!$J$5:$J$244*'Sales Inputs'!$K$5:$K$244)</x:f>
        <x:v>1978.32</x:v>
      </x:c>
      <x:c r="I10" s="167" t="n">
        <x:f>G10-H10</x:f>
        <x:v>80060.43</x:v>
      </x:c>
      <x:c r="J10" s="168" t="n">
        <x:f>IFERROR(I10/E10,0)</x:f>
        <x:v>1.1773592647058821</x:v>
      </x:c>
      <x:c r="K10" s="167" t="n">
        <x:f>MIN(I10,E10*'Commission Rules'!$B$5)*'Commission Rules'!$B$6</x:f>
        <x:v>1632</x:v>
      </x:c>
      <x:c r="L10" s="167" t="n">
        <x:f>MAX(MIN(I10,E10)-E10*'Commission Rules'!$B$5,0)*'Commission Rules'!$B$7</x:f>
        <x:v>680</x:v>
      </x:c>
      <x:c r="M10" s="167" t="n">
        <x:f>MAX(I10-E10,0)*'Commission Rules'!$B$8</x:f>
        <x:v>964.8343999999995</x:v>
      </x:c>
      <x:c r="N10" s="167" t="n">
        <x:f>SUMPRODUCT(('Sales Inputs'!$C$5:$C$244=A10)*('Sales Inputs'!$M$5:$M$244='Commission Rules'!$B$10)*('Sales Inputs'!$L$5:$L$244="Yes")*('Sales Inputs'!$I$5:$I$244-'Sales Inputs'!$J$5:$J$244)*'Sales Inputs'!$K$5:$K$244)</x:f>
        <x:v>21816.75</x:v>
      </x:c>
      <x:c r="O10" s="167" t="n">
        <x:f>N10*'Commission Rules'!$B$9</x:f>
        <x:v>218.16750000000002</x:v>
      </x:c>
      <x:c r="P10" s="167" t="n">
        <x:f>K10+L10+M10+O10</x:f>
        <x:v>3495.0018999999998</x:v>
      </x:c>
      <x:c r="Q10" s="169" t="n">
        <x:f>IFERROR(P10/I10,0)</x:f>
        <x:v>0.04365454819565671</x:v>
      </x:c>
    </x:row>
    <x:row r="11">
      <x:c r="A11" s="164" t="str">
        <x:f>'Rep Master'!A11</x:f>
        <x:v>R07</x:v>
      </x:c>
      <x:c r="B11" s="165" t="str">
        <x:f>'Rep Master'!B11</x:f>
        <x:v>Aylin Demir</x:v>
      </x:c>
      <x:c r="C11" s="165" t="str">
        <x:f>'Rep Master'!C11</x:f>
        <x:v>Enterprise</x:v>
      </x:c>
      <x:c r="D11" s="165" t="str">
        <x:f>'Rep Master'!D11</x:f>
        <x:v>East</x:v>
      </x:c>
      <x:c r="E11" s="166" t="n">
        <x:f>'Rep Master'!E11</x:f>
        <x:v>100000</x:v>
      </x:c>
      <x:c r="F11" s="167" t="n">
        <x:f>COUNTIFS('Sales Inputs'!$C$5:$C$244,A11,'Sales Inputs'!$M$5:$M$244,'Commission Rules'!$B$10)</x:f>
        <x:v>16</x:v>
      </x:c>
      <x:c r="G11" s="167" t="n">
        <x:f>SUMPRODUCT(('Sales Inputs'!$C$5:$C$244=A11)*('Sales Inputs'!$M$5:$M$244='Commission Rules'!$B$10)*'Sales Inputs'!$I$5:$I$244*'Sales Inputs'!$K$5:$K$244)</x:f>
        <x:v>79850.25</x:v>
      </x:c>
      <x:c r="H11" s="167" t="n">
        <x:f>SUMPRODUCT(('Sales Inputs'!$C$5:$C$244=A11)*('Sales Inputs'!$M$5:$M$244='Commission Rules'!$B$10)*'Sales Inputs'!$J$5:$J$244*'Sales Inputs'!$K$5:$K$244)</x:f>
        <x:v>335.16</x:v>
      </x:c>
      <x:c r="I11" s="167" t="n">
        <x:f>G11-H11</x:f>
        <x:v>79515.09</x:v>
      </x:c>
      <x:c r="J11" s="168" t="n">
        <x:f>IFERROR(I11/E11,0)</x:f>
        <x:v>0.7951509</x:v>
      </x:c>
      <x:c r="K11" s="167" t="n">
        <x:f>MIN(I11,E11*'Commission Rules'!$B$5)*'Commission Rules'!$B$6</x:f>
        <x:v>2385.4527</x:v>
      </x:c>
      <x:c r="L11" s="167" t="n">
        <x:f>MAX(MIN(I11,E11)-E11*'Commission Rules'!$B$5,0)*'Commission Rules'!$B$7</x:f>
        <x:v>0</x:v>
      </x:c>
      <x:c r="M11" s="167" t="n">
        <x:f>MAX(I11-E11,0)*'Commission Rules'!$B$8</x:f>
        <x:v>0</x:v>
      </x:c>
      <x:c r="N11" s="167" t="n">
        <x:f>SUMPRODUCT(('Sales Inputs'!$C$5:$C$244=A11)*('Sales Inputs'!$M$5:$M$244='Commission Rules'!$B$10)*('Sales Inputs'!$L$5:$L$244="Yes")*('Sales Inputs'!$I$5:$I$244-'Sales Inputs'!$J$5:$J$244)*'Sales Inputs'!$K$5:$K$244)</x:f>
        <x:v>20712.75</x:v>
      </x:c>
      <x:c r="O11" s="167" t="n">
        <x:f>N11*'Commission Rules'!$B$9</x:f>
        <x:v>207.1275</x:v>
      </x:c>
      <x:c r="P11" s="167" t="n">
        <x:f>K11+L11+M11+O11</x:f>
        <x:v>2592.5802</x:v>
      </x:c>
      <x:c r="Q11" s="169" t="n">
        <x:f>IFERROR(P11/I11,0)</x:f>
        <x:v>0.03260488292222269</x:v>
      </x:c>
    </x:row>
    <x:row r="12">
      <x:c r="A12" s="164" t="str">
        <x:f>'Rep Master'!A12</x:f>
        <x:v>R08</x:v>
      </x:c>
      <x:c r="B12" s="165" t="str">
        <x:f>'Rep Master'!B12</x:f>
        <x:v>Owen Taylor</x:v>
      </x:c>
      <x:c r="C12" s="165" t="str">
        <x:f>'Rep Master'!C12</x:f>
        <x:v>Mid-Market</x:v>
      </x:c>
      <x:c r="D12" s="165" t="str">
        <x:f>'Rep Master'!D12</x:f>
        <x:v>North</x:v>
      </x:c>
      <x:c r="E12" s="166" t="n">
        <x:f>'Rep Master'!E12</x:f>
        <x:v>80000</x:v>
      </x:c>
      <x:c r="F12" s="167" t="n">
        <x:f>COUNTIFS('Sales Inputs'!$C$5:$C$244,A12,'Sales Inputs'!$M$5:$M$244,'Commission Rules'!$B$10)</x:f>
        <x:v>16</x:v>
      </x:c>
      <x:c r="G12" s="167" t="n">
        <x:f>SUMPRODUCT(('Sales Inputs'!$C$5:$C$244=A12)*('Sales Inputs'!$M$5:$M$244='Commission Rules'!$B$10)*'Sales Inputs'!$I$5:$I$244*'Sales Inputs'!$K$5:$K$244)</x:f>
        <x:v>82532</x:v>
      </x:c>
      <x:c r="H12" s="167" t="n">
        <x:f>SUMPRODUCT(('Sales Inputs'!$C$5:$C$244=A12)*('Sales Inputs'!$M$5:$M$244='Commission Rules'!$B$10)*'Sales Inputs'!$J$5:$J$244*'Sales Inputs'!$K$5:$K$244)</x:f>
        <x:v>1039.68</x:v>
      </x:c>
      <x:c r="I12" s="167" t="n">
        <x:f>G12-H12</x:f>
        <x:v>81492.32</x:v>
      </x:c>
      <x:c r="J12" s="168" t="n">
        <x:f>IFERROR(I12/E12,0)</x:f>
        <x:v>1.0186540000000002</x:v>
      </x:c>
      <x:c r="K12" s="167" t="n">
        <x:f>MIN(I12,E12*'Commission Rules'!$B$5)*'Commission Rules'!$B$6</x:f>
        <x:v>1920</x:v>
      </x:c>
      <x:c r="L12" s="167" t="n">
        <x:f>MAX(MIN(I12,E12)-E12*'Commission Rules'!$B$5,0)*'Commission Rules'!$B$7</x:f>
        <x:v>800</x:v>
      </x:c>
      <x:c r="M12" s="167" t="n">
        <x:f>MAX(I12-E12,0)*'Commission Rules'!$B$8</x:f>
        <x:v>119.38560000000057</x:v>
      </x:c>
      <x:c r="N12" s="167" t="n">
        <x:f>SUMPRODUCT(('Sales Inputs'!$C$5:$C$244=A12)*('Sales Inputs'!$M$5:$M$244='Commission Rules'!$B$10)*('Sales Inputs'!$L$5:$L$244="Yes")*('Sales Inputs'!$I$5:$I$244-'Sales Inputs'!$J$5:$J$244)*'Sales Inputs'!$K$5:$K$244)</x:f>
        <x:v>19057</x:v>
      </x:c>
      <x:c r="O12" s="167" t="n">
        <x:f>N12*'Commission Rules'!$B$9</x:f>
        <x:v>190.57</x:v>
      </x:c>
      <x:c r="P12" s="167" t="n">
        <x:f>K12+L12+M12+O12</x:f>
        <x:v>3029.9556000000007</x:v>
      </x:c>
      <x:c r="Q12" s="169" t="n">
        <x:f>IFERROR(P12/I12,0)</x:f>
        <x:v>0.0371808729951485</x:v>
      </x:c>
    </x:row>
    <x:row r="13">
      <x:c r="A13" s="164" t="str">
        <x:f>'Rep Master'!A13</x:f>
        <x:v>R09</x:v>
      </x:c>
      <x:c r="B13" s="165" t="str">
        <x:f>'Rep Master'!B13</x:f>
        <x:v>Sara Kim</x:v>
      </x:c>
      <x:c r="C13" s="165" t="str">
        <x:f>'Rep Master'!C13</x:f>
        <x:v>SMB</x:v>
      </x:c>
      <x:c r="D13" s="165" t="str">
        <x:f>'Rep Master'!D13</x:f>
        <x:v>West</x:v>
      </x:c>
      <x:c r="E13" s="166" t="n">
        <x:f>'Rep Master'!E13</x:f>
        <x:v>70000</x:v>
      </x:c>
      <x:c r="F13" s="167" t="n">
        <x:f>COUNTIFS('Sales Inputs'!$C$5:$C$244,A13,'Sales Inputs'!$M$5:$M$244,'Commission Rules'!$B$10)</x:f>
        <x:v>16</x:v>
      </x:c>
      <x:c r="G13" s="167" t="n">
        <x:f>SUMPRODUCT(('Sales Inputs'!$C$5:$C$244=A13)*('Sales Inputs'!$M$5:$M$244='Commission Rules'!$B$10)*'Sales Inputs'!$I$5:$I$244*'Sales Inputs'!$K$5:$K$244)</x:f>
        <x:v>81694</x:v>
      </x:c>
      <x:c r="H13" s="167" t="n">
        <x:f>SUMPRODUCT(('Sales Inputs'!$C$5:$C$244=A13)*('Sales Inputs'!$M$5:$M$244='Commission Rules'!$B$10)*'Sales Inputs'!$J$5:$J$244*'Sales Inputs'!$K$5:$K$244)</x:f>
        <x:v>1193.52</x:v>
      </x:c>
      <x:c r="I13" s="167" t="n">
        <x:f>G13-H13</x:f>
        <x:v>80500.48</x:v>
      </x:c>
      <x:c r="J13" s="168" t="n">
        <x:f>IFERROR(I13/E13,0)</x:f>
        <x:v>1.150006857142857</x:v>
      </x:c>
      <x:c r="K13" s="167" t="n">
        <x:f>MIN(I13,E13*'Commission Rules'!$B$5)*'Commission Rules'!$B$6</x:f>
        <x:v>1680</x:v>
      </x:c>
      <x:c r="L13" s="167" t="n">
        <x:f>MAX(MIN(I13,E13)-E13*'Commission Rules'!$B$5,0)*'Commission Rules'!$B$7</x:f>
        <x:v>700</x:v>
      </x:c>
      <x:c r="M13" s="167" t="n">
        <x:f>MAX(I13-E13,0)*'Commission Rules'!$B$8</x:f>
        <x:v>840.0383999999997</x:v>
      </x:c>
      <x:c r="N13" s="167" t="n">
        <x:f>SUMPRODUCT(('Sales Inputs'!$C$5:$C$244=A13)*('Sales Inputs'!$M$5:$M$244='Commission Rules'!$B$10)*('Sales Inputs'!$L$5:$L$244="Yes")*('Sales Inputs'!$I$5:$I$244-'Sales Inputs'!$J$5:$J$244)*'Sales Inputs'!$K$5:$K$244)</x:f>
        <x:v>20327</x:v>
      </x:c>
      <x:c r="O13" s="167" t="n">
        <x:f>N13*'Commission Rules'!$B$9</x:f>
        <x:v>203.27</x:v>
      </x:c>
      <x:c r="P13" s="167" t="n">
        <x:f>K13+L13+M13+O13</x:f>
        <x:v>3423.3083999999994</x:v>
      </x:c>
      <x:c r="Q13" s="169" t="n">
        <x:f>IFERROR(P13/I13,0)</x:f>
        <x:v>0.04252531661923009</x:v>
      </x:c>
    </x:row>
    <x:row r="14">
      <x:c r="A14" s="164" t="str">
        <x:f>'Rep Master'!A14</x:f>
        <x:v>R10</x:v>
      </x:c>
      <x:c r="B14" s="165" t="str">
        <x:f>'Rep Master'!B14</x:f>
        <x:v>Daniel Ruiz</x:v>
      </x:c>
      <x:c r="C14" s="165" t="str">
        <x:f>'Rep Master'!C14</x:f>
        <x:v>Enterprise</x:v>
      </x:c>
      <x:c r="D14" s="165" t="str">
        <x:f>'Rep Master'!D14</x:f>
        <x:v>West</x:v>
      </x:c>
      <x:c r="E14" s="166" t="n">
        <x:f>'Rep Master'!E14</x:f>
        <x:v>95000</x:v>
      </x:c>
      <x:c r="F14" s="167" t="n">
        <x:f>COUNTIFS('Sales Inputs'!$C$5:$C$244,A14,'Sales Inputs'!$M$5:$M$244,'Commission Rules'!$B$10)</x:f>
        <x:v>16</x:v>
      </x:c>
      <x:c r="G14" s="167" t="n">
        <x:f>SUMPRODUCT(('Sales Inputs'!$C$5:$C$244=A14)*('Sales Inputs'!$M$5:$M$244='Commission Rules'!$B$10)*'Sales Inputs'!$I$5:$I$244*'Sales Inputs'!$K$5:$K$244)</x:f>
        <x:v>78670.5</x:v>
      </x:c>
      <x:c r="H14" s="167" t="n">
        <x:f>SUMPRODUCT(('Sales Inputs'!$C$5:$C$244=A14)*('Sales Inputs'!$M$5:$M$244='Commission Rules'!$B$10)*'Sales Inputs'!$J$5:$J$244*'Sales Inputs'!$K$5:$K$244)</x:f>
        <x:v>806.76</x:v>
      </x:c>
      <x:c r="I14" s="167" t="n">
        <x:f>G14-H14</x:f>
        <x:v>77863.74</x:v>
      </x:c>
      <x:c r="J14" s="168" t="n">
        <x:f>IFERROR(I14/E14,0)</x:f>
        <x:v>0.8196183157894738</x:v>
      </x:c>
      <x:c r="K14" s="167" t="n">
        <x:f>MIN(I14,E14*'Commission Rules'!$B$5)*'Commission Rules'!$B$6</x:f>
        <x:v>2280</x:v>
      </x:c>
      <x:c r="L14" s="167" t="n">
        <x:f>MAX(MIN(I14,E14)-E14*'Commission Rules'!$B$5,0)*'Commission Rules'!$B$7</x:f>
        <x:v>93.18700000000027</x:v>
      </x:c>
      <x:c r="M14" s="167" t="n">
        <x:f>MAX(I14-E14,0)*'Commission Rules'!$B$8</x:f>
        <x:v>0</x:v>
      </x:c>
      <x:c r="N14" s="167" t="n">
        <x:f>SUMPRODUCT(('Sales Inputs'!$C$5:$C$244=A14)*('Sales Inputs'!$M$5:$M$244='Commission Rules'!$B$10)*('Sales Inputs'!$L$5:$L$244="Yes")*('Sales Inputs'!$I$5:$I$244-'Sales Inputs'!$J$5:$J$244)*'Sales Inputs'!$K$5:$K$244)</x:f>
        <x:v>19918.5</x:v>
      </x:c>
      <x:c r="O14" s="167" t="n">
        <x:f>N14*'Commission Rules'!$B$9</x:f>
        <x:v>199.185</x:v>
      </x:c>
      <x:c r="P14" s="167" t="n">
        <x:f>K14+L14+M14+O14</x:f>
        <x:v>2572.3720000000003</x:v>
      </x:c>
      <x:c r="Q14" s="169" t="n">
        <x:f>IFERROR(P14/I14,0)</x:f>
        <x:v>0.0330368410251036</x:v>
      </x:c>
    </x:row>
    <x:row r="15">
      <x:c r="A15" s="164" t="str">
        <x:f>'Rep Master'!A15</x:f>
        <x:v>R11</x:v>
      </x:c>
      <x:c r="B15" s="165" t="str">
        <x:f>'Rep Master'!B15</x:f>
        <x:v>Elif Kaya</x:v>
      </x:c>
      <x:c r="C15" s="165" t="str">
        <x:f>'Rep Master'!C15</x:f>
        <x:v>Mid-Market</x:v>
      </x:c>
      <x:c r="D15" s="165" t="str">
        <x:f>'Rep Master'!D15</x:f>
        <x:v>South</x:v>
      </x:c>
      <x:c r="E15" s="166" t="n">
        <x:f>'Rep Master'!E15</x:f>
        <x:v>82000</x:v>
      </x:c>
      <x:c r="F15" s="167" t="n">
        <x:f>COUNTIFS('Sales Inputs'!$C$5:$C$244,A15,'Sales Inputs'!$M$5:$M$244,'Commission Rules'!$B$10)</x:f>
        <x:v>16</x:v>
      </x:c>
      <x:c r="G15" s="167" t="n">
        <x:f>SUMPRODUCT(('Sales Inputs'!$C$5:$C$244=A15)*('Sales Inputs'!$M$5:$M$244='Commission Rules'!$B$10)*'Sales Inputs'!$I$5:$I$244*'Sales Inputs'!$K$5:$K$244)</x:f>
        <x:v>77512.5</x:v>
      </x:c>
      <x:c r="H15" s="167" t="n">
        <x:f>SUMPRODUCT(('Sales Inputs'!$C$5:$C$244=A15)*('Sales Inputs'!$M$5:$M$244='Commission Rules'!$B$10)*'Sales Inputs'!$J$5:$J$244*'Sales Inputs'!$K$5:$K$244)</x:f>
        <x:v>1738.62</x:v>
      </x:c>
      <x:c r="I15" s="167" t="n">
        <x:f>G15-H15</x:f>
        <x:v>75773.88</x:v>
      </x:c>
      <x:c r="J15" s="168" t="n">
        <x:f>IFERROR(I15/E15,0)</x:f>
        <x:v>0.9240717073170732</x:v>
      </x:c>
      <x:c r="K15" s="167" t="n">
        <x:f>MIN(I15,E15*'Commission Rules'!$B$5)*'Commission Rules'!$B$6</x:f>
        <x:v>1968</x:v>
      </x:c>
      <x:c r="L15" s="167" t="n">
        <x:f>MAX(MIN(I15,E15)-E15*'Commission Rules'!$B$5,0)*'Commission Rules'!$B$7</x:f>
        <x:v>508.69400000000024</x:v>
      </x:c>
      <x:c r="M15" s="167" t="n">
        <x:f>MAX(I15-E15,0)*'Commission Rules'!$B$8</x:f>
        <x:v>0</x:v>
      </x:c>
      <x:c r="N15" s="167" t="n">
        <x:f>SUMPRODUCT(('Sales Inputs'!$C$5:$C$244=A15)*('Sales Inputs'!$M$5:$M$244='Commission Rules'!$B$10)*('Sales Inputs'!$L$5:$L$244="Yes")*('Sales Inputs'!$I$5:$I$244-'Sales Inputs'!$J$5:$J$244)*'Sales Inputs'!$K$5:$K$244)</x:f>
        <x:v>22851.46</x:v>
      </x:c>
      <x:c r="O15" s="167" t="n">
        <x:f>N15*'Commission Rules'!$B$9</x:f>
        <x:v>228.5146</x:v>
      </x:c>
      <x:c r="P15" s="167" t="n">
        <x:f>K15+L15+M15+O15</x:f>
        <x:v>2705.2086000000004</x:v>
      </x:c>
      <x:c r="Q15" s="169" t="n">
        <x:f>IFERROR(P15/I15,0)</x:f>
        <x:v>0.03570107007850199</x:v>
      </x:c>
    </x:row>
    <x:row r="16">
      <x:c r="A16" s="170" t="str">
        <x:f>'Rep Master'!A16</x:f>
        <x:v>R12</x:v>
      </x:c>
      <x:c r="B16" s="171" t="str">
        <x:f>'Rep Master'!B16</x:f>
        <x:v>Jon Bell</x:v>
      </x:c>
      <x:c r="C16" s="171" t="str">
        <x:f>'Rep Master'!C16</x:f>
        <x:v>SMB</x:v>
      </x:c>
      <x:c r="D16" s="171" t="str">
        <x:f>'Rep Master'!D16</x:f>
        <x:v>East</x:v>
      </x:c>
      <x:c r="E16" s="172" t="n">
        <x:f>'Rep Master'!E16</x:f>
        <x:v>65000</x:v>
      </x:c>
      <x:c r="F16" s="173" t="n">
        <x:f>COUNTIFS('Sales Inputs'!$C$5:$C$244,A16,'Sales Inputs'!$M$5:$M$244,'Commission Rules'!$B$10)</x:f>
        <x:v>16</x:v>
      </x:c>
      <x:c r="G16" s="173" t="n">
        <x:f>SUMPRODUCT(('Sales Inputs'!$C$5:$C$244=A16)*('Sales Inputs'!$M$5:$M$244='Commission Rules'!$B$10)*'Sales Inputs'!$I$5:$I$244*'Sales Inputs'!$K$5:$K$244)</x:f>
        <x:v>74067.5</x:v>
      </x:c>
      <x:c r="H16" s="173" t="n">
        <x:f>SUMPRODUCT(('Sales Inputs'!$C$5:$C$244=A16)*('Sales Inputs'!$M$5:$M$244='Commission Rules'!$B$10)*'Sales Inputs'!$J$5:$J$244*'Sales Inputs'!$K$5:$K$244)</x:f>
        <x:v>408.72</x:v>
      </x:c>
      <x:c r="I16" s="173" t="n">
        <x:f>G16-H16</x:f>
        <x:v>73658.78</x:v>
      </x:c>
      <x:c r="J16" s="174" t="n">
        <x:f>IFERROR(I16/E16,0)</x:f>
        <x:v>1.1332119999999999</x:v>
      </x:c>
      <x:c r="K16" s="173" t="n">
        <x:f>MIN(I16,E16*'Commission Rules'!$B$5)*'Commission Rules'!$B$6</x:f>
        <x:v>1560</x:v>
      </x:c>
      <x:c r="L16" s="173" t="n">
        <x:f>MAX(MIN(I16,E16)-E16*'Commission Rules'!$B$5,0)*'Commission Rules'!$B$7</x:f>
        <x:v>650</x:v>
      </x:c>
      <x:c r="M16" s="173" t="n">
        <x:f>MAX(I16-E16,0)*'Commission Rules'!$B$8</x:f>
        <x:v>692.7023999999999</x:v>
      </x:c>
      <x:c r="N16" s="173" t="n">
        <x:f>SUMPRODUCT(('Sales Inputs'!$C$5:$C$244=A16)*('Sales Inputs'!$M$5:$M$244='Commission Rules'!$B$10)*('Sales Inputs'!$L$5:$L$244="Yes")*('Sales Inputs'!$I$5:$I$244-'Sales Inputs'!$J$5:$J$244)*'Sales Inputs'!$K$5:$K$244)</x:f>
        <x:v>16567.28</x:v>
      </x:c>
      <x:c r="O16" s="173" t="n">
        <x:f>N16*'Commission Rules'!$B$9</x:f>
        <x:v>165.6728</x:v>
      </x:c>
      <x:c r="P16" s="173" t="n">
        <x:f>K16+L16+M16+O16</x:f>
        <x:v>3068.3752</x:v>
      </x:c>
      <x:c r="Q16" s="175" t="n">
        <x:f>IFERROR(P16/I16,0)</x:f>
        <x:v>0.041656611744044635</x:v>
      </x:c>
    </x:row>
  </x:sheetData>
  <x:mergeCells>
    <x:mergeCell ref="A1:Q1"/>
    <x:mergeCell ref="A2:Q2"/>
  </x:mergeCells>
  <x:conditionalFormatting sqref="J5:J16">
    <x:cfRule type="colorScale" priority="1">
      <x:colorScale>
        <x:cfvo type="min"/>
        <x:cfvo type="percentile" val="50"/>
        <x:cfvo type="max"/>
        <x:color rgb="FFFCE8E6"/>
        <x:color rgb="FFFFF1D6"/>
        <x:color rgb="FFE6F4E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21" hidden="0" customWidth="1"/>
    <x:col min="5" max="5" width="14" hidden="0" customWidth="1"/>
    <x:col min="6" max="6" width="12" hidden="0" customWidth="1"/>
    <x:col min="7" max="7" width="20" hidden="0" customWidth="1"/>
    <x:col min="8" max="8" width="14" hidden="0" customWidth="1"/>
    <x:col min="9" max="9" width="15" hidden="0" customWidth="1"/>
    <x:col min="10" max="10" width="12" hidden="0" customWidth="1"/>
    <x:col min="11" max="11" width="10" hidden="0" customWidth="1"/>
    <x:col min="12" max="12" width="14" hidden="0" customWidth="1"/>
    <x:col min="13" max="13" width="15" hidden="0" customWidth="1"/>
    <x:col min="14" max="14" width="14" hidden="0" customWidth="1"/>
  </x:cols>
  <x:sheetData>
    <x:row r="1" ht="34" customHeight="1">
      <x:c r="A1" s="119" t="str">
        <x:v>Sales Inputs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</x:row>
    <x:row r="2" ht="23" customHeight="1">
      <x:c r="A2" s="120" t="str">
        <x:v>One row per credited deal | Yellow cells are editable | July 2026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  <x:c r="N2" s="120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  <x:c r="M3" s="121"/>
      <x:c r="N3" s="121"/>
    </x:row>
    <x:row r="4">
      <x:c r="A4" s="153" t="str">
        <x:v>Deal ID</x:v>
      </x:c>
      <x:c r="B4" s="154" t="str">
        <x:v>Close Date</x:v>
      </x:c>
      <x:c r="C4" s="154" t="str">
        <x:v>Rep ID</x:v>
      </x:c>
      <x:c r="D4" s="154" t="str">
        <x:v>Rep Name</x:v>
      </x:c>
      <x:c r="E4" s="154" t="str">
        <x:v>Segment</x:v>
      </x:c>
      <x:c r="F4" s="154" t="str">
        <x:v>Region</x:v>
      </x:c>
      <x:c r="G4" s="154" t="str">
        <x:v>Product</x:v>
      </x:c>
      <x:c r="H4" s="154" t="str">
        <x:v>Product Type</x:v>
      </x:c>
      <x:c r="I4" s="154" t="str">
        <x:v>Gross Revenue</x:v>
      </x:c>
      <x:c r="J4" s="154" t="str">
        <x:v>Returns</x:v>
      </x:c>
      <x:c r="K4" s="154" t="str">
        <x:v>Credit %</x:v>
      </x:c>
      <x:c r="L4" s="154" t="str">
        <x:v>Bonus Eligible</x:v>
      </x:c>
      <x:c r="M4" s="154" t="str">
        <x:v>Approval Status</x:v>
      </x:c>
      <x:c r="N4" s="155" t="str">
        <x:v>Account ID</x:v>
      </x:c>
    </x:row>
    <x:row r="5">
      <x:c r="A5" s="176" t="str">
        <x:v>D0001</x:v>
      </x:c>
      <x:c r="B5" s="177" t="n">
        <x:v>46204</x:v>
      </x:c>
      <x:c r="C5" s="178" t="str">
        <x:v>R01</x:v>
      </x:c>
      <x:c r="D5" s="178" t="str">
        <x:v>Maya Chen</x:v>
      </x:c>
      <x:c r="E5" s="178" t="str">
        <x:v>Enterprise</x:v>
      </x:c>
      <x:c r="F5" s="178" t="str">
        <x:v>North</x:v>
      </x:c>
      <x:c r="G5" s="178" t="str">
        <x:v>Training Pack</x:v>
      </x:c>
      <x:c r="H5" s="178" t="str">
        <x:v>Services</x:v>
      </x:c>
      <x:c r="I5" s="179" t="n">
        <x:v>900</x:v>
      </x:c>
      <x:c r="J5" s="179" t="n">
        <x:v>108</x:v>
      </x:c>
      <x:c r="K5" s="180" t="n">
        <x:v>0.5</x:v>
      </x:c>
      <x:c r="L5" s="178" t="str">
        <x:v>No</x:v>
      </x:c>
      <x:c r="M5" s="178" t="str">
        <x:v>Approved</x:v>
      </x:c>
      <x:c r="N5" s="181" t="str">
        <x:v>AC-1000</x:v>
      </x:c>
    </x:row>
    <x:row r="6">
      <x:c r="A6" s="176" t="str">
        <x:v>D0002</x:v>
      </x:c>
      <x:c r="B6" s="177" t="n">
        <x:v>46205</x:v>
      </x:c>
      <x:c r="C6" s="178" t="str">
        <x:v>R02</x:v>
      </x:c>
      <x:c r="D6" s="178" t="str">
        <x:v>Ethan Brooks</x:v>
      </x:c>
      <x:c r="E6" s="178" t="str">
        <x:v>Enterprise</x:v>
      </x:c>
      <x:c r="F6" s="178" t="str">
        <x:v>South</x:v>
      </x:c>
      <x:c r="G6" s="178" t="str">
        <x:v>Analytics Cloud</x:v>
      </x:c>
      <x:c r="H6" s="178" t="str">
        <x:v>Software</x:v>
      </x:c>
      <x:c r="I6" s="179" t="n">
        <x:v>1828</x:v>
      </x:c>
      <x:c r="J6" s="179" t="n">
        <x:v>0</x:v>
      </x:c>
      <x:c r="K6" s="180" t="n">
        <x:v>1</x:v>
      </x:c>
      <x:c r="L6" s="178" t="str">
        <x:v>Yes</x:v>
      </x:c>
      <x:c r="M6" s="178" t="str">
        <x:v>Pending</x:v>
      </x:c>
      <x:c r="N6" s="181" t="str">
        <x:v>AC-1001</x:v>
      </x:c>
    </x:row>
    <x:row r="7">
      <x:c r="A7" s="176" t="str">
        <x:v>D0003</x:v>
      </x:c>
      <x:c r="B7" s="177" t="n">
        <x:v>46206</x:v>
      </x:c>
      <x:c r="C7" s="178" t="str">
        <x:v>R03</x:v>
      </x:c>
      <x:c r="D7" s="178" t="str">
        <x:v>Sofia Patel</x:v>
      </x:c>
      <x:c r="E7" s="178" t="str">
        <x:v>Mid-Market</x:v>
      </x:c>
      <x:c r="F7" s="178" t="str">
        <x:v>East</x:v>
      </x:c>
      <x:c r="G7" s="178" t="str">
        <x:v>Implementation</x:v>
      </x:c>
      <x:c r="H7" s="178" t="str">
        <x:v>Services</x:v>
      </x:c>
      <x:c r="I7" s="179" t="n">
        <x:v>2756</x:v>
      </x:c>
      <x:c r="J7" s="179" t="n">
        <x:v>0</x:v>
      </x:c>
      <x:c r="K7" s="180" t="n">
        <x:v>1</x:v>
      </x:c>
      <x:c r="L7" s="178" t="str">
        <x:v>No</x:v>
      </x:c>
      <x:c r="M7" s="178" t="str">
        <x:v>Approved</x:v>
      </x:c>
      <x:c r="N7" s="181" t="str">
        <x:v>AC-1002</x:v>
      </x:c>
    </x:row>
    <x:row r="8">
      <x:c r="A8" s="176" t="str">
        <x:v>D0004</x:v>
      </x:c>
      <x:c r="B8" s="177" t="n">
        <x:v>46207</x:v>
      </x:c>
      <x:c r="C8" s="178" t="str">
        <x:v>R04</x:v>
      </x:c>
      <x:c r="D8" s="178" t="str">
        <x:v>Noah Williams</x:v>
      </x:c>
      <x:c r="E8" s="178" t="str">
        <x:v>Mid-Market</x:v>
      </x:c>
      <x:c r="F8" s="178" t="str">
        <x:v>West</x:v>
      </x:c>
      <x:c r="G8" s="178" t="str">
        <x:v>Support Plus</x:v>
      </x:c>
      <x:c r="H8" s="178" t="str">
        <x:v>Support</x:v>
      </x:c>
      <x:c r="I8" s="179" t="n">
        <x:v>3684</x:v>
      </x:c>
      <x:c r="J8" s="179" t="n">
        <x:v>0</x:v>
      </x:c>
      <x:c r="K8" s="180" t="n">
        <x:v>1</x:v>
      </x:c>
      <x:c r="L8" s="178" t="str">
        <x:v>No</x:v>
      </x:c>
      <x:c r="M8" s="178" t="str">
        <x:v>Approved</x:v>
      </x:c>
      <x:c r="N8" s="181" t="str">
        <x:v>AC-1003</x:v>
      </x:c>
    </x:row>
    <x:row r="9">
      <x:c r="A9" s="176" t="str">
        <x:v>D0005</x:v>
      </x:c>
      <x:c r="B9" s="177" t="n">
        <x:v>46208</x:v>
      </x:c>
      <x:c r="C9" s="178" t="str">
        <x:v>R05</x:v>
      </x:c>
      <x:c r="D9" s="178" t="str">
        <x:v>Lina Haddad</x:v>
      </x:c>
      <x:c r="E9" s="178" t="str">
        <x:v>SMB</x:v>
      </x:c>
      <x:c r="F9" s="178" t="str">
        <x:v>North</x:v>
      </x:c>
      <x:c r="G9" s="178" t="str">
        <x:v>Workflow Pro</x:v>
      </x:c>
      <x:c r="H9" s="178" t="str">
        <x:v>Software</x:v>
      </x:c>
      <x:c r="I9" s="179" t="n">
        <x:v>4612</x:v>
      </x:c>
      <x:c r="J9" s="179" t="n">
        <x:v>0</x:v>
      </x:c>
      <x:c r="K9" s="180" t="n">
        <x:v>1</x:v>
      </x:c>
      <x:c r="L9" s="178" t="str">
        <x:v>Yes</x:v>
      </x:c>
      <x:c r="M9" s="178" t="str">
        <x:v>Approved</x:v>
      </x:c>
      <x:c r="N9" s="181" t="str">
        <x:v>AC-1004</x:v>
      </x:c>
    </x:row>
    <x:row r="10">
      <x:c r="A10" s="176" t="str">
        <x:v>D0006</x:v>
      </x:c>
      <x:c r="B10" s="177" t="n">
        <x:v>46209</x:v>
      </x:c>
      <x:c r="C10" s="178" t="str">
        <x:v>R06</x:v>
      </x:c>
      <x:c r="D10" s="178" t="str">
        <x:v>Lucas Martin</x:v>
      </x:c>
      <x:c r="E10" s="178" t="str">
        <x:v>SMB</x:v>
      </x:c>
      <x:c r="F10" s="178" t="str">
        <x:v>South</x:v>
      </x:c>
      <x:c r="G10" s="178" t="str">
        <x:v>Training Pack</x:v>
      </x:c>
      <x:c r="H10" s="178" t="str">
        <x:v>Services</x:v>
      </x:c>
      <x:c r="I10" s="179" t="n">
        <x:v>5540</x:v>
      </x:c>
      <x:c r="J10" s="179" t="n">
        <x:v>0</x:v>
      </x:c>
      <x:c r="K10" s="180" t="n">
        <x:v>1</x:v>
      </x:c>
      <x:c r="L10" s="178" t="str">
        <x:v>No</x:v>
      </x:c>
      <x:c r="M10" s="178" t="str">
        <x:v>Approved</x:v>
      </x:c>
      <x:c r="N10" s="181" t="str">
        <x:v>AC-1005</x:v>
      </x:c>
    </x:row>
    <x:row r="11">
      <x:c r="A11" s="176" t="str">
        <x:v>D0007</x:v>
      </x:c>
      <x:c r="B11" s="177" t="n">
        <x:v>46210</x:v>
      </x:c>
      <x:c r="C11" s="178" t="str">
        <x:v>R07</x:v>
      </x:c>
      <x:c r="D11" s="178" t="str">
        <x:v>Aylin Demir</x:v>
      </x:c>
      <x:c r="E11" s="178" t="str">
        <x:v>Enterprise</x:v>
      </x:c>
      <x:c r="F11" s="178" t="str">
        <x:v>East</x:v>
      </x:c>
      <x:c r="G11" s="178" t="str">
        <x:v>Analytics Cloud</x:v>
      </x:c>
      <x:c r="H11" s="178" t="str">
        <x:v>Software</x:v>
      </x:c>
      <x:c r="I11" s="179" t="n">
        <x:v>6468</x:v>
      </x:c>
      <x:c r="J11" s="179" t="n">
        <x:v>0</x:v>
      </x:c>
      <x:c r="K11" s="180" t="n">
        <x:v>1</x:v>
      </x:c>
      <x:c r="L11" s="178" t="str">
        <x:v>Yes</x:v>
      </x:c>
      <x:c r="M11" s="178" t="str">
        <x:v>Pending</x:v>
      </x:c>
      <x:c r="N11" s="181" t="str">
        <x:v>AC-1006</x:v>
      </x:c>
    </x:row>
    <x:row r="12">
      <x:c r="A12" s="176" t="str">
        <x:v>D0008</x:v>
      </x:c>
      <x:c r="B12" s="177" t="n">
        <x:v>46211</x:v>
      </x:c>
      <x:c r="C12" s="178" t="str">
        <x:v>R08</x:v>
      </x:c>
      <x:c r="D12" s="178" t="str">
        <x:v>Owen Taylor</x:v>
      </x:c>
      <x:c r="E12" s="178" t="str">
        <x:v>Mid-Market</x:v>
      </x:c>
      <x:c r="F12" s="178" t="str">
        <x:v>North</x:v>
      </x:c>
      <x:c r="G12" s="178" t="str">
        <x:v>Implementation</x:v>
      </x:c>
      <x:c r="H12" s="178" t="str">
        <x:v>Services</x:v>
      </x:c>
      <x:c r="I12" s="179" t="n">
        <x:v>7396</x:v>
      </x:c>
      <x:c r="J12" s="179" t="n">
        <x:v>0</x:v>
      </x:c>
      <x:c r="K12" s="180" t="n">
        <x:v>1</x:v>
      </x:c>
      <x:c r="L12" s="178" t="str">
        <x:v>No</x:v>
      </x:c>
      <x:c r="M12" s="178" t="str">
        <x:v>Approved</x:v>
      </x:c>
      <x:c r="N12" s="181" t="str">
        <x:v>AC-1007</x:v>
      </x:c>
    </x:row>
    <x:row r="13">
      <x:c r="A13" s="176" t="str">
        <x:v>D0009</x:v>
      </x:c>
      <x:c r="B13" s="177" t="n">
        <x:v>46212</x:v>
      </x:c>
      <x:c r="C13" s="178" t="str">
        <x:v>R09</x:v>
      </x:c>
      <x:c r="D13" s="178" t="str">
        <x:v>Sara Kim</x:v>
      </x:c>
      <x:c r="E13" s="178" t="str">
        <x:v>SMB</x:v>
      </x:c>
      <x:c r="F13" s="178" t="str">
        <x:v>West</x:v>
      </x:c>
      <x:c r="G13" s="178" t="str">
        <x:v>Support Plus</x:v>
      </x:c>
      <x:c r="H13" s="178" t="str">
        <x:v>Support</x:v>
      </x:c>
      <x:c r="I13" s="179" t="n">
        <x:v>8324</x:v>
      </x:c>
      <x:c r="J13" s="179" t="n">
        <x:v>0</x:v>
      </x:c>
      <x:c r="K13" s="180" t="n">
        <x:v>1</x:v>
      </x:c>
      <x:c r="L13" s="178" t="str">
        <x:v>No</x:v>
      </x:c>
      <x:c r="M13" s="178" t="str">
        <x:v>Approved</x:v>
      </x:c>
      <x:c r="N13" s="181" t="str">
        <x:v>AC-1008</x:v>
      </x:c>
    </x:row>
    <x:row r="14">
      <x:c r="A14" s="176" t="str">
        <x:v>D0010</x:v>
      </x:c>
      <x:c r="B14" s="177" t="n">
        <x:v>46213</x:v>
      </x:c>
      <x:c r="C14" s="178" t="str">
        <x:v>R10</x:v>
      </x:c>
      <x:c r="D14" s="178" t="str">
        <x:v>Daniel Ruiz</x:v>
      </x:c>
      <x:c r="E14" s="178" t="str">
        <x:v>Enterprise</x:v>
      </x:c>
      <x:c r="F14" s="178" t="str">
        <x:v>West</x:v>
      </x:c>
      <x:c r="G14" s="178" t="str">
        <x:v>Workflow Pro</x:v>
      </x:c>
      <x:c r="H14" s="178" t="str">
        <x:v>Software</x:v>
      </x:c>
      <x:c r="I14" s="179" t="n">
        <x:v>8019</x:v>
      </x:c>
      <x:c r="J14" s="179" t="n">
        <x:v>0</x:v>
      </x:c>
      <x:c r="K14" s="180" t="n">
        <x:v>1</x:v>
      </x:c>
      <x:c r="L14" s="178" t="str">
        <x:v>Yes</x:v>
      </x:c>
      <x:c r="M14" s="178" t="str">
        <x:v>Approved</x:v>
      </x:c>
      <x:c r="N14" s="181" t="str">
        <x:v>AC-1009</x:v>
      </x:c>
    </x:row>
    <x:row r="15">
      <x:c r="A15" s="176" t="str">
        <x:v>D0011</x:v>
      </x:c>
      <x:c r="B15" s="177" t="n">
        <x:v>46214</x:v>
      </x:c>
      <x:c r="C15" s="178" t="str">
        <x:v>R11</x:v>
      </x:c>
      <x:c r="D15" s="178" t="str">
        <x:v>Elif Kaya</x:v>
      </x:c>
      <x:c r="E15" s="178" t="str">
        <x:v>Mid-Market</x:v>
      </x:c>
      <x:c r="F15" s="178" t="str">
        <x:v>South</x:v>
      </x:c>
      <x:c r="G15" s="178" t="str">
        <x:v>Training Pack</x:v>
      </x:c>
      <x:c r="H15" s="178" t="str">
        <x:v>Services</x:v>
      </x:c>
      <x:c r="I15" s="179" t="n">
        <x:v>1747</x:v>
      </x:c>
      <x:c r="J15" s="179" t="n">
        <x:v>0</x:v>
      </x:c>
      <x:c r="K15" s="180" t="n">
        <x:v>1</x:v>
      </x:c>
      <x:c r="L15" s="178" t="str">
        <x:v>No</x:v>
      </x:c>
      <x:c r="M15" s="178" t="str">
        <x:v>Approved</x:v>
      </x:c>
      <x:c r="N15" s="181" t="str">
        <x:v>AC-1010</x:v>
      </x:c>
    </x:row>
    <x:row r="16">
      <x:c r="A16" s="176" t="str">
        <x:v>D0012</x:v>
      </x:c>
      <x:c r="B16" s="177" t="n">
        <x:v>46215</x:v>
      </x:c>
      <x:c r="C16" s="178" t="str">
        <x:v>R12</x:v>
      </x:c>
      <x:c r="D16" s="178" t="str">
        <x:v>Jon Bell</x:v>
      </x:c>
      <x:c r="E16" s="178" t="str">
        <x:v>SMB</x:v>
      </x:c>
      <x:c r="F16" s="178" t="str">
        <x:v>East</x:v>
      </x:c>
      <x:c r="G16" s="178" t="str">
        <x:v>Analytics Cloud</x:v>
      </x:c>
      <x:c r="H16" s="178" t="str">
        <x:v>Software</x:v>
      </x:c>
      <x:c r="I16" s="179" t="n">
        <x:v>2675</x:v>
      </x:c>
      <x:c r="J16" s="179" t="n">
        <x:v>0</x:v>
      </x:c>
      <x:c r="K16" s="180" t="n">
        <x:v>1</x:v>
      </x:c>
      <x:c r="L16" s="178" t="str">
        <x:v>Yes</x:v>
      </x:c>
      <x:c r="M16" s="178" t="str">
        <x:v>Pending</x:v>
      </x:c>
      <x:c r="N16" s="181" t="str">
        <x:v>AC-1011</x:v>
      </x:c>
    </x:row>
    <x:row r="17">
      <x:c r="A17" s="176" t="str">
        <x:v>D0013</x:v>
      </x:c>
      <x:c r="B17" s="177" t="n">
        <x:v>46216</x:v>
      </x:c>
      <x:c r="C17" s="178" t="str">
        <x:v>R01</x:v>
      </x:c>
      <x:c r="D17" s="178" t="str">
        <x:v>Maya Chen</x:v>
      </x:c>
      <x:c r="E17" s="178" t="str">
        <x:v>Enterprise</x:v>
      </x:c>
      <x:c r="F17" s="178" t="str">
        <x:v>North</x:v>
      </x:c>
      <x:c r="G17" s="178" t="str">
        <x:v>Implementation</x:v>
      </x:c>
      <x:c r="H17" s="178" t="str">
        <x:v>Services</x:v>
      </x:c>
      <x:c r="I17" s="179" t="n">
        <x:v>3603</x:v>
      </x:c>
      <x:c r="J17" s="179" t="n">
        <x:v>0</x:v>
      </x:c>
      <x:c r="K17" s="180" t="n">
        <x:v>1</x:v>
      </x:c>
      <x:c r="L17" s="178" t="str">
        <x:v>No</x:v>
      </x:c>
      <x:c r="M17" s="178" t="str">
        <x:v>Approved</x:v>
      </x:c>
      <x:c r="N17" s="181" t="str">
        <x:v>AC-1012</x:v>
      </x:c>
    </x:row>
    <x:row r="18">
      <x:c r="A18" s="176" t="str">
        <x:v>D0014</x:v>
      </x:c>
      <x:c r="B18" s="177" t="n">
        <x:v>46217</x:v>
      </x:c>
      <x:c r="C18" s="178" t="str">
        <x:v>R02</x:v>
      </x:c>
      <x:c r="D18" s="178" t="str">
        <x:v>Ethan Brooks</x:v>
      </x:c>
      <x:c r="E18" s="178" t="str">
        <x:v>Enterprise</x:v>
      </x:c>
      <x:c r="F18" s="178" t="str">
        <x:v>South</x:v>
      </x:c>
      <x:c r="G18" s="178" t="str">
        <x:v>Support Plus</x:v>
      </x:c>
      <x:c r="H18" s="178" t="str">
        <x:v>Support</x:v>
      </x:c>
      <x:c r="I18" s="179" t="n">
        <x:v>4531</x:v>
      </x:c>
      <x:c r="J18" s="179" t="n">
        <x:v>0</x:v>
      </x:c>
      <x:c r="K18" s="180" t="n">
        <x:v>1</x:v>
      </x:c>
      <x:c r="L18" s="178" t="str">
        <x:v>No</x:v>
      </x:c>
      <x:c r="M18" s="178" t="str">
        <x:v>Approved</x:v>
      </x:c>
      <x:c r="N18" s="181" t="str">
        <x:v>AC-1013</x:v>
      </x:c>
    </x:row>
    <x:row r="19">
      <x:c r="A19" s="176" t="str">
        <x:v>D0015</x:v>
      </x:c>
      <x:c r="B19" s="177" t="n">
        <x:v>46218</x:v>
      </x:c>
      <x:c r="C19" s="178" t="str">
        <x:v>R03</x:v>
      </x:c>
      <x:c r="D19" s="178" t="str">
        <x:v>Sofia Patel</x:v>
      </x:c>
      <x:c r="E19" s="178" t="str">
        <x:v>Mid-Market</x:v>
      </x:c>
      <x:c r="F19" s="178" t="str">
        <x:v>East</x:v>
      </x:c>
      <x:c r="G19" s="178" t="str">
        <x:v>Workflow Pro</x:v>
      </x:c>
      <x:c r="H19" s="178" t="str">
        <x:v>Software</x:v>
      </x:c>
      <x:c r="I19" s="179" t="n">
        <x:v>5459</x:v>
      </x:c>
      <x:c r="J19" s="179" t="n">
        <x:v>0</x:v>
      </x:c>
      <x:c r="K19" s="180" t="n">
        <x:v>1</x:v>
      </x:c>
      <x:c r="L19" s="178" t="str">
        <x:v>Yes</x:v>
      </x:c>
      <x:c r="M19" s="178" t="str">
        <x:v>Approved</x:v>
      </x:c>
      <x:c r="N19" s="181" t="str">
        <x:v>AC-1014</x:v>
      </x:c>
    </x:row>
    <x:row r="20">
      <x:c r="A20" s="176" t="str">
        <x:v>D0016</x:v>
      </x:c>
      <x:c r="B20" s="177" t="n">
        <x:v>46219</x:v>
      </x:c>
      <x:c r="C20" s="178" t="str">
        <x:v>R04</x:v>
      </x:c>
      <x:c r="D20" s="178" t="str">
        <x:v>Noah Williams</x:v>
      </x:c>
      <x:c r="E20" s="178" t="str">
        <x:v>Mid-Market</x:v>
      </x:c>
      <x:c r="F20" s="178" t="str">
        <x:v>West</x:v>
      </x:c>
      <x:c r="G20" s="178" t="str">
        <x:v>Training Pack</x:v>
      </x:c>
      <x:c r="H20" s="178" t="str">
        <x:v>Services</x:v>
      </x:c>
      <x:c r="I20" s="179" t="n">
        <x:v>6387</x:v>
      </x:c>
      <x:c r="J20" s="179" t="n">
        <x:v>0</x:v>
      </x:c>
      <x:c r="K20" s="180" t="n">
        <x:v>1</x:v>
      </x:c>
      <x:c r="L20" s="178" t="str">
        <x:v>No</x:v>
      </x:c>
      <x:c r="M20" s="178" t="str">
        <x:v>Approved</x:v>
      </x:c>
      <x:c r="N20" s="181" t="str">
        <x:v>AC-1015</x:v>
      </x:c>
    </x:row>
    <x:row r="21">
      <x:c r="A21" s="176" t="str">
        <x:v>D0017</x:v>
      </x:c>
      <x:c r="B21" s="177" t="n">
        <x:v>46220</x:v>
      </x:c>
      <x:c r="C21" s="178" t="str">
        <x:v>R05</x:v>
      </x:c>
      <x:c r="D21" s="178" t="str">
        <x:v>Lina Haddad</x:v>
      </x:c>
      <x:c r="E21" s="178" t="str">
        <x:v>SMB</x:v>
      </x:c>
      <x:c r="F21" s="178" t="str">
        <x:v>North</x:v>
      </x:c>
      <x:c r="G21" s="178" t="str">
        <x:v>Analytics Cloud</x:v>
      </x:c>
      <x:c r="H21" s="178" t="str">
        <x:v>Software</x:v>
      </x:c>
      <x:c r="I21" s="179" t="n">
        <x:v>7315</x:v>
      </x:c>
      <x:c r="J21" s="179" t="n">
        <x:v>0</x:v>
      </x:c>
      <x:c r="K21" s="180" t="n">
        <x:v>1</x:v>
      </x:c>
      <x:c r="L21" s="178" t="str">
        <x:v>Yes</x:v>
      </x:c>
      <x:c r="M21" s="178" t="str">
        <x:v>Pending</x:v>
      </x:c>
      <x:c r="N21" s="181" t="str">
        <x:v>AC-1016</x:v>
      </x:c>
    </x:row>
    <x:row r="22">
      <x:c r="A22" s="176" t="str">
        <x:v>D0018</x:v>
      </x:c>
      <x:c r="B22" s="177" t="n">
        <x:v>46221</x:v>
      </x:c>
      <x:c r="C22" s="178" t="str">
        <x:v>R06</x:v>
      </x:c>
      <x:c r="D22" s="178" t="str">
        <x:v>Lucas Martin</x:v>
      </x:c>
      <x:c r="E22" s="178" t="str">
        <x:v>SMB</x:v>
      </x:c>
      <x:c r="F22" s="178" t="str">
        <x:v>South</x:v>
      </x:c>
      <x:c r="G22" s="178" t="str">
        <x:v>Implementation</x:v>
      </x:c>
      <x:c r="H22" s="178" t="str">
        <x:v>Services</x:v>
      </x:c>
      <x:c r="I22" s="179" t="n">
        <x:v>8243</x:v>
      </x:c>
      <x:c r="J22" s="179" t="n">
        <x:v>1978.32</x:v>
      </x:c>
      <x:c r="K22" s="180" t="n">
        <x:v>1</x:v>
      </x:c>
      <x:c r="L22" s="178" t="str">
        <x:v>No</x:v>
      </x:c>
      <x:c r="M22" s="178" t="str">
        <x:v>Approved</x:v>
      </x:c>
      <x:c r="N22" s="181" t="str">
        <x:v>AC-1017</x:v>
      </x:c>
    </x:row>
    <x:row r="23">
      <x:c r="A23" s="176" t="str">
        <x:v>D0019</x:v>
      </x:c>
      <x:c r="B23" s="177" t="n">
        <x:v>46222</x:v>
      </x:c>
      <x:c r="C23" s="178" t="str">
        <x:v>R07</x:v>
      </x:c>
      <x:c r="D23" s="178" t="str">
        <x:v>Aylin Demir</x:v>
      </x:c>
      <x:c r="E23" s="178" t="str">
        <x:v>Enterprise</x:v>
      </x:c>
      <x:c r="F23" s="178" t="str">
        <x:v>East</x:v>
      </x:c>
      <x:c r="G23" s="178" t="str">
        <x:v>Support Plus</x:v>
      </x:c>
      <x:c r="H23" s="178" t="str">
        <x:v>Support</x:v>
      </x:c>
      <x:c r="I23" s="179" t="n">
        <x:v>7938</x:v>
      </x:c>
      <x:c r="J23" s="179" t="n">
        <x:v>0</x:v>
      </x:c>
      <x:c r="K23" s="180" t="n">
        <x:v>1</x:v>
      </x:c>
      <x:c r="L23" s="178" t="str">
        <x:v>No</x:v>
      </x:c>
      <x:c r="M23" s="178" t="str">
        <x:v>Approved</x:v>
      </x:c>
      <x:c r="N23" s="181" t="str">
        <x:v>AC-1018</x:v>
      </x:c>
    </x:row>
    <x:row r="24">
      <x:c r="A24" s="176" t="str">
        <x:v>D0020</x:v>
      </x:c>
      <x:c r="B24" s="177" t="n">
        <x:v>46223</x:v>
      </x:c>
      <x:c r="C24" s="178" t="str">
        <x:v>R08</x:v>
      </x:c>
      <x:c r="D24" s="178" t="str">
        <x:v>Owen Taylor</x:v>
      </x:c>
      <x:c r="E24" s="178" t="str">
        <x:v>Mid-Market</x:v>
      </x:c>
      <x:c r="F24" s="178" t="str">
        <x:v>North</x:v>
      </x:c>
      <x:c r="G24" s="178" t="str">
        <x:v>Workflow Pro</x:v>
      </x:c>
      <x:c r="H24" s="178" t="str">
        <x:v>Software</x:v>
      </x:c>
      <x:c r="I24" s="179" t="n">
        <x:v>1666</x:v>
      </x:c>
      <x:c r="J24" s="179" t="n">
        <x:v>0</x:v>
      </x:c>
      <x:c r="K24" s="180" t="n">
        <x:v>1</x:v>
      </x:c>
      <x:c r="L24" s="178" t="str">
        <x:v>Yes</x:v>
      </x:c>
      <x:c r="M24" s="178" t="str">
        <x:v>Approved</x:v>
      </x:c>
      <x:c r="N24" s="181" t="str">
        <x:v>AC-1019</x:v>
      </x:c>
    </x:row>
    <x:row r="25">
      <x:c r="A25" s="176" t="str">
        <x:v>D0021</x:v>
      </x:c>
      <x:c r="B25" s="177" t="n">
        <x:v>46224</x:v>
      </x:c>
      <x:c r="C25" s="178" t="str">
        <x:v>R09</x:v>
      </x:c>
      <x:c r="D25" s="178" t="str">
        <x:v>Sara Kim</x:v>
      </x:c>
      <x:c r="E25" s="178" t="str">
        <x:v>SMB</x:v>
      </x:c>
      <x:c r="F25" s="178" t="str">
        <x:v>West</x:v>
      </x:c>
      <x:c r="G25" s="178" t="str">
        <x:v>Training Pack</x:v>
      </x:c>
      <x:c r="H25" s="178" t="str">
        <x:v>Services</x:v>
      </x:c>
      <x:c r="I25" s="179" t="n">
        <x:v>2594</x:v>
      </x:c>
      <x:c r="J25" s="179" t="n">
        <x:v>0</x:v>
      </x:c>
      <x:c r="K25" s="180" t="n">
        <x:v>1</x:v>
      </x:c>
      <x:c r="L25" s="178" t="str">
        <x:v>No</x:v>
      </x:c>
      <x:c r="M25" s="178" t="str">
        <x:v>Approved</x:v>
      </x:c>
      <x:c r="N25" s="181" t="str">
        <x:v>AC-1020</x:v>
      </x:c>
    </x:row>
    <x:row r="26">
      <x:c r="A26" s="176" t="str">
        <x:v>D0022</x:v>
      </x:c>
      <x:c r="B26" s="177" t="n">
        <x:v>46225</x:v>
      </x:c>
      <x:c r="C26" s="178" t="str">
        <x:v>R10</x:v>
      </x:c>
      <x:c r="D26" s="178" t="str">
        <x:v>Daniel Ruiz</x:v>
      </x:c>
      <x:c r="E26" s="178" t="str">
        <x:v>Enterprise</x:v>
      </x:c>
      <x:c r="F26" s="178" t="str">
        <x:v>West</x:v>
      </x:c>
      <x:c r="G26" s="178" t="str">
        <x:v>Analytics Cloud</x:v>
      </x:c>
      <x:c r="H26" s="178" t="str">
        <x:v>Software</x:v>
      </x:c>
      <x:c r="I26" s="179" t="n">
        <x:v>3522</x:v>
      </x:c>
      <x:c r="J26" s="179" t="n">
        <x:v>0</x:v>
      </x:c>
      <x:c r="K26" s="180" t="n">
        <x:v>1</x:v>
      </x:c>
      <x:c r="L26" s="178" t="str">
        <x:v>Yes</x:v>
      </x:c>
      <x:c r="M26" s="178" t="str">
        <x:v>Pending</x:v>
      </x:c>
      <x:c r="N26" s="181" t="str">
        <x:v>AC-1021</x:v>
      </x:c>
    </x:row>
    <x:row r="27">
      <x:c r="A27" s="176" t="str">
        <x:v>D0023</x:v>
      </x:c>
      <x:c r="B27" s="177" t="n">
        <x:v>46226</x:v>
      </x:c>
      <x:c r="C27" s="178" t="str">
        <x:v>R11</x:v>
      </x:c>
      <x:c r="D27" s="178" t="str">
        <x:v>Elif Kaya</x:v>
      </x:c>
      <x:c r="E27" s="178" t="str">
        <x:v>Mid-Market</x:v>
      </x:c>
      <x:c r="F27" s="178" t="str">
        <x:v>South</x:v>
      </x:c>
      <x:c r="G27" s="178" t="str">
        <x:v>Implementation</x:v>
      </x:c>
      <x:c r="H27" s="178" t="str">
        <x:v>Services</x:v>
      </x:c>
      <x:c r="I27" s="179" t="n">
        <x:v>4450</x:v>
      </x:c>
      <x:c r="J27" s="179" t="n">
        <x:v>0</x:v>
      </x:c>
      <x:c r="K27" s="180" t="n">
        <x:v>1</x:v>
      </x:c>
      <x:c r="L27" s="178" t="str">
        <x:v>No</x:v>
      </x:c>
      <x:c r="M27" s="178" t="str">
        <x:v>Approved</x:v>
      </x:c>
      <x:c r="N27" s="181" t="str">
        <x:v>AC-1022</x:v>
      </x:c>
    </x:row>
    <x:row r="28">
      <x:c r="A28" s="176" t="str">
        <x:v>D0024</x:v>
      </x:c>
      <x:c r="B28" s="177" t="n">
        <x:v>46227</x:v>
      </x:c>
      <x:c r="C28" s="178" t="str">
        <x:v>R12</x:v>
      </x:c>
      <x:c r="D28" s="178" t="str">
        <x:v>Jon Bell</x:v>
      </x:c>
      <x:c r="E28" s="178" t="str">
        <x:v>SMB</x:v>
      </x:c>
      <x:c r="F28" s="178" t="str">
        <x:v>East</x:v>
      </x:c>
      <x:c r="G28" s="178" t="str">
        <x:v>Support Plus</x:v>
      </x:c>
      <x:c r="H28" s="178" t="str">
        <x:v>Support</x:v>
      </x:c>
      <x:c r="I28" s="179" t="n">
        <x:v>5378</x:v>
      </x:c>
      <x:c r="J28" s="179" t="n">
        <x:v>0</x:v>
      </x:c>
      <x:c r="K28" s="180" t="n">
        <x:v>0.5</x:v>
      </x:c>
      <x:c r="L28" s="178" t="str">
        <x:v>No</x:v>
      </x:c>
      <x:c r="M28" s="178" t="str">
        <x:v>Approved</x:v>
      </x:c>
      <x:c r="N28" s="181" t="str">
        <x:v>AC-1023</x:v>
      </x:c>
    </x:row>
    <x:row r="29">
      <x:c r="A29" s="176" t="str">
        <x:v>D0025</x:v>
      </x:c>
      <x:c r="B29" s="177" t="n">
        <x:v>46228</x:v>
      </x:c>
      <x:c r="C29" s="178" t="str">
        <x:v>R01</x:v>
      </x:c>
      <x:c r="D29" s="178" t="str">
        <x:v>Maya Chen</x:v>
      </x:c>
      <x:c r="E29" s="178" t="str">
        <x:v>Enterprise</x:v>
      </x:c>
      <x:c r="F29" s="178" t="str">
        <x:v>North</x:v>
      </x:c>
      <x:c r="G29" s="178" t="str">
        <x:v>Workflow Pro</x:v>
      </x:c>
      <x:c r="H29" s="178" t="str">
        <x:v>Software</x:v>
      </x:c>
      <x:c r="I29" s="179" t="n">
        <x:v>6306</x:v>
      </x:c>
      <x:c r="J29" s="179" t="n">
        <x:v>0</x:v>
      </x:c>
      <x:c r="K29" s="180" t="n">
        <x:v>1</x:v>
      </x:c>
      <x:c r="L29" s="178" t="str">
        <x:v>Yes</x:v>
      </x:c>
      <x:c r="M29" s="178" t="str">
        <x:v>Approved</x:v>
      </x:c>
      <x:c r="N29" s="181" t="str">
        <x:v>AC-1024</x:v>
      </x:c>
    </x:row>
    <x:row r="30">
      <x:c r="A30" s="176" t="str">
        <x:v>D0026</x:v>
      </x:c>
      <x:c r="B30" s="177" t="n">
        <x:v>46229</x:v>
      </x:c>
      <x:c r="C30" s="178" t="str">
        <x:v>R02</x:v>
      </x:c>
      <x:c r="D30" s="178" t="str">
        <x:v>Ethan Brooks</x:v>
      </x:c>
      <x:c r="E30" s="178" t="str">
        <x:v>Enterprise</x:v>
      </x:c>
      <x:c r="F30" s="178" t="str">
        <x:v>South</x:v>
      </x:c>
      <x:c r="G30" s="178" t="str">
        <x:v>Training Pack</x:v>
      </x:c>
      <x:c r="H30" s="178" t="str">
        <x:v>Services</x:v>
      </x:c>
      <x:c r="I30" s="179" t="n">
        <x:v>7234</x:v>
      </x:c>
      <x:c r="J30" s="179" t="n">
        <x:v>0</x:v>
      </x:c>
      <x:c r="K30" s="180" t="n">
        <x:v>1</x:v>
      </x:c>
      <x:c r="L30" s="178" t="str">
        <x:v>No</x:v>
      </x:c>
      <x:c r="M30" s="178" t="str">
        <x:v>Approved</x:v>
      </x:c>
      <x:c r="N30" s="181" t="str">
        <x:v>AC-1025</x:v>
      </x:c>
    </x:row>
    <x:row r="31">
      <x:c r="A31" s="176" t="str">
        <x:v>D0027</x:v>
      </x:c>
      <x:c r="B31" s="177" t="n">
        <x:v>46230</x:v>
      </x:c>
      <x:c r="C31" s="178" t="str">
        <x:v>R03</x:v>
      </x:c>
      <x:c r="D31" s="178" t="str">
        <x:v>Sofia Patel</x:v>
      </x:c>
      <x:c r="E31" s="178" t="str">
        <x:v>Mid-Market</x:v>
      </x:c>
      <x:c r="F31" s="178" t="str">
        <x:v>East</x:v>
      </x:c>
      <x:c r="G31" s="178" t="str">
        <x:v>Analytics Cloud</x:v>
      </x:c>
      <x:c r="H31" s="178" t="str">
        <x:v>Software</x:v>
      </x:c>
      <x:c r="I31" s="179" t="n">
        <x:v>8162</x:v>
      </x:c>
      <x:c r="J31" s="179" t="n">
        <x:v>0</x:v>
      </x:c>
      <x:c r="K31" s="180" t="n">
        <x:v>1</x:v>
      </x:c>
      <x:c r="L31" s="178" t="str">
        <x:v>Yes</x:v>
      </x:c>
      <x:c r="M31" s="178" t="str">
        <x:v>Pending</x:v>
      </x:c>
      <x:c r="N31" s="181" t="str">
        <x:v>AC-1026</x:v>
      </x:c>
    </x:row>
    <x:row r="32">
      <x:c r="A32" s="176" t="str">
        <x:v>D0028</x:v>
      </x:c>
      <x:c r="B32" s="177" t="n">
        <x:v>46231</x:v>
      </x:c>
      <x:c r="C32" s="178" t="str">
        <x:v>R04</x:v>
      </x:c>
      <x:c r="D32" s="178" t="str">
        <x:v>Noah Williams</x:v>
      </x:c>
      <x:c r="E32" s="178" t="str">
        <x:v>Mid-Market</x:v>
      </x:c>
      <x:c r="F32" s="178" t="str">
        <x:v>West</x:v>
      </x:c>
      <x:c r="G32" s="178" t="str">
        <x:v>Implementation</x:v>
      </x:c>
      <x:c r="H32" s="178" t="str">
        <x:v>Services</x:v>
      </x:c>
      <x:c r="I32" s="179" t="n">
        <x:v>7857</x:v>
      </x:c>
      <x:c r="J32" s="179" t="n">
        <x:v>0</x:v>
      </x:c>
      <x:c r="K32" s="180" t="n">
        <x:v>1</x:v>
      </x:c>
      <x:c r="L32" s="178" t="str">
        <x:v>No</x:v>
      </x:c>
      <x:c r="M32" s="178" t="str">
        <x:v>Approved</x:v>
      </x:c>
      <x:c r="N32" s="181" t="str">
        <x:v>AC-1027</x:v>
      </x:c>
    </x:row>
    <x:row r="33">
      <x:c r="A33" s="176" t="str">
        <x:v>D0029</x:v>
      </x:c>
      <x:c r="B33" s="177" t="n">
        <x:v>46232</x:v>
      </x:c>
      <x:c r="C33" s="178" t="str">
        <x:v>R05</x:v>
      </x:c>
      <x:c r="D33" s="178" t="str">
        <x:v>Lina Haddad</x:v>
      </x:c>
      <x:c r="E33" s="178" t="str">
        <x:v>SMB</x:v>
      </x:c>
      <x:c r="F33" s="178" t="str">
        <x:v>North</x:v>
      </x:c>
      <x:c r="G33" s="178" t="str">
        <x:v>Support Plus</x:v>
      </x:c>
      <x:c r="H33" s="178" t="str">
        <x:v>Support</x:v>
      </x:c>
      <x:c r="I33" s="179" t="n">
        <x:v>1585</x:v>
      </x:c>
      <x:c r="J33" s="179" t="n">
        <x:v>0</x:v>
      </x:c>
      <x:c r="K33" s="180" t="n">
        <x:v>1</x:v>
      </x:c>
      <x:c r="L33" s="178" t="str">
        <x:v>No</x:v>
      </x:c>
      <x:c r="M33" s="178" t="str">
        <x:v>Approved</x:v>
      </x:c>
      <x:c r="N33" s="181" t="str">
        <x:v>AC-1028</x:v>
      </x:c>
    </x:row>
    <x:row r="34">
      <x:c r="A34" s="176" t="str">
        <x:v>D0030</x:v>
      </x:c>
      <x:c r="B34" s="177" t="n">
        <x:v>46233</x:v>
      </x:c>
      <x:c r="C34" s="178" t="str">
        <x:v>R06</x:v>
      </x:c>
      <x:c r="D34" s="178" t="str">
        <x:v>Lucas Martin</x:v>
      </x:c>
      <x:c r="E34" s="178" t="str">
        <x:v>SMB</x:v>
      </x:c>
      <x:c r="F34" s="178" t="str">
        <x:v>South</x:v>
      </x:c>
      <x:c r="G34" s="178" t="str">
        <x:v>Workflow Pro</x:v>
      </x:c>
      <x:c r="H34" s="178" t="str">
        <x:v>Software</x:v>
      </x:c>
      <x:c r="I34" s="179" t="n">
        <x:v>2513</x:v>
      </x:c>
      <x:c r="J34" s="179" t="n">
        <x:v>0</x:v>
      </x:c>
      <x:c r="K34" s="180" t="n">
        <x:v>0.75</x:v>
      </x:c>
      <x:c r="L34" s="178" t="str">
        <x:v>Yes</x:v>
      </x:c>
      <x:c r="M34" s="178" t="str">
        <x:v>Approved</x:v>
      </x:c>
      <x:c r="N34" s="181" t="str">
        <x:v>AC-1029</x:v>
      </x:c>
    </x:row>
    <x:row r="35">
      <x:c r="A35" s="176" t="str">
        <x:v>D0031</x:v>
      </x:c>
      <x:c r="B35" s="177" t="n">
        <x:v>46234</x:v>
      </x:c>
      <x:c r="C35" s="178" t="str">
        <x:v>R07</x:v>
      </x:c>
      <x:c r="D35" s="178" t="str">
        <x:v>Aylin Demir</x:v>
      </x:c>
      <x:c r="E35" s="178" t="str">
        <x:v>Enterprise</x:v>
      </x:c>
      <x:c r="F35" s="178" t="str">
        <x:v>East</x:v>
      </x:c>
      <x:c r="G35" s="178" t="str">
        <x:v>Training Pack</x:v>
      </x:c>
      <x:c r="H35" s="178" t="str">
        <x:v>Services</x:v>
      </x:c>
      <x:c r="I35" s="179" t="n">
        <x:v>3441</x:v>
      </x:c>
      <x:c r="J35" s="179" t="n">
        <x:v>0</x:v>
      </x:c>
      <x:c r="K35" s="180" t="n">
        <x:v>1</x:v>
      </x:c>
      <x:c r="L35" s="178" t="str">
        <x:v>No</x:v>
      </x:c>
      <x:c r="M35" s="178" t="str">
        <x:v>Approved</x:v>
      </x:c>
      <x:c r="N35" s="181" t="str">
        <x:v>AC-1030</x:v>
      </x:c>
    </x:row>
    <x:row r="36">
      <x:c r="A36" s="176" t="str">
        <x:v>D0032</x:v>
      </x:c>
      <x:c r="B36" s="177" t="n">
        <x:v>46204</x:v>
      </x:c>
      <x:c r="C36" s="178" t="str">
        <x:v>R08</x:v>
      </x:c>
      <x:c r="D36" s="178" t="str">
        <x:v>Owen Taylor</x:v>
      </x:c>
      <x:c r="E36" s="178" t="str">
        <x:v>Mid-Market</x:v>
      </x:c>
      <x:c r="F36" s="178" t="str">
        <x:v>North</x:v>
      </x:c>
      <x:c r="G36" s="178" t="str">
        <x:v>Analytics Cloud</x:v>
      </x:c>
      <x:c r="H36" s="178" t="str">
        <x:v>Software</x:v>
      </x:c>
      <x:c r="I36" s="179" t="n">
        <x:v>4369</x:v>
      </x:c>
      <x:c r="J36" s="179" t="n">
        <x:v>0</x:v>
      </x:c>
      <x:c r="K36" s="180" t="n">
        <x:v>1</x:v>
      </x:c>
      <x:c r="L36" s="178" t="str">
        <x:v>Yes</x:v>
      </x:c>
      <x:c r="M36" s="178" t="str">
        <x:v>Pending</x:v>
      </x:c>
      <x:c r="N36" s="181" t="str">
        <x:v>AC-1031</x:v>
      </x:c>
    </x:row>
    <x:row r="37">
      <x:c r="A37" s="176" t="str">
        <x:v>D0033</x:v>
      </x:c>
      <x:c r="B37" s="177" t="n">
        <x:v>46205</x:v>
      </x:c>
      <x:c r="C37" s="178" t="str">
        <x:v>R09</x:v>
      </x:c>
      <x:c r="D37" s="178" t="str">
        <x:v>Sara Kim</x:v>
      </x:c>
      <x:c r="E37" s="178" t="str">
        <x:v>SMB</x:v>
      </x:c>
      <x:c r="F37" s="178" t="str">
        <x:v>West</x:v>
      </x:c>
      <x:c r="G37" s="178" t="str">
        <x:v>Implementation</x:v>
      </x:c>
      <x:c r="H37" s="178" t="str">
        <x:v>Services</x:v>
      </x:c>
      <x:c r="I37" s="179" t="n">
        <x:v>5297</x:v>
      </x:c>
      <x:c r="J37" s="179" t="n">
        <x:v>0</x:v>
      </x:c>
      <x:c r="K37" s="180" t="n">
        <x:v>1</x:v>
      </x:c>
      <x:c r="L37" s="178" t="str">
        <x:v>No</x:v>
      </x:c>
      <x:c r="M37" s="178" t="str">
        <x:v>Approved</x:v>
      </x:c>
      <x:c r="N37" s="181" t="str">
        <x:v>AC-1032</x:v>
      </x:c>
    </x:row>
    <x:row r="38">
      <x:c r="A38" s="176" t="str">
        <x:v>D0034</x:v>
      </x:c>
      <x:c r="B38" s="177" t="n">
        <x:v>46206</x:v>
      </x:c>
      <x:c r="C38" s="178" t="str">
        <x:v>R10</x:v>
      </x:c>
      <x:c r="D38" s="178" t="str">
        <x:v>Daniel Ruiz</x:v>
      </x:c>
      <x:c r="E38" s="178" t="str">
        <x:v>Enterprise</x:v>
      </x:c>
      <x:c r="F38" s="178" t="str">
        <x:v>West</x:v>
      </x:c>
      <x:c r="G38" s="178" t="str">
        <x:v>Support Plus</x:v>
      </x:c>
      <x:c r="H38" s="178" t="str">
        <x:v>Support</x:v>
      </x:c>
      <x:c r="I38" s="179" t="n">
        <x:v>6225</x:v>
      </x:c>
      <x:c r="J38" s="179" t="n">
        <x:v>0</x:v>
      </x:c>
      <x:c r="K38" s="180" t="n">
        <x:v>1</x:v>
      </x:c>
      <x:c r="L38" s="178" t="str">
        <x:v>No</x:v>
      </x:c>
      <x:c r="M38" s="178" t="str">
        <x:v>Approved</x:v>
      </x:c>
      <x:c r="N38" s="181" t="str">
        <x:v>AC-1033</x:v>
      </x:c>
    </x:row>
    <x:row r="39">
      <x:c r="A39" s="176" t="str">
        <x:v>D0035</x:v>
      </x:c>
      <x:c r="B39" s="177" t="n">
        <x:v>46207</x:v>
      </x:c>
      <x:c r="C39" s="178" t="str">
        <x:v>R11</x:v>
      </x:c>
      <x:c r="D39" s="178" t="str">
        <x:v>Elif Kaya</x:v>
      </x:c>
      <x:c r="E39" s="178" t="str">
        <x:v>Mid-Market</x:v>
      </x:c>
      <x:c r="F39" s="178" t="str">
        <x:v>South</x:v>
      </x:c>
      <x:c r="G39" s="178" t="str">
        <x:v>Workflow Pro</x:v>
      </x:c>
      <x:c r="H39" s="178" t="str">
        <x:v>Software</x:v>
      </x:c>
      <x:c r="I39" s="179" t="n">
        <x:v>7153</x:v>
      </x:c>
      <x:c r="J39" s="179" t="n">
        <x:v>1287.54</x:v>
      </x:c>
      <x:c r="K39" s="180" t="n">
        <x:v>1</x:v>
      </x:c>
      <x:c r="L39" s="178" t="str">
        <x:v>Yes</x:v>
      </x:c>
      <x:c r="M39" s="178" t="str">
        <x:v>Approved</x:v>
      </x:c>
      <x:c r="N39" s="181" t="str">
        <x:v>AC-1034</x:v>
      </x:c>
    </x:row>
    <x:row r="40">
      <x:c r="A40" s="176" t="str">
        <x:v>D0036</x:v>
      </x:c>
      <x:c r="B40" s="177" t="n">
        <x:v>46208</x:v>
      </x:c>
      <x:c r="C40" s="178" t="str">
        <x:v>R12</x:v>
      </x:c>
      <x:c r="D40" s="178" t="str">
        <x:v>Jon Bell</x:v>
      </x:c>
      <x:c r="E40" s="178" t="str">
        <x:v>SMB</x:v>
      </x:c>
      <x:c r="F40" s="178" t="str">
        <x:v>East</x:v>
      </x:c>
      <x:c r="G40" s="178" t="str">
        <x:v>Training Pack</x:v>
      </x:c>
      <x:c r="H40" s="178" t="str">
        <x:v>Services</x:v>
      </x:c>
      <x:c r="I40" s="179" t="n">
        <x:v>8081</x:v>
      </x:c>
      <x:c r="J40" s="179" t="n">
        <x:v>0</x:v>
      </x:c>
      <x:c r="K40" s="180" t="n">
        <x:v>1</x:v>
      </x:c>
      <x:c r="L40" s="178" t="str">
        <x:v>No</x:v>
      </x:c>
      <x:c r="M40" s="178" t="str">
        <x:v>Approved</x:v>
      </x:c>
      <x:c r="N40" s="181" t="str">
        <x:v>AC-1035</x:v>
      </x:c>
    </x:row>
    <x:row r="41">
      <x:c r="A41" s="176" t="str">
        <x:v>D0037</x:v>
      </x:c>
      <x:c r="B41" s="177" t="n">
        <x:v>46209</x:v>
      </x:c>
      <x:c r="C41" s="178" t="str">
        <x:v>R01</x:v>
      </x:c>
      <x:c r="D41" s="178" t="str">
        <x:v>Maya Chen</x:v>
      </x:c>
      <x:c r="E41" s="178" t="str">
        <x:v>Enterprise</x:v>
      </x:c>
      <x:c r="F41" s="178" t="str">
        <x:v>North</x:v>
      </x:c>
      <x:c r="G41" s="178" t="str">
        <x:v>Analytics Cloud</x:v>
      </x:c>
      <x:c r="H41" s="178" t="str">
        <x:v>Software</x:v>
      </x:c>
      <x:c r="I41" s="179" t="n">
        <x:v>7776</x:v>
      </x:c>
      <x:c r="J41" s="179" t="n">
        <x:v>0</x:v>
      </x:c>
      <x:c r="K41" s="180" t="n">
        <x:v>1</x:v>
      </x:c>
      <x:c r="L41" s="178" t="str">
        <x:v>Yes</x:v>
      </x:c>
      <x:c r="M41" s="178" t="str">
        <x:v>Pending</x:v>
      </x:c>
      <x:c r="N41" s="181" t="str">
        <x:v>AC-1036</x:v>
      </x:c>
    </x:row>
    <x:row r="42">
      <x:c r="A42" s="176" t="str">
        <x:v>D0038</x:v>
      </x:c>
      <x:c r="B42" s="177" t="n">
        <x:v>46210</x:v>
      </x:c>
      <x:c r="C42" s="178" t="str">
        <x:v>R02</x:v>
      </x:c>
      <x:c r="D42" s="178" t="str">
        <x:v>Ethan Brooks</x:v>
      </x:c>
      <x:c r="E42" s="178" t="str">
        <x:v>Enterprise</x:v>
      </x:c>
      <x:c r="F42" s="178" t="str">
        <x:v>South</x:v>
      </x:c>
      <x:c r="G42" s="178" t="str">
        <x:v>Implementation</x:v>
      </x:c>
      <x:c r="H42" s="178" t="str">
        <x:v>Services</x:v>
      </x:c>
      <x:c r="I42" s="179" t="n">
        <x:v>1504</x:v>
      </x:c>
      <x:c r="J42" s="179" t="n">
        <x:v>0</x:v>
      </x:c>
      <x:c r="K42" s="180" t="n">
        <x:v>1</x:v>
      </x:c>
      <x:c r="L42" s="178" t="str">
        <x:v>No</x:v>
      </x:c>
      <x:c r="M42" s="178" t="str">
        <x:v>Approved</x:v>
      </x:c>
      <x:c r="N42" s="181" t="str">
        <x:v>AC-1037</x:v>
      </x:c>
    </x:row>
    <x:row r="43">
      <x:c r="A43" s="176" t="str">
        <x:v>D0039</x:v>
      </x:c>
      <x:c r="B43" s="177" t="n">
        <x:v>46211</x:v>
      </x:c>
      <x:c r="C43" s="178" t="str">
        <x:v>R03</x:v>
      </x:c>
      <x:c r="D43" s="178" t="str">
        <x:v>Sofia Patel</x:v>
      </x:c>
      <x:c r="E43" s="178" t="str">
        <x:v>Mid-Market</x:v>
      </x:c>
      <x:c r="F43" s="178" t="str">
        <x:v>East</x:v>
      </x:c>
      <x:c r="G43" s="178" t="str">
        <x:v>Support Plus</x:v>
      </x:c>
      <x:c r="H43" s="178" t="str">
        <x:v>Support</x:v>
      </x:c>
      <x:c r="I43" s="179" t="n">
        <x:v>2432</x:v>
      </x:c>
      <x:c r="J43" s="179" t="n">
        <x:v>0</x:v>
      </x:c>
      <x:c r="K43" s="180" t="n">
        <x:v>1</x:v>
      </x:c>
      <x:c r="L43" s="178" t="str">
        <x:v>No</x:v>
      </x:c>
      <x:c r="M43" s="178" t="str">
        <x:v>Approved</x:v>
      </x:c>
      <x:c r="N43" s="181" t="str">
        <x:v>AC-1038</x:v>
      </x:c>
    </x:row>
    <x:row r="44">
      <x:c r="A44" s="176" t="str">
        <x:v>D0040</x:v>
      </x:c>
      <x:c r="B44" s="177" t="n">
        <x:v>46212</x:v>
      </x:c>
      <x:c r="C44" s="178" t="str">
        <x:v>R04</x:v>
      </x:c>
      <x:c r="D44" s="178" t="str">
        <x:v>Noah Williams</x:v>
      </x:c>
      <x:c r="E44" s="178" t="str">
        <x:v>Mid-Market</x:v>
      </x:c>
      <x:c r="F44" s="178" t="str">
        <x:v>West</x:v>
      </x:c>
      <x:c r="G44" s="178" t="str">
        <x:v>Workflow Pro</x:v>
      </x:c>
      <x:c r="H44" s="178" t="str">
        <x:v>Software</x:v>
      </x:c>
      <x:c r="I44" s="179" t="n">
        <x:v>3360</x:v>
      </x:c>
      <x:c r="J44" s="179" t="n">
        <x:v>0</x:v>
      </x:c>
      <x:c r="K44" s="180" t="n">
        <x:v>1</x:v>
      </x:c>
      <x:c r="L44" s="178" t="str">
        <x:v>Yes</x:v>
      </x:c>
      <x:c r="M44" s="178" t="str">
        <x:v>Approved</x:v>
      </x:c>
      <x:c r="N44" s="181" t="str">
        <x:v>AC-1039</x:v>
      </x:c>
    </x:row>
    <x:row r="45">
      <x:c r="A45" s="176" t="str">
        <x:v>D0041</x:v>
      </x:c>
      <x:c r="B45" s="177" t="n">
        <x:v>46213</x:v>
      </x:c>
      <x:c r="C45" s="178" t="str">
        <x:v>R05</x:v>
      </x:c>
      <x:c r="D45" s="178" t="str">
        <x:v>Lina Haddad</x:v>
      </x:c>
      <x:c r="E45" s="178" t="str">
        <x:v>SMB</x:v>
      </x:c>
      <x:c r="F45" s="178" t="str">
        <x:v>North</x:v>
      </x:c>
      <x:c r="G45" s="178" t="str">
        <x:v>Training Pack</x:v>
      </x:c>
      <x:c r="H45" s="178" t="str">
        <x:v>Services</x:v>
      </x:c>
      <x:c r="I45" s="179" t="n">
        <x:v>4288</x:v>
      </x:c>
      <x:c r="J45" s="179" t="n">
        <x:v>0</x:v>
      </x:c>
      <x:c r="K45" s="180" t="n">
        <x:v>1</x:v>
      </x:c>
      <x:c r="L45" s="178" t="str">
        <x:v>No</x:v>
      </x:c>
      <x:c r="M45" s="178" t="str">
        <x:v>Approved</x:v>
      </x:c>
      <x:c r="N45" s="181" t="str">
        <x:v>AC-1040</x:v>
      </x:c>
    </x:row>
    <x:row r="46">
      <x:c r="A46" s="176" t="str">
        <x:v>D0042</x:v>
      </x:c>
      <x:c r="B46" s="177" t="n">
        <x:v>46214</x:v>
      </x:c>
      <x:c r="C46" s="178" t="str">
        <x:v>R06</x:v>
      </x:c>
      <x:c r="D46" s="178" t="str">
        <x:v>Lucas Martin</x:v>
      </x:c>
      <x:c r="E46" s="178" t="str">
        <x:v>SMB</x:v>
      </x:c>
      <x:c r="F46" s="178" t="str">
        <x:v>South</x:v>
      </x:c>
      <x:c r="G46" s="178" t="str">
        <x:v>Analytics Cloud</x:v>
      </x:c>
      <x:c r="H46" s="178" t="str">
        <x:v>Software</x:v>
      </x:c>
      <x:c r="I46" s="179" t="n">
        <x:v>5216</x:v>
      </x:c>
      <x:c r="J46" s="179" t="n">
        <x:v>0</x:v>
      </x:c>
      <x:c r="K46" s="180" t="n">
        <x:v>1</x:v>
      </x:c>
      <x:c r="L46" s="178" t="str">
        <x:v>Yes</x:v>
      </x:c>
      <x:c r="M46" s="178" t="str">
        <x:v>Pending</x:v>
      </x:c>
      <x:c r="N46" s="181" t="str">
        <x:v>AC-1041</x:v>
      </x:c>
    </x:row>
    <x:row r="47">
      <x:c r="A47" s="176" t="str">
        <x:v>D0043</x:v>
      </x:c>
      <x:c r="B47" s="177" t="n">
        <x:v>46215</x:v>
      </x:c>
      <x:c r="C47" s="178" t="str">
        <x:v>R07</x:v>
      </x:c>
      <x:c r="D47" s="178" t="str">
        <x:v>Aylin Demir</x:v>
      </x:c>
      <x:c r="E47" s="178" t="str">
        <x:v>Enterprise</x:v>
      </x:c>
      <x:c r="F47" s="178" t="str">
        <x:v>East</x:v>
      </x:c>
      <x:c r="G47" s="178" t="str">
        <x:v>Implementation</x:v>
      </x:c>
      <x:c r="H47" s="178" t="str">
        <x:v>Services</x:v>
      </x:c>
      <x:c r="I47" s="179" t="n">
        <x:v>6144</x:v>
      </x:c>
      <x:c r="J47" s="179" t="n">
        <x:v>0</x:v>
      </x:c>
      <x:c r="K47" s="180" t="n">
        <x:v>1</x:v>
      </x:c>
      <x:c r="L47" s="178" t="str">
        <x:v>No</x:v>
      </x:c>
      <x:c r="M47" s="178" t="str">
        <x:v>Approved</x:v>
      </x:c>
      <x:c r="N47" s="181" t="str">
        <x:v>AC-1042</x:v>
      </x:c>
    </x:row>
    <x:row r="48">
      <x:c r="A48" s="176" t="str">
        <x:v>D0044</x:v>
      </x:c>
      <x:c r="B48" s="177" t="n">
        <x:v>46216</x:v>
      </x:c>
      <x:c r="C48" s="178" t="str">
        <x:v>R08</x:v>
      </x:c>
      <x:c r="D48" s="178" t="str">
        <x:v>Owen Taylor</x:v>
      </x:c>
      <x:c r="E48" s="178" t="str">
        <x:v>Mid-Market</x:v>
      </x:c>
      <x:c r="F48" s="178" t="str">
        <x:v>North</x:v>
      </x:c>
      <x:c r="G48" s="178" t="str">
        <x:v>Support Plus</x:v>
      </x:c>
      <x:c r="H48" s="178" t="str">
        <x:v>Support</x:v>
      </x:c>
      <x:c r="I48" s="179" t="n">
        <x:v>7072</x:v>
      </x:c>
      <x:c r="J48" s="179" t="n">
        <x:v>0</x:v>
      </x:c>
      <x:c r="K48" s="180" t="n">
        <x:v>1</x:v>
      </x:c>
      <x:c r="L48" s="178" t="str">
        <x:v>No</x:v>
      </x:c>
      <x:c r="M48" s="178" t="str">
        <x:v>Approved</x:v>
      </x:c>
      <x:c r="N48" s="181" t="str">
        <x:v>AC-1043</x:v>
      </x:c>
    </x:row>
    <x:row r="49">
      <x:c r="A49" s="176" t="str">
        <x:v>D0045</x:v>
      </x:c>
      <x:c r="B49" s="177" t="n">
        <x:v>46217</x:v>
      </x:c>
      <x:c r="C49" s="178" t="str">
        <x:v>R09</x:v>
      </x:c>
      <x:c r="D49" s="178" t="str">
        <x:v>Sara Kim</x:v>
      </x:c>
      <x:c r="E49" s="178" t="str">
        <x:v>SMB</x:v>
      </x:c>
      <x:c r="F49" s="178" t="str">
        <x:v>West</x:v>
      </x:c>
      <x:c r="G49" s="178" t="str">
        <x:v>Workflow Pro</x:v>
      </x:c>
      <x:c r="H49" s="178" t="str">
        <x:v>Software</x:v>
      </x:c>
      <x:c r="I49" s="179" t="n">
        <x:v>8000</x:v>
      </x:c>
      <x:c r="J49" s="179" t="n">
        <x:v>0</x:v>
      </x:c>
      <x:c r="K49" s="180" t="n">
        <x:v>1</x:v>
      </x:c>
      <x:c r="L49" s="178" t="str">
        <x:v>Yes</x:v>
      </x:c>
      <x:c r="M49" s="178" t="str">
        <x:v>Approved</x:v>
      </x:c>
      <x:c r="N49" s="181" t="str">
        <x:v>AC-1044</x:v>
      </x:c>
    </x:row>
    <x:row r="50">
      <x:c r="A50" s="176" t="str">
        <x:v>D0046</x:v>
      </x:c>
      <x:c r="B50" s="177" t="n">
        <x:v>46218</x:v>
      </x:c>
      <x:c r="C50" s="178" t="str">
        <x:v>R10</x:v>
      </x:c>
      <x:c r="D50" s="178" t="str">
        <x:v>Daniel Ruiz</x:v>
      </x:c>
      <x:c r="E50" s="178" t="str">
        <x:v>Enterprise</x:v>
      </x:c>
      <x:c r="F50" s="178" t="str">
        <x:v>West</x:v>
      </x:c>
      <x:c r="G50" s="178" t="str">
        <x:v>Training Pack</x:v>
      </x:c>
      <x:c r="H50" s="178" t="str">
        <x:v>Services</x:v>
      </x:c>
      <x:c r="I50" s="179" t="n">
        <x:v>7695</x:v>
      </x:c>
      <x:c r="J50" s="179" t="n">
        <x:v>0</x:v>
      </x:c>
      <x:c r="K50" s="180" t="n">
        <x:v>1</x:v>
      </x:c>
      <x:c r="L50" s="178" t="str">
        <x:v>No</x:v>
      </x:c>
      <x:c r="M50" s="178" t="str">
        <x:v>Approved</x:v>
      </x:c>
      <x:c r="N50" s="181" t="str">
        <x:v>AC-1045</x:v>
      </x:c>
    </x:row>
    <x:row r="51">
      <x:c r="A51" s="176" t="str">
        <x:v>D0047</x:v>
      </x:c>
      <x:c r="B51" s="177" t="n">
        <x:v>46219</x:v>
      </x:c>
      <x:c r="C51" s="178" t="str">
        <x:v>R11</x:v>
      </x:c>
      <x:c r="D51" s="178" t="str">
        <x:v>Elif Kaya</x:v>
      </x:c>
      <x:c r="E51" s="178" t="str">
        <x:v>Mid-Market</x:v>
      </x:c>
      <x:c r="F51" s="178" t="str">
        <x:v>South</x:v>
      </x:c>
      <x:c r="G51" s="178" t="str">
        <x:v>Analytics Cloud</x:v>
      </x:c>
      <x:c r="H51" s="178" t="str">
        <x:v>Software</x:v>
      </x:c>
      <x:c r="I51" s="179" t="n">
        <x:v>1423</x:v>
      </x:c>
      <x:c r="J51" s="179" t="n">
        <x:v>0</x:v>
      </x:c>
      <x:c r="K51" s="180" t="n">
        <x:v>0.5</x:v>
      </x:c>
      <x:c r="L51" s="178" t="str">
        <x:v>Yes</x:v>
      </x:c>
      <x:c r="M51" s="178" t="str">
        <x:v>Pending</x:v>
      </x:c>
      <x:c r="N51" s="181" t="str">
        <x:v>AC-1046</x:v>
      </x:c>
    </x:row>
    <x:row r="52">
      <x:c r="A52" s="176" t="str">
        <x:v>D0048</x:v>
      </x:c>
      <x:c r="B52" s="177" t="n">
        <x:v>46220</x:v>
      </x:c>
      <x:c r="C52" s="178" t="str">
        <x:v>R12</x:v>
      </x:c>
      <x:c r="D52" s="178" t="str">
        <x:v>Jon Bell</x:v>
      </x:c>
      <x:c r="E52" s="178" t="str">
        <x:v>SMB</x:v>
      </x:c>
      <x:c r="F52" s="178" t="str">
        <x:v>East</x:v>
      </x:c>
      <x:c r="G52" s="178" t="str">
        <x:v>Implementation</x:v>
      </x:c>
      <x:c r="H52" s="178" t="str">
        <x:v>Services</x:v>
      </x:c>
      <x:c r="I52" s="179" t="n">
        <x:v>2351</x:v>
      </x:c>
      <x:c r="J52" s="179" t="n">
        <x:v>0</x:v>
      </x:c>
      <x:c r="K52" s="180" t="n">
        <x:v>1</x:v>
      </x:c>
      <x:c r="L52" s="178" t="str">
        <x:v>No</x:v>
      </x:c>
      <x:c r="M52" s="178" t="str">
        <x:v>Approved</x:v>
      </x:c>
      <x:c r="N52" s="181" t="str">
        <x:v>AC-1047</x:v>
      </x:c>
    </x:row>
    <x:row r="53">
      <x:c r="A53" s="176" t="str">
        <x:v>D0049</x:v>
      </x:c>
      <x:c r="B53" s="177" t="n">
        <x:v>46221</x:v>
      </x:c>
      <x:c r="C53" s="178" t="str">
        <x:v>R01</x:v>
      </x:c>
      <x:c r="D53" s="178" t="str">
        <x:v>Maya Chen</x:v>
      </x:c>
      <x:c r="E53" s="178" t="str">
        <x:v>Enterprise</x:v>
      </x:c>
      <x:c r="F53" s="178" t="str">
        <x:v>North</x:v>
      </x:c>
      <x:c r="G53" s="178" t="str">
        <x:v>Support Plus</x:v>
      </x:c>
      <x:c r="H53" s="178" t="str">
        <x:v>Support</x:v>
      </x:c>
      <x:c r="I53" s="179" t="n">
        <x:v>3279</x:v>
      </x:c>
      <x:c r="J53" s="179" t="n">
        <x:v>0</x:v>
      </x:c>
      <x:c r="K53" s="180" t="n">
        <x:v>1</x:v>
      </x:c>
      <x:c r="L53" s="178" t="str">
        <x:v>No</x:v>
      </x:c>
      <x:c r="M53" s="178" t="str">
        <x:v>Approved</x:v>
      </x:c>
      <x:c r="N53" s="181" t="str">
        <x:v>AC-1048</x:v>
      </x:c>
    </x:row>
    <x:row r="54">
      <x:c r="A54" s="176" t="str">
        <x:v>D0050</x:v>
      </x:c>
      <x:c r="B54" s="177" t="n">
        <x:v>46222</x:v>
      </x:c>
      <x:c r="C54" s="178" t="str">
        <x:v>R02</x:v>
      </x:c>
      <x:c r="D54" s="178" t="str">
        <x:v>Ethan Brooks</x:v>
      </x:c>
      <x:c r="E54" s="178" t="str">
        <x:v>Enterprise</x:v>
      </x:c>
      <x:c r="F54" s="178" t="str">
        <x:v>South</x:v>
      </x:c>
      <x:c r="G54" s="178" t="str">
        <x:v>Workflow Pro</x:v>
      </x:c>
      <x:c r="H54" s="178" t="str">
        <x:v>Software</x:v>
      </x:c>
      <x:c r="I54" s="179" t="n">
        <x:v>4207</x:v>
      </x:c>
      <x:c r="J54" s="179" t="n">
        <x:v>0</x:v>
      </x:c>
      <x:c r="K54" s="180" t="n">
        <x:v>1</x:v>
      </x:c>
      <x:c r="L54" s="178" t="str">
        <x:v>Yes</x:v>
      </x:c>
      <x:c r="M54" s="178" t="str">
        <x:v>Approved</x:v>
      </x:c>
      <x:c r="N54" s="181" t="str">
        <x:v>AC-1049</x:v>
      </x:c>
    </x:row>
    <x:row r="55">
      <x:c r="A55" s="176" t="str">
        <x:v>D0051</x:v>
      </x:c>
      <x:c r="B55" s="177" t="n">
        <x:v>46223</x:v>
      </x:c>
      <x:c r="C55" s="178" t="str">
        <x:v>R03</x:v>
      </x:c>
      <x:c r="D55" s="178" t="str">
        <x:v>Sofia Patel</x:v>
      </x:c>
      <x:c r="E55" s="178" t="str">
        <x:v>Mid-Market</x:v>
      </x:c>
      <x:c r="F55" s="178" t="str">
        <x:v>East</x:v>
      </x:c>
      <x:c r="G55" s="178" t="str">
        <x:v>Training Pack</x:v>
      </x:c>
      <x:c r="H55" s="178" t="str">
        <x:v>Services</x:v>
      </x:c>
      <x:c r="I55" s="179" t="n">
        <x:v>5135</x:v>
      </x:c>
      <x:c r="J55" s="179" t="n">
        <x:v>0</x:v>
      </x:c>
      <x:c r="K55" s="180" t="n">
        <x:v>1</x:v>
      </x:c>
      <x:c r="L55" s="178" t="str">
        <x:v>No</x:v>
      </x:c>
      <x:c r="M55" s="178" t="str">
        <x:v>Approved</x:v>
      </x:c>
      <x:c r="N55" s="181" t="str">
        <x:v>AC-1050</x:v>
      </x:c>
    </x:row>
    <x:row r="56">
      <x:c r="A56" s="176" t="str">
        <x:v>D0052</x:v>
      </x:c>
      <x:c r="B56" s="177" t="n">
        <x:v>46224</x:v>
      </x:c>
      <x:c r="C56" s="178" t="str">
        <x:v>R04</x:v>
      </x:c>
      <x:c r="D56" s="178" t="str">
        <x:v>Noah Williams</x:v>
      </x:c>
      <x:c r="E56" s="178" t="str">
        <x:v>Mid-Market</x:v>
      </x:c>
      <x:c r="F56" s="178" t="str">
        <x:v>West</x:v>
      </x:c>
      <x:c r="G56" s="178" t="str">
        <x:v>Analytics Cloud</x:v>
      </x:c>
      <x:c r="H56" s="178" t="str">
        <x:v>Software</x:v>
      </x:c>
      <x:c r="I56" s="179" t="n">
        <x:v>6063</x:v>
      </x:c>
      <x:c r="J56" s="179" t="n">
        <x:v>727.56</x:v>
      </x:c>
      <x:c r="K56" s="180" t="n">
        <x:v>1</x:v>
      </x:c>
      <x:c r="L56" s="178" t="str">
        <x:v>Yes</x:v>
      </x:c>
      <x:c r="M56" s="178" t="str">
        <x:v>Pending</x:v>
      </x:c>
      <x:c r="N56" s="181" t="str">
        <x:v>AC-1051</x:v>
      </x:c>
    </x:row>
    <x:row r="57">
      <x:c r="A57" s="176" t="str">
        <x:v>D0053</x:v>
      </x:c>
      <x:c r="B57" s="177" t="n">
        <x:v>46225</x:v>
      </x:c>
      <x:c r="C57" s="178" t="str">
        <x:v>R05</x:v>
      </x:c>
      <x:c r="D57" s="178" t="str">
        <x:v>Lina Haddad</x:v>
      </x:c>
      <x:c r="E57" s="178" t="str">
        <x:v>SMB</x:v>
      </x:c>
      <x:c r="F57" s="178" t="str">
        <x:v>North</x:v>
      </x:c>
      <x:c r="G57" s="178" t="str">
        <x:v>Implementation</x:v>
      </x:c>
      <x:c r="H57" s="178" t="str">
        <x:v>Services</x:v>
      </x:c>
      <x:c r="I57" s="179" t="n">
        <x:v>6991</x:v>
      </x:c>
      <x:c r="J57" s="179" t="n">
        <x:v>0</x:v>
      </x:c>
      <x:c r="K57" s="180" t="n">
        <x:v>1</x:v>
      </x:c>
      <x:c r="L57" s="178" t="str">
        <x:v>No</x:v>
      </x:c>
      <x:c r="M57" s="178" t="str">
        <x:v>Approved</x:v>
      </x:c>
      <x:c r="N57" s="181" t="str">
        <x:v>AC-1052</x:v>
      </x:c>
    </x:row>
    <x:row r="58">
      <x:c r="A58" s="176" t="str">
        <x:v>D0054</x:v>
      </x:c>
      <x:c r="B58" s="177" t="n">
        <x:v>46226</x:v>
      </x:c>
      <x:c r="C58" s="178" t="str">
        <x:v>R06</x:v>
      </x:c>
      <x:c r="D58" s="178" t="str">
        <x:v>Lucas Martin</x:v>
      </x:c>
      <x:c r="E58" s="178" t="str">
        <x:v>SMB</x:v>
      </x:c>
      <x:c r="F58" s="178" t="str">
        <x:v>South</x:v>
      </x:c>
      <x:c r="G58" s="178" t="str">
        <x:v>Support Plus</x:v>
      </x:c>
      <x:c r="H58" s="178" t="str">
        <x:v>Support</x:v>
      </x:c>
      <x:c r="I58" s="179" t="n">
        <x:v>7919</x:v>
      </x:c>
      <x:c r="J58" s="179" t="n">
        <x:v>0</x:v>
      </x:c>
      <x:c r="K58" s="180" t="n">
        <x:v>1</x:v>
      </x:c>
      <x:c r="L58" s="178" t="str">
        <x:v>No</x:v>
      </x:c>
      <x:c r="M58" s="178" t="str">
        <x:v>Approved</x:v>
      </x:c>
      <x:c r="N58" s="181" t="str">
        <x:v>AC-1053</x:v>
      </x:c>
    </x:row>
    <x:row r="59">
      <x:c r="A59" s="176" t="str">
        <x:v>D0055</x:v>
      </x:c>
      <x:c r="B59" s="177" t="n">
        <x:v>46227</x:v>
      </x:c>
      <x:c r="C59" s="178" t="str">
        <x:v>R07</x:v>
      </x:c>
      <x:c r="D59" s="178" t="str">
        <x:v>Aylin Demir</x:v>
      </x:c>
      <x:c r="E59" s="178" t="str">
        <x:v>Enterprise</x:v>
      </x:c>
      <x:c r="F59" s="178" t="str">
        <x:v>East</x:v>
      </x:c>
      <x:c r="G59" s="178" t="str">
        <x:v>Workflow Pro</x:v>
      </x:c>
      <x:c r="H59" s="178" t="str">
        <x:v>Software</x:v>
      </x:c>
      <x:c r="I59" s="179" t="n">
        <x:v>7614</x:v>
      </x:c>
      <x:c r="J59" s="179" t="n">
        <x:v>0</x:v>
      </x:c>
      <x:c r="K59" s="180" t="n">
        <x:v>1</x:v>
      </x:c>
      <x:c r="L59" s="178" t="str">
        <x:v>Yes</x:v>
      </x:c>
      <x:c r="M59" s="178" t="str">
        <x:v>Approved</x:v>
      </x:c>
      <x:c r="N59" s="181" t="str">
        <x:v>AC-1054</x:v>
      </x:c>
    </x:row>
    <x:row r="60">
      <x:c r="A60" s="176" t="str">
        <x:v>D0056</x:v>
      </x:c>
      <x:c r="B60" s="177" t="n">
        <x:v>46228</x:v>
      </x:c>
      <x:c r="C60" s="178" t="str">
        <x:v>R08</x:v>
      </x:c>
      <x:c r="D60" s="178" t="str">
        <x:v>Owen Taylor</x:v>
      </x:c>
      <x:c r="E60" s="178" t="str">
        <x:v>Mid-Market</x:v>
      </x:c>
      <x:c r="F60" s="178" t="str">
        <x:v>North</x:v>
      </x:c>
      <x:c r="G60" s="178" t="str">
        <x:v>Training Pack</x:v>
      </x:c>
      <x:c r="H60" s="178" t="str">
        <x:v>Services</x:v>
      </x:c>
      <x:c r="I60" s="179" t="n">
        <x:v>1342</x:v>
      </x:c>
      <x:c r="J60" s="179" t="n">
        <x:v>0</x:v>
      </x:c>
      <x:c r="K60" s="180" t="n">
        <x:v>1</x:v>
      </x:c>
      <x:c r="L60" s="178" t="str">
        <x:v>No</x:v>
      </x:c>
      <x:c r="M60" s="178" t="str">
        <x:v>Approved</x:v>
      </x:c>
      <x:c r="N60" s="181" t="str">
        <x:v>AC-1055</x:v>
      </x:c>
    </x:row>
    <x:row r="61">
      <x:c r="A61" s="176" t="str">
        <x:v>D0057</x:v>
      </x:c>
      <x:c r="B61" s="177" t="n">
        <x:v>46229</x:v>
      </x:c>
      <x:c r="C61" s="178" t="str">
        <x:v>R09</x:v>
      </x:c>
      <x:c r="D61" s="178" t="str">
        <x:v>Sara Kim</x:v>
      </x:c>
      <x:c r="E61" s="178" t="str">
        <x:v>SMB</x:v>
      </x:c>
      <x:c r="F61" s="178" t="str">
        <x:v>West</x:v>
      </x:c>
      <x:c r="G61" s="178" t="str">
        <x:v>Analytics Cloud</x:v>
      </x:c>
      <x:c r="H61" s="178" t="str">
        <x:v>Software</x:v>
      </x:c>
      <x:c r="I61" s="179" t="n">
        <x:v>2270</x:v>
      </x:c>
      <x:c r="J61" s="179" t="n">
        <x:v>0</x:v>
      </x:c>
      <x:c r="K61" s="180" t="n">
        <x:v>1</x:v>
      </x:c>
      <x:c r="L61" s="178" t="str">
        <x:v>Yes</x:v>
      </x:c>
      <x:c r="M61" s="178" t="str">
        <x:v>Pending</x:v>
      </x:c>
      <x:c r="N61" s="181" t="str">
        <x:v>AC-1056</x:v>
      </x:c>
    </x:row>
    <x:row r="62">
      <x:c r="A62" s="176" t="str">
        <x:v>D0058</x:v>
      </x:c>
      <x:c r="B62" s="177" t="n">
        <x:v>46230</x:v>
      </x:c>
      <x:c r="C62" s="178" t="str">
        <x:v>R10</x:v>
      </x:c>
      <x:c r="D62" s="178" t="str">
        <x:v>Daniel Ruiz</x:v>
      </x:c>
      <x:c r="E62" s="178" t="str">
        <x:v>Enterprise</x:v>
      </x:c>
      <x:c r="F62" s="178" t="str">
        <x:v>West</x:v>
      </x:c>
      <x:c r="G62" s="178" t="str">
        <x:v>Implementation</x:v>
      </x:c>
      <x:c r="H62" s="178" t="str">
        <x:v>Services</x:v>
      </x:c>
      <x:c r="I62" s="179" t="n">
        <x:v>3198</x:v>
      </x:c>
      <x:c r="J62" s="179" t="n">
        <x:v>0</x:v>
      </x:c>
      <x:c r="K62" s="180" t="n">
        <x:v>1</x:v>
      </x:c>
      <x:c r="L62" s="178" t="str">
        <x:v>No</x:v>
      </x:c>
      <x:c r="M62" s="178" t="str">
        <x:v>Approved</x:v>
      </x:c>
      <x:c r="N62" s="181" t="str">
        <x:v>AC-1057</x:v>
      </x:c>
    </x:row>
    <x:row r="63">
      <x:c r="A63" s="176" t="str">
        <x:v>D0059</x:v>
      </x:c>
      <x:c r="B63" s="177" t="n">
        <x:v>46231</x:v>
      </x:c>
      <x:c r="C63" s="178" t="str">
        <x:v>R11</x:v>
      </x:c>
      <x:c r="D63" s="178" t="str">
        <x:v>Elif Kaya</x:v>
      </x:c>
      <x:c r="E63" s="178" t="str">
        <x:v>Mid-Market</x:v>
      </x:c>
      <x:c r="F63" s="178" t="str">
        <x:v>South</x:v>
      </x:c>
      <x:c r="G63" s="178" t="str">
        <x:v>Support Plus</x:v>
      </x:c>
      <x:c r="H63" s="178" t="str">
        <x:v>Support</x:v>
      </x:c>
      <x:c r="I63" s="179" t="n">
        <x:v>4126</x:v>
      </x:c>
      <x:c r="J63" s="179" t="n">
        <x:v>0</x:v>
      </x:c>
      <x:c r="K63" s="180" t="n">
        <x:v>0.75</x:v>
      </x:c>
      <x:c r="L63" s="178" t="str">
        <x:v>No</x:v>
      </x:c>
      <x:c r="M63" s="178" t="str">
        <x:v>Approved</x:v>
      </x:c>
      <x:c r="N63" s="181" t="str">
        <x:v>AC-1058</x:v>
      </x:c>
    </x:row>
    <x:row r="64">
      <x:c r="A64" s="176" t="str">
        <x:v>D0060</x:v>
      </x:c>
      <x:c r="B64" s="177" t="n">
        <x:v>46232</x:v>
      </x:c>
      <x:c r="C64" s="178" t="str">
        <x:v>R12</x:v>
      </x:c>
      <x:c r="D64" s="178" t="str">
        <x:v>Jon Bell</x:v>
      </x:c>
      <x:c r="E64" s="178" t="str">
        <x:v>SMB</x:v>
      </x:c>
      <x:c r="F64" s="178" t="str">
        <x:v>East</x:v>
      </x:c>
      <x:c r="G64" s="178" t="str">
        <x:v>Workflow Pro</x:v>
      </x:c>
      <x:c r="H64" s="178" t="str">
        <x:v>Software</x:v>
      </x:c>
      <x:c r="I64" s="179" t="n">
        <x:v>5054</x:v>
      </x:c>
      <x:c r="J64" s="179" t="n">
        <x:v>0</x:v>
      </x:c>
      <x:c r="K64" s="180" t="n">
        <x:v>1</x:v>
      </x:c>
      <x:c r="L64" s="178" t="str">
        <x:v>Yes</x:v>
      </x:c>
      <x:c r="M64" s="178" t="str">
        <x:v>Approved</x:v>
      </x:c>
      <x:c r="N64" s="181" t="str">
        <x:v>AC-1059</x:v>
      </x:c>
    </x:row>
    <x:row r="65">
      <x:c r="A65" s="176" t="str">
        <x:v>D0061</x:v>
      </x:c>
      <x:c r="B65" s="177" t="n">
        <x:v>46233</x:v>
      </x:c>
      <x:c r="C65" s="178" t="str">
        <x:v>R01</x:v>
      </x:c>
      <x:c r="D65" s="178" t="str">
        <x:v>Maya Chen</x:v>
      </x:c>
      <x:c r="E65" s="178" t="str">
        <x:v>Enterprise</x:v>
      </x:c>
      <x:c r="F65" s="178" t="str">
        <x:v>North</x:v>
      </x:c>
      <x:c r="G65" s="178" t="str">
        <x:v>Training Pack</x:v>
      </x:c>
      <x:c r="H65" s="178" t="str">
        <x:v>Services</x:v>
      </x:c>
      <x:c r="I65" s="179" t="n">
        <x:v>5982</x:v>
      </x:c>
      <x:c r="J65" s="179" t="n">
        <x:v>0</x:v>
      </x:c>
      <x:c r="K65" s="180" t="n">
        <x:v>1</x:v>
      </x:c>
      <x:c r="L65" s="178" t="str">
        <x:v>No</x:v>
      </x:c>
      <x:c r="M65" s="178" t="str">
        <x:v>Approved</x:v>
      </x:c>
      <x:c r="N65" s="181" t="str">
        <x:v>AC-1060</x:v>
      </x:c>
    </x:row>
    <x:row r="66">
      <x:c r="A66" s="176" t="str">
        <x:v>D0062</x:v>
      </x:c>
      <x:c r="B66" s="177" t="n">
        <x:v>46234</x:v>
      </x:c>
      <x:c r="C66" s="178" t="str">
        <x:v>R02</x:v>
      </x:c>
      <x:c r="D66" s="178" t="str">
        <x:v>Ethan Brooks</x:v>
      </x:c>
      <x:c r="E66" s="178" t="str">
        <x:v>Enterprise</x:v>
      </x:c>
      <x:c r="F66" s="178" t="str">
        <x:v>South</x:v>
      </x:c>
      <x:c r="G66" s="178" t="str">
        <x:v>Analytics Cloud</x:v>
      </x:c>
      <x:c r="H66" s="178" t="str">
        <x:v>Software</x:v>
      </x:c>
      <x:c r="I66" s="179" t="n">
        <x:v>6910</x:v>
      </x:c>
      <x:c r="J66" s="179" t="n">
        <x:v>0</x:v>
      </x:c>
      <x:c r="K66" s="180" t="n">
        <x:v>1</x:v>
      </x:c>
      <x:c r="L66" s="178" t="str">
        <x:v>Yes</x:v>
      </x:c>
      <x:c r="M66" s="178" t="str">
        <x:v>Pending</x:v>
      </x:c>
      <x:c r="N66" s="181" t="str">
        <x:v>AC-1061</x:v>
      </x:c>
    </x:row>
    <x:row r="67">
      <x:c r="A67" s="176" t="str">
        <x:v>D0063</x:v>
      </x:c>
      <x:c r="B67" s="177" t="n">
        <x:v>46204</x:v>
      </x:c>
      <x:c r="C67" s="178" t="str">
        <x:v>R03</x:v>
      </x:c>
      <x:c r="D67" s="178" t="str">
        <x:v>Sofia Patel</x:v>
      </x:c>
      <x:c r="E67" s="178" t="str">
        <x:v>Mid-Market</x:v>
      </x:c>
      <x:c r="F67" s="178" t="str">
        <x:v>East</x:v>
      </x:c>
      <x:c r="G67" s="178" t="str">
        <x:v>Implementation</x:v>
      </x:c>
      <x:c r="H67" s="178" t="str">
        <x:v>Services</x:v>
      </x:c>
      <x:c r="I67" s="179" t="n">
        <x:v>7838</x:v>
      </x:c>
      <x:c r="J67" s="179" t="n">
        <x:v>0</x:v>
      </x:c>
      <x:c r="K67" s="180" t="n">
        <x:v>1</x:v>
      </x:c>
      <x:c r="L67" s="178" t="str">
        <x:v>No</x:v>
      </x:c>
      <x:c r="M67" s="178" t="str">
        <x:v>Approved</x:v>
      </x:c>
      <x:c r="N67" s="181" t="str">
        <x:v>AC-1062</x:v>
      </x:c>
    </x:row>
    <x:row r="68">
      <x:c r="A68" s="176" t="str">
        <x:v>D0064</x:v>
      </x:c>
      <x:c r="B68" s="177" t="n">
        <x:v>46205</x:v>
      </x:c>
      <x:c r="C68" s="178" t="str">
        <x:v>R04</x:v>
      </x:c>
      <x:c r="D68" s="178" t="str">
        <x:v>Noah Williams</x:v>
      </x:c>
      <x:c r="E68" s="178" t="str">
        <x:v>Mid-Market</x:v>
      </x:c>
      <x:c r="F68" s="178" t="str">
        <x:v>West</x:v>
      </x:c>
      <x:c r="G68" s="178" t="str">
        <x:v>Support Plus</x:v>
      </x:c>
      <x:c r="H68" s="178" t="str">
        <x:v>Support</x:v>
      </x:c>
      <x:c r="I68" s="179" t="n">
        <x:v>7533</x:v>
      </x:c>
      <x:c r="J68" s="179" t="n">
        <x:v>0</x:v>
      </x:c>
      <x:c r="K68" s="180" t="n">
        <x:v>1</x:v>
      </x:c>
      <x:c r="L68" s="178" t="str">
        <x:v>No</x:v>
      </x:c>
      <x:c r="M68" s="178" t="str">
        <x:v>Approved</x:v>
      </x:c>
      <x:c r="N68" s="181" t="str">
        <x:v>AC-1063</x:v>
      </x:c>
    </x:row>
    <x:row r="69">
      <x:c r="A69" s="176" t="str">
        <x:v>D0065</x:v>
      </x:c>
      <x:c r="B69" s="177" t="n">
        <x:v>46206</x:v>
      </x:c>
      <x:c r="C69" s="178" t="str">
        <x:v>R05</x:v>
      </x:c>
      <x:c r="D69" s="178" t="str">
        <x:v>Lina Haddad</x:v>
      </x:c>
      <x:c r="E69" s="178" t="str">
        <x:v>SMB</x:v>
      </x:c>
      <x:c r="F69" s="178" t="str">
        <x:v>North</x:v>
      </x:c>
      <x:c r="G69" s="178" t="str">
        <x:v>Workflow Pro</x:v>
      </x:c>
      <x:c r="H69" s="178" t="str">
        <x:v>Software</x:v>
      </x:c>
      <x:c r="I69" s="179" t="n">
        <x:v>1261</x:v>
      </x:c>
      <x:c r="J69" s="179" t="n">
        <x:v>0</x:v>
      </x:c>
      <x:c r="K69" s="180" t="n">
        <x:v>1</x:v>
      </x:c>
      <x:c r="L69" s="178" t="str">
        <x:v>Yes</x:v>
      </x:c>
      <x:c r="M69" s="178" t="str">
        <x:v>Approved</x:v>
      </x:c>
      <x:c r="N69" s="181" t="str">
        <x:v>AC-1064</x:v>
      </x:c>
    </x:row>
    <x:row r="70">
      <x:c r="A70" s="176" t="str">
        <x:v>D0066</x:v>
      </x:c>
      <x:c r="B70" s="177" t="n">
        <x:v>46207</x:v>
      </x:c>
      <x:c r="C70" s="178" t="str">
        <x:v>R06</x:v>
      </x:c>
      <x:c r="D70" s="178" t="str">
        <x:v>Lucas Martin</x:v>
      </x:c>
      <x:c r="E70" s="178" t="str">
        <x:v>SMB</x:v>
      </x:c>
      <x:c r="F70" s="178" t="str">
        <x:v>South</x:v>
      </x:c>
      <x:c r="G70" s="178" t="str">
        <x:v>Training Pack</x:v>
      </x:c>
      <x:c r="H70" s="178" t="str">
        <x:v>Services</x:v>
      </x:c>
      <x:c r="I70" s="179" t="n">
        <x:v>2189</x:v>
      </x:c>
      <x:c r="J70" s="179" t="n">
        <x:v>0</x:v>
      </x:c>
      <x:c r="K70" s="180" t="n">
        <x:v>1</x:v>
      </x:c>
      <x:c r="L70" s="178" t="str">
        <x:v>No</x:v>
      </x:c>
      <x:c r="M70" s="178" t="str">
        <x:v>Approved</x:v>
      </x:c>
      <x:c r="N70" s="181" t="str">
        <x:v>AC-1065</x:v>
      </x:c>
    </x:row>
    <x:row r="71">
      <x:c r="A71" s="176" t="str">
        <x:v>D0067</x:v>
      </x:c>
      <x:c r="B71" s="177" t="n">
        <x:v>46208</x:v>
      </x:c>
      <x:c r="C71" s="178" t="str">
        <x:v>R07</x:v>
      </x:c>
      <x:c r="D71" s="178" t="str">
        <x:v>Aylin Demir</x:v>
      </x:c>
      <x:c r="E71" s="178" t="str">
        <x:v>Enterprise</x:v>
      </x:c>
      <x:c r="F71" s="178" t="str">
        <x:v>East</x:v>
      </x:c>
      <x:c r="G71" s="178" t="str">
        <x:v>Analytics Cloud</x:v>
      </x:c>
      <x:c r="H71" s="178" t="str">
        <x:v>Software</x:v>
      </x:c>
      <x:c r="I71" s="179" t="n">
        <x:v>3117</x:v>
      </x:c>
      <x:c r="J71" s="179" t="n">
        <x:v>0</x:v>
      </x:c>
      <x:c r="K71" s="180" t="n">
        <x:v>1</x:v>
      </x:c>
      <x:c r="L71" s="178" t="str">
        <x:v>Yes</x:v>
      </x:c>
      <x:c r="M71" s="178" t="str">
        <x:v>Pending</x:v>
      </x:c>
      <x:c r="N71" s="181" t="str">
        <x:v>AC-1066</x:v>
      </x:c>
    </x:row>
    <x:row r="72">
      <x:c r="A72" s="176" t="str">
        <x:v>D0068</x:v>
      </x:c>
      <x:c r="B72" s="177" t="n">
        <x:v>46209</x:v>
      </x:c>
      <x:c r="C72" s="178" t="str">
        <x:v>R08</x:v>
      </x:c>
      <x:c r="D72" s="178" t="str">
        <x:v>Owen Taylor</x:v>
      </x:c>
      <x:c r="E72" s="178" t="str">
        <x:v>Mid-Market</x:v>
      </x:c>
      <x:c r="F72" s="178" t="str">
        <x:v>North</x:v>
      </x:c>
      <x:c r="G72" s="178" t="str">
        <x:v>Implementation</x:v>
      </x:c>
      <x:c r="H72" s="178" t="str">
        <x:v>Services</x:v>
      </x:c>
      <x:c r="I72" s="179" t="n">
        <x:v>4045</x:v>
      </x:c>
      <x:c r="J72" s="179" t="n">
        <x:v>0</x:v>
      </x:c>
      <x:c r="K72" s="180" t="n">
        <x:v>1</x:v>
      </x:c>
      <x:c r="L72" s="178" t="str">
        <x:v>No</x:v>
      </x:c>
      <x:c r="M72" s="178" t="str">
        <x:v>Approved</x:v>
      </x:c>
      <x:c r="N72" s="181" t="str">
        <x:v>AC-1067</x:v>
      </x:c>
    </x:row>
    <x:row r="73">
      <x:c r="A73" s="176" t="str">
        <x:v>D0069</x:v>
      </x:c>
      <x:c r="B73" s="177" t="n">
        <x:v>46210</x:v>
      </x:c>
      <x:c r="C73" s="178" t="str">
        <x:v>R09</x:v>
      </x:c>
      <x:c r="D73" s="178" t="str">
        <x:v>Sara Kim</x:v>
      </x:c>
      <x:c r="E73" s="178" t="str">
        <x:v>SMB</x:v>
      </x:c>
      <x:c r="F73" s="178" t="str">
        <x:v>West</x:v>
      </x:c>
      <x:c r="G73" s="178" t="str">
        <x:v>Support Plus</x:v>
      </x:c>
      <x:c r="H73" s="178" t="str">
        <x:v>Support</x:v>
      </x:c>
      <x:c r="I73" s="179" t="n">
        <x:v>4973</x:v>
      </x:c>
      <x:c r="J73" s="179" t="n">
        <x:v>1193.52</x:v>
      </x:c>
      <x:c r="K73" s="180" t="n">
        <x:v>1</x:v>
      </x:c>
      <x:c r="L73" s="178" t="str">
        <x:v>No</x:v>
      </x:c>
      <x:c r="M73" s="178" t="str">
        <x:v>Approved</x:v>
      </x:c>
      <x:c r="N73" s="181" t="str">
        <x:v>AC-1068</x:v>
      </x:c>
    </x:row>
    <x:row r="74">
      <x:c r="A74" s="176" t="str">
        <x:v>D0070</x:v>
      </x:c>
      <x:c r="B74" s="177" t="n">
        <x:v>46211</x:v>
      </x:c>
      <x:c r="C74" s="178" t="str">
        <x:v>R10</x:v>
      </x:c>
      <x:c r="D74" s="178" t="str">
        <x:v>Daniel Ruiz</x:v>
      </x:c>
      <x:c r="E74" s="178" t="str">
        <x:v>Enterprise</x:v>
      </x:c>
      <x:c r="F74" s="178" t="str">
        <x:v>West</x:v>
      </x:c>
      <x:c r="G74" s="178" t="str">
        <x:v>Workflow Pro</x:v>
      </x:c>
      <x:c r="H74" s="178" t="str">
        <x:v>Software</x:v>
      </x:c>
      <x:c r="I74" s="179" t="n">
        <x:v>5901</x:v>
      </x:c>
      <x:c r="J74" s="179" t="n">
        <x:v>0</x:v>
      </x:c>
      <x:c r="K74" s="180" t="n">
        <x:v>0.5</x:v>
      </x:c>
      <x:c r="L74" s="178" t="str">
        <x:v>Yes</x:v>
      </x:c>
      <x:c r="M74" s="178" t="str">
        <x:v>Approved</x:v>
      </x:c>
      <x:c r="N74" s="181" t="str">
        <x:v>AC-1069</x:v>
      </x:c>
    </x:row>
    <x:row r="75">
      <x:c r="A75" s="176" t="str">
        <x:v>D0071</x:v>
      </x:c>
      <x:c r="B75" s="177" t="n">
        <x:v>46212</x:v>
      </x:c>
      <x:c r="C75" s="178" t="str">
        <x:v>R11</x:v>
      </x:c>
      <x:c r="D75" s="178" t="str">
        <x:v>Elif Kaya</x:v>
      </x:c>
      <x:c r="E75" s="178" t="str">
        <x:v>Mid-Market</x:v>
      </x:c>
      <x:c r="F75" s="178" t="str">
        <x:v>South</x:v>
      </x:c>
      <x:c r="G75" s="178" t="str">
        <x:v>Training Pack</x:v>
      </x:c>
      <x:c r="H75" s="178" t="str">
        <x:v>Services</x:v>
      </x:c>
      <x:c r="I75" s="179" t="n">
        <x:v>6829</x:v>
      </x:c>
      <x:c r="J75" s="179" t="n">
        <x:v>0</x:v>
      </x:c>
      <x:c r="K75" s="180" t="n">
        <x:v>1</x:v>
      </x:c>
      <x:c r="L75" s="178" t="str">
        <x:v>No</x:v>
      </x:c>
      <x:c r="M75" s="178" t="str">
        <x:v>Approved</x:v>
      </x:c>
      <x:c r="N75" s="181" t="str">
        <x:v>AC-1070</x:v>
      </x:c>
    </x:row>
    <x:row r="76">
      <x:c r="A76" s="176" t="str">
        <x:v>D0072</x:v>
      </x:c>
      <x:c r="B76" s="177" t="n">
        <x:v>46213</x:v>
      </x:c>
      <x:c r="C76" s="178" t="str">
        <x:v>R12</x:v>
      </x:c>
      <x:c r="D76" s="178" t="str">
        <x:v>Jon Bell</x:v>
      </x:c>
      <x:c r="E76" s="178" t="str">
        <x:v>SMB</x:v>
      </x:c>
      <x:c r="F76" s="178" t="str">
        <x:v>East</x:v>
      </x:c>
      <x:c r="G76" s="178" t="str">
        <x:v>Analytics Cloud</x:v>
      </x:c>
      <x:c r="H76" s="178" t="str">
        <x:v>Software</x:v>
      </x:c>
      <x:c r="I76" s="179" t="n">
        <x:v>7757</x:v>
      </x:c>
      <x:c r="J76" s="179" t="n">
        <x:v>0</x:v>
      </x:c>
      <x:c r="K76" s="180" t="n">
        <x:v>1</x:v>
      </x:c>
      <x:c r="L76" s="178" t="str">
        <x:v>Yes</x:v>
      </x:c>
      <x:c r="M76" s="178" t="str">
        <x:v>Pending</x:v>
      </x:c>
      <x:c r="N76" s="181" t="str">
        <x:v>AC-1071</x:v>
      </x:c>
    </x:row>
    <x:row r="77">
      <x:c r="A77" s="176" t="str">
        <x:v>D0073</x:v>
      </x:c>
      <x:c r="B77" s="177" t="n">
        <x:v>46214</x:v>
      </x:c>
      <x:c r="C77" s="178" t="str">
        <x:v>R01</x:v>
      </x:c>
      <x:c r="D77" s="178" t="str">
        <x:v>Maya Chen</x:v>
      </x:c>
      <x:c r="E77" s="178" t="str">
        <x:v>Enterprise</x:v>
      </x:c>
      <x:c r="F77" s="178" t="str">
        <x:v>North</x:v>
      </x:c>
      <x:c r="G77" s="178" t="str">
        <x:v>Implementation</x:v>
      </x:c>
      <x:c r="H77" s="178" t="str">
        <x:v>Services</x:v>
      </x:c>
      <x:c r="I77" s="179" t="n">
        <x:v>7452</x:v>
      </x:c>
      <x:c r="J77" s="179" t="n">
        <x:v>0</x:v>
      </x:c>
      <x:c r="K77" s="180" t="n">
        <x:v>1</x:v>
      </x:c>
      <x:c r="L77" s="178" t="str">
        <x:v>No</x:v>
      </x:c>
      <x:c r="M77" s="178" t="str">
        <x:v>Approved</x:v>
      </x:c>
      <x:c r="N77" s="181" t="str">
        <x:v>AC-1072</x:v>
      </x:c>
    </x:row>
    <x:row r="78">
      <x:c r="A78" s="176" t="str">
        <x:v>D0074</x:v>
      </x:c>
      <x:c r="B78" s="177" t="n">
        <x:v>46215</x:v>
      </x:c>
      <x:c r="C78" s="178" t="str">
        <x:v>R02</x:v>
      </x:c>
      <x:c r="D78" s="178" t="str">
        <x:v>Ethan Brooks</x:v>
      </x:c>
      <x:c r="E78" s="178" t="str">
        <x:v>Enterprise</x:v>
      </x:c>
      <x:c r="F78" s="178" t="str">
        <x:v>South</x:v>
      </x:c>
      <x:c r="G78" s="178" t="str">
        <x:v>Support Plus</x:v>
      </x:c>
      <x:c r="H78" s="178" t="str">
        <x:v>Support</x:v>
      </x:c>
      <x:c r="I78" s="179" t="n">
        <x:v>1180</x:v>
      </x:c>
      <x:c r="J78" s="179" t="n">
        <x:v>0</x:v>
      </x:c>
      <x:c r="K78" s="180" t="n">
        <x:v>1</x:v>
      </x:c>
      <x:c r="L78" s="178" t="str">
        <x:v>No</x:v>
      </x:c>
      <x:c r="M78" s="178" t="str">
        <x:v>Approved</x:v>
      </x:c>
      <x:c r="N78" s="181" t="str">
        <x:v>AC-1073</x:v>
      </x:c>
    </x:row>
    <x:row r="79">
      <x:c r="A79" s="176" t="str">
        <x:v>D0075</x:v>
      </x:c>
      <x:c r="B79" s="177" t="n">
        <x:v>46216</x:v>
      </x:c>
      <x:c r="C79" s="178" t="str">
        <x:v>R03</x:v>
      </x:c>
      <x:c r="D79" s="178" t="str">
        <x:v>Sofia Patel</x:v>
      </x:c>
      <x:c r="E79" s="178" t="str">
        <x:v>Mid-Market</x:v>
      </x:c>
      <x:c r="F79" s="178" t="str">
        <x:v>East</x:v>
      </x:c>
      <x:c r="G79" s="178" t="str">
        <x:v>Workflow Pro</x:v>
      </x:c>
      <x:c r="H79" s="178" t="str">
        <x:v>Software</x:v>
      </x:c>
      <x:c r="I79" s="179" t="n">
        <x:v>2108</x:v>
      </x:c>
      <x:c r="J79" s="179" t="n">
        <x:v>0</x:v>
      </x:c>
      <x:c r="K79" s="180" t="n">
        <x:v>1</x:v>
      </x:c>
      <x:c r="L79" s="178" t="str">
        <x:v>Yes</x:v>
      </x:c>
      <x:c r="M79" s="178" t="str">
        <x:v>Approved</x:v>
      </x:c>
      <x:c r="N79" s="181" t="str">
        <x:v>AC-1074</x:v>
      </x:c>
    </x:row>
    <x:row r="80">
      <x:c r="A80" s="176" t="str">
        <x:v>D0076</x:v>
      </x:c>
      <x:c r="B80" s="177" t="n">
        <x:v>46217</x:v>
      </x:c>
      <x:c r="C80" s="178" t="str">
        <x:v>R04</x:v>
      </x:c>
      <x:c r="D80" s="178" t="str">
        <x:v>Noah Williams</x:v>
      </x:c>
      <x:c r="E80" s="178" t="str">
        <x:v>Mid-Market</x:v>
      </x:c>
      <x:c r="F80" s="178" t="str">
        <x:v>West</x:v>
      </x:c>
      <x:c r="G80" s="178" t="str">
        <x:v>Training Pack</x:v>
      </x:c>
      <x:c r="H80" s="178" t="str">
        <x:v>Services</x:v>
      </x:c>
      <x:c r="I80" s="179" t="n">
        <x:v>3036</x:v>
      </x:c>
      <x:c r="J80" s="179" t="n">
        <x:v>0</x:v>
      </x:c>
      <x:c r="K80" s="180" t="n">
        <x:v>1</x:v>
      </x:c>
      <x:c r="L80" s="178" t="str">
        <x:v>No</x:v>
      </x:c>
      <x:c r="M80" s="178" t="str">
        <x:v>Approved</x:v>
      </x:c>
      <x:c r="N80" s="181" t="str">
        <x:v>AC-1075</x:v>
      </x:c>
    </x:row>
    <x:row r="81">
      <x:c r="A81" s="176" t="str">
        <x:v>D0077</x:v>
      </x:c>
      <x:c r="B81" s="177" t="n">
        <x:v>46218</x:v>
      </x:c>
      <x:c r="C81" s="178" t="str">
        <x:v>R05</x:v>
      </x:c>
      <x:c r="D81" s="178" t="str">
        <x:v>Lina Haddad</x:v>
      </x:c>
      <x:c r="E81" s="178" t="str">
        <x:v>SMB</x:v>
      </x:c>
      <x:c r="F81" s="178" t="str">
        <x:v>North</x:v>
      </x:c>
      <x:c r="G81" s="178" t="str">
        <x:v>Analytics Cloud</x:v>
      </x:c>
      <x:c r="H81" s="178" t="str">
        <x:v>Software</x:v>
      </x:c>
      <x:c r="I81" s="179" t="n">
        <x:v>3964</x:v>
      </x:c>
      <x:c r="J81" s="179" t="n">
        <x:v>0</x:v>
      </x:c>
      <x:c r="K81" s="180" t="n">
        <x:v>1</x:v>
      </x:c>
      <x:c r="L81" s="178" t="str">
        <x:v>Yes</x:v>
      </x:c>
      <x:c r="M81" s="178" t="str">
        <x:v>Pending</x:v>
      </x:c>
      <x:c r="N81" s="181" t="str">
        <x:v>AC-1076</x:v>
      </x:c>
    </x:row>
    <x:row r="82">
      <x:c r="A82" s="176" t="str">
        <x:v>D0078</x:v>
      </x:c>
      <x:c r="B82" s="177" t="n">
        <x:v>46219</x:v>
      </x:c>
      <x:c r="C82" s="178" t="str">
        <x:v>R06</x:v>
      </x:c>
      <x:c r="D82" s="178" t="str">
        <x:v>Lucas Martin</x:v>
      </x:c>
      <x:c r="E82" s="178" t="str">
        <x:v>SMB</x:v>
      </x:c>
      <x:c r="F82" s="178" t="str">
        <x:v>South</x:v>
      </x:c>
      <x:c r="G82" s="178" t="str">
        <x:v>Implementation</x:v>
      </x:c>
      <x:c r="H82" s="178" t="str">
        <x:v>Services</x:v>
      </x:c>
      <x:c r="I82" s="179" t="n">
        <x:v>4892</x:v>
      </x:c>
      <x:c r="J82" s="179" t="n">
        <x:v>0</x:v>
      </x:c>
      <x:c r="K82" s="180" t="n">
        <x:v>1</x:v>
      </x:c>
      <x:c r="L82" s="178" t="str">
        <x:v>No</x:v>
      </x:c>
      <x:c r="M82" s="178" t="str">
        <x:v>Approved</x:v>
      </x:c>
      <x:c r="N82" s="181" t="str">
        <x:v>AC-1077</x:v>
      </x:c>
    </x:row>
    <x:row r="83">
      <x:c r="A83" s="176" t="str">
        <x:v>D0079</x:v>
      </x:c>
      <x:c r="B83" s="177" t="n">
        <x:v>46220</x:v>
      </x:c>
      <x:c r="C83" s="178" t="str">
        <x:v>R07</x:v>
      </x:c>
      <x:c r="D83" s="178" t="str">
        <x:v>Aylin Demir</x:v>
      </x:c>
      <x:c r="E83" s="178" t="str">
        <x:v>Enterprise</x:v>
      </x:c>
      <x:c r="F83" s="178" t="str">
        <x:v>East</x:v>
      </x:c>
      <x:c r="G83" s="178" t="str">
        <x:v>Support Plus</x:v>
      </x:c>
      <x:c r="H83" s="178" t="str">
        <x:v>Support</x:v>
      </x:c>
      <x:c r="I83" s="179" t="n">
        <x:v>5820</x:v>
      </x:c>
      <x:c r="J83" s="179" t="n">
        <x:v>0</x:v>
      </x:c>
      <x:c r="K83" s="180" t="n">
        <x:v>1</x:v>
      </x:c>
      <x:c r="L83" s="178" t="str">
        <x:v>No</x:v>
      </x:c>
      <x:c r="M83" s="178" t="str">
        <x:v>Approved</x:v>
      </x:c>
      <x:c r="N83" s="181" t="str">
        <x:v>AC-1078</x:v>
      </x:c>
    </x:row>
    <x:row r="84">
      <x:c r="A84" s="176" t="str">
        <x:v>D0080</x:v>
      </x:c>
      <x:c r="B84" s="177" t="n">
        <x:v>46221</x:v>
      </x:c>
      <x:c r="C84" s="178" t="str">
        <x:v>R08</x:v>
      </x:c>
      <x:c r="D84" s="178" t="str">
        <x:v>Owen Taylor</x:v>
      </x:c>
      <x:c r="E84" s="178" t="str">
        <x:v>Mid-Market</x:v>
      </x:c>
      <x:c r="F84" s="178" t="str">
        <x:v>North</x:v>
      </x:c>
      <x:c r="G84" s="178" t="str">
        <x:v>Workflow Pro</x:v>
      </x:c>
      <x:c r="H84" s="178" t="str">
        <x:v>Software</x:v>
      </x:c>
      <x:c r="I84" s="179" t="n">
        <x:v>6748</x:v>
      </x:c>
      <x:c r="J84" s="179" t="n">
        <x:v>0</x:v>
      </x:c>
      <x:c r="K84" s="180" t="n">
        <x:v>1</x:v>
      </x:c>
      <x:c r="L84" s="178" t="str">
        <x:v>Yes</x:v>
      </x:c>
      <x:c r="M84" s="178" t="str">
        <x:v>Approved</x:v>
      </x:c>
      <x:c r="N84" s="181" t="str">
        <x:v>AC-1079</x:v>
      </x:c>
    </x:row>
    <x:row r="85">
      <x:c r="A85" s="176" t="str">
        <x:v>D0081</x:v>
      </x:c>
      <x:c r="B85" s="177" t="n">
        <x:v>46222</x:v>
      </x:c>
      <x:c r="C85" s="178" t="str">
        <x:v>R09</x:v>
      </x:c>
      <x:c r="D85" s="178" t="str">
        <x:v>Sara Kim</x:v>
      </x:c>
      <x:c r="E85" s="178" t="str">
        <x:v>SMB</x:v>
      </x:c>
      <x:c r="F85" s="178" t="str">
        <x:v>West</x:v>
      </x:c>
      <x:c r="G85" s="178" t="str">
        <x:v>Training Pack</x:v>
      </x:c>
      <x:c r="H85" s="178" t="str">
        <x:v>Services</x:v>
      </x:c>
      <x:c r="I85" s="179" t="n">
        <x:v>7676</x:v>
      </x:c>
      <x:c r="J85" s="179" t="n">
        <x:v>0</x:v>
      </x:c>
      <x:c r="K85" s="180" t="n">
        <x:v>1</x:v>
      </x:c>
      <x:c r="L85" s="178" t="str">
        <x:v>No</x:v>
      </x:c>
      <x:c r="M85" s="178" t="str">
        <x:v>Approved</x:v>
      </x:c>
      <x:c r="N85" s="181" t="str">
        <x:v>AC-1080</x:v>
      </x:c>
    </x:row>
    <x:row r="86">
      <x:c r="A86" s="176" t="str">
        <x:v>D0082</x:v>
      </x:c>
      <x:c r="B86" s="177" t="n">
        <x:v>46223</x:v>
      </x:c>
      <x:c r="C86" s="178" t="str">
        <x:v>R10</x:v>
      </x:c>
      <x:c r="D86" s="178" t="str">
        <x:v>Daniel Ruiz</x:v>
      </x:c>
      <x:c r="E86" s="178" t="str">
        <x:v>Enterprise</x:v>
      </x:c>
      <x:c r="F86" s="178" t="str">
        <x:v>West</x:v>
      </x:c>
      <x:c r="G86" s="178" t="str">
        <x:v>Analytics Cloud</x:v>
      </x:c>
      <x:c r="H86" s="178" t="str">
        <x:v>Software</x:v>
      </x:c>
      <x:c r="I86" s="179" t="n">
        <x:v>7371</x:v>
      </x:c>
      <x:c r="J86" s="179" t="n">
        <x:v>0</x:v>
      </x:c>
      <x:c r="K86" s="180" t="n">
        <x:v>1</x:v>
      </x:c>
      <x:c r="L86" s="178" t="str">
        <x:v>Yes</x:v>
      </x:c>
      <x:c r="M86" s="178" t="str">
        <x:v>Pending</x:v>
      </x:c>
      <x:c r="N86" s="181" t="str">
        <x:v>AC-1081</x:v>
      </x:c>
    </x:row>
    <x:row r="87">
      <x:c r="A87" s="176" t="str">
        <x:v>D0083</x:v>
      </x:c>
      <x:c r="B87" s="177" t="n">
        <x:v>46224</x:v>
      </x:c>
      <x:c r="C87" s="178" t="str">
        <x:v>R11</x:v>
      </x:c>
      <x:c r="D87" s="178" t="str">
        <x:v>Elif Kaya</x:v>
      </x:c>
      <x:c r="E87" s="178" t="str">
        <x:v>Mid-Market</x:v>
      </x:c>
      <x:c r="F87" s="178" t="str">
        <x:v>South</x:v>
      </x:c>
      <x:c r="G87" s="178" t="str">
        <x:v>Implementation</x:v>
      </x:c>
      <x:c r="H87" s="178" t="str">
        <x:v>Services</x:v>
      </x:c>
      <x:c r="I87" s="179" t="n">
        <x:v>1099</x:v>
      </x:c>
      <x:c r="J87" s="179" t="n">
        <x:v>0</x:v>
      </x:c>
      <x:c r="K87" s="180" t="n">
        <x:v>1</x:v>
      </x:c>
      <x:c r="L87" s="178" t="str">
        <x:v>No</x:v>
      </x:c>
      <x:c r="M87" s="178" t="str">
        <x:v>Approved</x:v>
      </x:c>
      <x:c r="N87" s="181" t="str">
        <x:v>AC-1082</x:v>
      </x:c>
    </x:row>
    <x:row r="88">
      <x:c r="A88" s="176" t="str">
        <x:v>D0084</x:v>
      </x:c>
      <x:c r="B88" s="177" t="n">
        <x:v>46225</x:v>
      </x:c>
      <x:c r="C88" s="178" t="str">
        <x:v>R12</x:v>
      </x:c>
      <x:c r="D88" s="178" t="str">
        <x:v>Jon Bell</x:v>
      </x:c>
      <x:c r="E88" s="178" t="str">
        <x:v>SMB</x:v>
      </x:c>
      <x:c r="F88" s="178" t="str">
        <x:v>East</x:v>
      </x:c>
      <x:c r="G88" s="178" t="str">
        <x:v>Support Plus</x:v>
      </x:c>
      <x:c r="H88" s="178" t="str">
        <x:v>Support</x:v>
      </x:c>
      <x:c r="I88" s="179" t="n">
        <x:v>2027</x:v>
      </x:c>
      <x:c r="J88" s="179" t="n">
        <x:v>0</x:v>
      </x:c>
      <x:c r="K88" s="180" t="n">
        <x:v>1</x:v>
      </x:c>
      <x:c r="L88" s="178" t="str">
        <x:v>No</x:v>
      </x:c>
      <x:c r="M88" s="178" t="str">
        <x:v>Approved</x:v>
      </x:c>
      <x:c r="N88" s="181" t="str">
        <x:v>AC-1083</x:v>
      </x:c>
    </x:row>
    <x:row r="89">
      <x:c r="A89" s="176" t="str">
        <x:v>D0085</x:v>
      </x:c>
      <x:c r="B89" s="177" t="n">
        <x:v>46226</x:v>
      </x:c>
      <x:c r="C89" s="178" t="str">
        <x:v>R01</x:v>
      </x:c>
      <x:c r="D89" s="178" t="str">
        <x:v>Maya Chen</x:v>
      </x:c>
      <x:c r="E89" s="178" t="str">
        <x:v>Enterprise</x:v>
      </x:c>
      <x:c r="F89" s="178" t="str">
        <x:v>North</x:v>
      </x:c>
      <x:c r="G89" s="178" t="str">
        <x:v>Workflow Pro</x:v>
      </x:c>
      <x:c r="H89" s="178" t="str">
        <x:v>Software</x:v>
      </x:c>
      <x:c r="I89" s="179" t="n">
        <x:v>2955</x:v>
      </x:c>
      <x:c r="J89" s="179" t="n">
        <x:v>0</x:v>
      </x:c>
      <x:c r="K89" s="180" t="n">
        <x:v>1</x:v>
      </x:c>
      <x:c r="L89" s="178" t="str">
        <x:v>Yes</x:v>
      </x:c>
      <x:c r="M89" s="178" t="str">
        <x:v>Approved</x:v>
      </x:c>
      <x:c r="N89" s="181" t="str">
        <x:v>AC-1084</x:v>
      </x:c>
    </x:row>
    <x:row r="90">
      <x:c r="A90" s="176" t="str">
        <x:v>D0086</x:v>
      </x:c>
      <x:c r="B90" s="177" t="n">
        <x:v>46227</x:v>
      </x:c>
      <x:c r="C90" s="178" t="str">
        <x:v>R02</x:v>
      </x:c>
      <x:c r="D90" s="178" t="str">
        <x:v>Ethan Brooks</x:v>
      </x:c>
      <x:c r="E90" s="178" t="str">
        <x:v>Enterprise</x:v>
      </x:c>
      <x:c r="F90" s="178" t="str">
        <x:v>South</x:v>
      </x:c>
      <x:c r="G90" s="178" t="str">
        <x:v>Training Pack</x:v>
      </x:c>
      <x:c r="H90" s="178" t="str">
        <x:v>Services</x:v>
      </x:c>
      <x:c r="I90" s="179" t="n">
        <x:v>3883</x:v>
      </x:c>
      <x:c r="J90" s="179" t="n">
        <x:v>698.94</x:v>
      </x:c>
      <x:c r="K90" s="180" t="n">
        <x:v>1</x:v>
      </x:c>
      <x:c r="L90" s="178" t="str">
        <x:v>No</x:v>
      </x:c>
      <x:c r="M90" s="178" t="str">
        <x:v>Approved</x:v>
      </x:c>
      <x:c r="N90" s="181" t="str">
        <x:v>AC-1085</x:v>
      </x:c>
    </x:row>
    <x:row r="91">
      <x:c r="A91" s="176" t="str">
        <x:v>D0087</x:v>
      </x:c>
      <x:c r="B91" s="177" t="n">
        <x:v>46228</x:v>
      </x:c>
      <x:c r="C91" s="178" t="str">
        <x:v>R03</x:v>
      </x:c>
      <x:c r="D91" s="178" t="str">
        <x:v>Sofia Patel</x:v>
      </x:c>
      <x:c r="E91" s="178" t="str">
        <x:v>Mid-Market</x:v>
      </x:c>
      <x:c r="F91" s="178" t="str">
        <x:v>East</x:v>
      </x:c>
      <x:c r="G91" s="178" t="str">
        <x:v>Analytics Cloud</x:v>
      </x:c>
      <x:c r="H91" s="178" t="str">
        <x:v>Software</x:v>
      </x:c>
      <x:c r="I91" s="179" t="n">
        <x:v>4811</x:v>
      </x:c>
      <x:c r="J91" s="179" t="n">
        <x:v>0</x:v>
      </x:c>
      <x:c r="K91" s="180" t="n">
        <x:v>1</x:v>
      </x:c>
      <x:c r="L91" s="178" t="str">
        <x:v>Yes</x:v>
      </x:c>
      <x:c r="M91" s="178" t="str">
        <x:v>Pending</x:v>
      </x:c>
      <x:c r="N91" s="181" t="str">
        <x:v>AC-1086</x:v>
      </x:c>
    </x:row>
    <x:row r="92">
      <x:c r="A92" s="176" t="str">
        <x:v>D0088</x:v>
      </x:c>
      <x:c r="B92" s="177" t="n">
        <x:v>46229</x:v>
      </x:c>
      <x:c r="C92" s="178" t="str">
        <x:v>R04</x:v>
      </x:c>
      <x:c r="D92" s="178" t="str">
        <x:v>Noah Williams</x:v>
      </x:c>
      <x:c r="E92" s="178" t="str">
        <x:v>Mid-Market</x:v>
      </x:c>
      <x:c r="F92" s="178" t="str">
        <x:v>West</x:v>
      </x:c>
      <x:c r="G92" s="178" t="str">
        <x:v>Implementation</x:v>
      </x:c>
      <x:c r="H92" s="178" t="str">
        <x:v>Services</x:v>
      </x:c>
      <x:c r="I92" s="179" t="n">
        <x:v>5739</x:v>
      </x:c>
      <x:c r="J92" s="179" t="n">
        <x:v>0</x:v>
      </x:c>
      <x:c r="K92" s="180" t="n">
        <x:v>0.75</x:v>
      </x:c>
      <x:c r="L92" s="178" t="str">
        <x:v>No</x:v>
      </x:c>
      <x:c r="M92" s="178" t="str">
        <x:v>Approved</x:v>
      </x:c>
      <x:c r="N92" s="181" t="str">
        <x:v>AC-1087</x:v>
      </x:c>
    </x:row>
    <x:row r="93">
      <x:c r="A93" s="176" t="str">
        <x:v>D0089</x:v>
      </x:c>
      <x:c r="B93" s="177" t="n">
        <x:v>46230</x:v>
      </x:c>
      <x:c r="C93" s="178" t="str">
        <x:v>R05</x:v>
      </x:c>
      <x:c r="D93" s="178" t="str">
        <x:v>Lina Haddad</x:v>
      </x:c>
      <x:c r="E93" s="178" t="str">
        <x:v>SMB</x:v>
      </x:c>
      <x:c r="F93" s="178" t="str">
        <x:v>North</x:v>
      </x:c>
      <x:c r="G93" s="178" t="str">
        <x:v>Support Plus</x:v>
      </x:c>
      <x:c r="H93" s="178" t="str">
        <x:v>Support</x:v>
      </x:c>
      <x:c r="I93" s="179" t="n">
        <x:v>6667</x:v>
      </x:c>
      <x:c r="J93" s="179" t="n">
        <x:v>0</x:v>
      </x:c>
      <x:c r="K93" s="180" t="n">
        <x:v>1</x:v>
      </x:c>
      <x:c r="L93" s="178" t="str">
        <x:v>No</x:v>
      </x:c>
      <x:c r="M93" s="178" t="str">
        <x:v>Approved</x:v>
      </x:c>
      <x:c r="N93" s="181" t="str">
        <x:v>AC-1088</x:v>
      </x:c>
    </x:row>
    <x:row r="94">
      <x:c r="A94" s="176" t="str">
        <x:v>D0090</x:v>
      </x:c>
      <x:c r="B94" s="177" t="n">
        <x:v>46231</x:v>
      </x:c>
      <x:c r="C94" s="178" t="str">
        <x:v>R06</x:v>
      </x:c>
      <x:c r="D94" s="178" t="str">
        <x:v>Lucas Martin</x:v>
      </x:c>
      <x:c r="E94" s="178" t="str">
        <x:v>SMB</x:v>
      </x:c>
      <x:c r="F94" s="178" t="str">
        <x:v>South</x:v>
      </x:c>
      <x:c r="G94" s="178" t="str">
        <x:v>Workflow Pro</x:v>
      </x:c>
      <x:c r="H94" s="178" t="str">
        <x:v>Software</x:v>
      </x:c>
      <x:c r="I94" s="179" t="n">
        <x:v>7595</x:v>
      </x:c>
      <x:c r="J94" s="179" t="n">
        <x:v>0</x:v>
      </x:c>
      <x:c r="K94" s="180" t="n">
        <x:v>1</x:v>
      </x:c>
      <x:c r="L94" s="178" t="str">
        <x:v>Yes</x:v>
      </x:c>
      <x:c r="M94" s="178" t="str">
        <x:v>Approved</x:v>
      </x:c>
      <x:c r="N94" s="181" t="str">
        <x:v>AC-1089</x:v>
      </x:c>
    </x:row>
    <x:row r="95">
      <x:c r="A95" s="176" t="str">
        <x:v>D0091</x:v>
      </x:c>
      <x:c r="B95" s="177" t="n">
        <x:v>46232</x:v>
      </x:c>
      <x:c r="C95" s="178" t="str">
        <x:v>R07</x:v>
      </x:c>
      <x:c r="D95" s="178" t="str">
        <x:v>Aylin Demir</x:v>
      </x:c>
      <x:c r="E95" s="178" t="str">
        <x:v>Enterprise</x:v>
      </x:c>
      <x:c r="F95" s="178" t="str">
        <x:v>East</x:v>
      </x:c>
      <x:c r="G95" s="178" t="str">
        <x:v>Training Pack</x:v>
      </x:c>
      <x:c r="H95" s="178" t="str">
        <x:v>Services</x:v>
      </x:c>
      <x:c r="I95" s="179" t="n">
        <x:v>7290</x:v>
      </x:c>
      <x:c r="J95" s="179" t="n">
        <x:v>0</x:v>
      </x:c>
      <x:c r="K95" s="180" t="n">
        <x:v>1</x:v>
      </x:c>
      <x:c r="L95" s="178" t="str">
        <x:v>No</x:v>
      </x:c>
      <x:c r="M95" s="178" t="str">
        <x:v>Approved</x:v>
      </x:c>
      <x:c r="N95" s="181" t="str">
        <x:v>AC-1090</x:v>
      </x:c>
    </x:row>
    <x:row r="96">
      <x:c r="A96" s="176" t="str">
        <x:v>D0092</x:v>
      </x:c>
      <x:c r="B96" s="177" t="n">
        <x:v>46233</x:v>
      </x:c>
      <x:c r="C96" s="178" t="str">
        <x:v>R08</x:v>
      </x:c>
      <x:c r="D96" s="178" t="str">
        <x:v>Owen Taylor</x:v>
      </x:c>
      <x:c r="E96" s="178" t="str">
        <x:v>Mid-Market</x:v>
      </x:c>
      <x:c r="F96" s="178" t="str">
        <x:v>North</x:v>
      </x:c>
      <x:c r="G96" s="178" t="str">
        <x:v>Analytics Cloud</x:v>
      </x:c>
      <x:c r="H96" s="178" t="str">
        <x:v>Software</x:v>
      </x:c>
      <x:c r="I96" s="179" t="n">
        <x:v>8218</x:v>
      </x:c>
      <x:c r="J96" s="179" t="n">
        <x:v>0</x:v>
      </x:c>
      <x:c r="K96" s="180" t="n">
        <x:v>1</x:v>
      </x:c>
      <x:c r="L96" s="178" t="str">
        <x:v>Yes</x:v>
      </x:c>
      <x:c r="M96" s="178" t="str">
        <x:v>Pending</x:v>
      </x:c>
      <x:c r="N96" s="181" t="str">
        <x:v>AC-1091</x:v>
      </x:c>
    </x:row>
    <x:row r="97">
      <x:c r="A97" s="176" t="str">
        <x:v>D0093</x:v>
      </x:c>
      <x:c r="B97" s="177" t="n">
        <x:v>46234</x:v>
      </x:c>
      <x:c r="C97" s="178" t="str">
        <x:v>R09</x:v>
      </x:c>
      <x:c r="D97" s="178" t="str">
        <x:v>Sara Kim</x:v>
      </x:c>
      <x:c r="E97" s="178" t="str">
        <x:v>SMB</x:v>
      </x:c>
      <x:c r="F97" s="178" t="str">
        <x:v>West</x:v>
      </x:c>
      <x:c r="G97" s="178" t="str">
        <x:v>Implementation</x:v>
      </x:c>
      <x:c r="H97" s="178" t="str">
        <x:v>Services</x:v>
      </x:c>
      <x:c r="I97" s="179" t="n">
        <x:v>1946</x:v>
      </x:c>
      <x:c r="J97" s="179" t="n">
        <x:v>0</x:v>
      </x:c>
      <x:c r="K97" s="180" t="n">
        <x:v>0.5</x:v>
      </x:c>
      <x:c r="L97" s="178" t="str">
        <x:v>No</x:v>
      </x:c>
      <x:c r="M97" s="178" t="str">
        <x:v>Approved</x:v>
      </x:c>
      <x:c r="N97" s="181" t="str">
        <x:v>AC-1092</x:v>
      </x:c>
    </x:row>
    <x:row r="98">
      <x:c r="A98" s="176" t="str">
        <x:v>D0094</x:v>
      </x:c>
      <x:c r="B98" s="177" t="n">
        <x:v>46204</x:v>
      </x:c>
      <x:c r="C98" s="178" t="str">
        <x:v>R10</x:v>
      </x:c>
      <x:c r="D98" s="178" t="str">
        <x:v>Daniel Ruiz</x:v>
      </x:c>
      <x:c r="E98" s="178" t="str">
        <x:v>Enterprise</x:v>
      </x:c>
      <x:c r="F98" s="178" t="str">
        <x:v>West</x:v>
      </x:c>
      <x:c r="G98" s="178" t="str">
        <x:v>Support Plus</x:v>
      </x:c>
      <x:c r="H98" s="178" t="str">
        <x:v>Support</x:v>
      </x:c>
      <x:c r="I98" s="179" t="n">
        <x:v>2874</x:v>
      </x:c>
      <x:c r="J98" s="179" t="n">
        <x:v>0</x:v>
      </x:c>
      <x:c r="K98" s="180" t="n">
        <x:v>1</x:v>
      </x:c>
      <x:c r="L98" s="178" t="str">
        <x:v>No</x:v>
      </x:c>
      <x:c r="M98" s="178" t="str">
        <x:v>Approved</x:v>
      </x:c>
      <x:c r="N98" s="181" t="str">
        <x:v>AC-1093</x:v>
      </x:c>
    </x:row>
    <x:row r="99">
      <x:c r="A99" s="176" t="str">
        <x:v>D0095</x:v>
      </x:c>
      <x:c r="B99" s="177" t="n">
        <x:v>46205</x:v>
      </x:c>
      <x:c r="C99" s="178" t="str">
        <x:v>R11</x:v>
      </x:c>
      <x:c r="D99" s="178" t="str">
        <x:v>Elif Kaya</x:v>
      </x:c>
      <x:c r="E99" s="178" t="str">
        <x:v>Mid-Market</x:v>
      </x:c>
      <x:c r="F99" s="178" t="str">
        <x:v>South</x:v>
      </x:c>
      <x:c r="G99" s="178" t="str">
        <x:v>Workflow Pro</x:v>
      </x:c>
      <x:c r="H99" s="178" t="str">
        <x:v>Software</x:v>
      </x:c>
      <x:c r="I99" s="179" t="n">
        <x:v>3802</x:v>
      </x:c>
      <x:c r="J99" s="179" t="n">
        <x:v>0</x:v>
      </x:c>
      <x:c r="K99" s="180" t="n">
        <x:v>1</x:v>
      </x:c>
      <x:c r="L99" s="178" t="str">
        <x:v>Yes</x:v>
      </x:c>
      <x:c r="M99" s="178" t="str">
        <x:v>Approved</x:v>
      </x:c>
      <x:c r="N99" s="181" t="str">
        <x:v>AC-1094</x:v>
      </x:c>
    </x:row>
    <x:row r="100">
      <x:c r="A100" s="176" t="str">
        <x:v>D0096</x:v>
      </x:c>
      <x:c r="B100" s="177" t="n">
        <x:v>46206</x:v>
      </x:c>
      <x:c r="C100" s="178" t="str">
        <x:v>R12</x:v>
      </x:c>
      <x:c r="D100" s="178" t="str">
        <x:v>Jon Bell</x:v>
      </x:c>
      <x:c r="E100" s="178" t="str">
        <x:v>SMB</x:v>
      </x:c>
      <x:c r="F100" s="178" t="str">
        <x:v>East</x:v>
      </x:c>
      <x:c r="G100" s="178" t="str">
        <x:v>Training Pack</x:v>
      </x:c>
      <x:c r="H100" s="178" t="str">
        <x:v>Services</x:v>
      </x:c>
      <x:c r="I100" s="179" t="n">
        <x:v>4730</x:v>
      </x:c>
      <x:c r="J100" s="179" t="n">
        <x:v>0</x:v>
      </x:c>
      <x:c r="K100" s="180" t="n">
        <x:v>1</x:v>
      </x:c>
      <x:c r="L100" s="178" t="str">
        <x:v>No</x:v>
      </x:c>
      <x:c r="M100" s="178" t="str">
        <x:v>Approved</x:v>
      </x:c>
      <x:c r="N100" s="181" t="str">
        <x:v>AC-1095</x:v>
      </x:c>
    </x:row>
    <x:row r="101">
      <x:c r="A101" s="176" t="str">
        <x:v>D0097</x:v>
      </x:c>
      <x:c r="B101" s="177" t="n">
        <x:v>46207</x:v>
      </x:c>
      <x:c r="C101" s="178" t="str">
        <x:v>R01</x:v>
      </x:c>
      <x:c r="D101" s="178" t="str">
        <x:v>Maya Chen</x:v>
      </x:c>
      <x:c r="E101" s="178" t="str">
        <x:v>Enterprise</x:v>
      </x:c>
      <x:c r="F101" s="178" t="str">
        <x:v>North</x:v>
      </x:c>
      <x:c r="G101" s="178" t="str">
        <x:v>Analytics Cloud</x:v>
      </x:c>
      <x:c r="H101" s="178" t="str">
        <x:v>Software</x:v>
      </x:c>
      <x:c r="I101" s="179" t="n">
        <x:v>5658</x:v>
      </x:c>
      <x:c r="J101" s="179" t="n">
        <x:v>0</x:v>
      </x:c>
      <x:c r="K101" s="180" t="n">
        <x:v>1</x:v>
      </x:c>
      <x:c r="L101" s="178" t="str">
        <x:v>Yes</x:v>
      </x:c>
      <x:c r="M101" s="178" t="str">
        <x:v>Pending</x:v>
      </x:c>
      <x:c r="N101" s="181" t="str">
        <x:v>AC-1096</x:v>
      </x:c>
    </x:row>
    <x:row r="102">
      <x:c r="A102" s="176" t="str">
        <x:v>D0098</x:v>
      </x:c>
      <x:c r="B102" s="177" t="n">
        <x:v>46208</x:v>
      </x:c>
      <x:c r="C102" s="178" t="str">
        <x:v>R02</x:v>
      </x:c>
      <x:c r="D102" s="178" t="str">
        <x:v>Ethan Brooks</x:v>
      </x:c>
      <x:c r="E102" s="178" t="str">
        <x:v>Enterprise</x:v>
      </x:c>
      <x:c r="F102" s="178" t="str">
        <x:v>South</x:v>
      </x:c>
      <x:c r="G102" s="178" t="str">
        <x:v>Implementation</x:v>
      </x:c>
      <x:c r="H102" s="178" t="str">
        <x:v>Services</x:v>
      </x:c>
      <x:c r="I102" s="179" t="n">
        <x:v>6586</x:v>
      </x:c>
      <x:c r="J102" s="179" t="n">
        <x:v>0</x:v>
      </x:c>
      <x:c r="K102" s="180" t="n">
        <x:v>1</x:v>
      </x:c>
      <x:c r="L102" s="178" t="str">
        <x:v>No</x:v>
      </x:c>
      <x:c r="M102" s="178" t="str">
        <x:v>Approved</x:v>
      </x:c>
      <x:c r="N102" s="181" t="str">
        <x:v>AC-1097</x:v>
      </x:c>
    </x:row>
    <x:row r="103">
      <x:c r="A103" s="176" t="str">
        <x:v>D0099</x:v>
      </x:c>
      <x:c r="B103" s="177" t="n">
        <x:v>46209</x:v>
      </x:c>
      <x:c r="C103" s="178" t="str">
        <x:v>R03</x:v>
      </x:c>
      <x:c r="D103" s="178" t="str">
        <x:v>Sofia Patel</x:v>
      </x:c>
      <x:c r="E103" s="178" t="str">
        <x:v>Mid-Market</x:v>
      </x:c>
      <x:c r="F103" s="178" t="str">
        <x:v>East</x:v>
      </x:c>
      <x:c r="G103" s="178" t="str">
        <x:v>Support Plus</x:v>
      </x:c>
      <x:c r="H103" s="178" t="str">
        <x:v>Support</x:v>
      </x:c>
      <x:c r="I103" s="179" t="n">
        <x:v>7514</x:v>
      </x:c>
      <x:c r="J103" s="179" t="n">
        <x:v>0</x:v>
      </x:c>
      <x:c r="K103" s="180" t="n">
        <x:v>1</x:v>
      </x:c>
      <x:c r="L103" s="178" t="str">
        <x:v>No</x:v>
      </x:c>
      <x:c r="M103" s="178" t="str">
        <x:v>Approved</x:v>
      </x:c>
      <x:c r="N103" s="181" t="str">
        <x:v>AC-1098</x:v>
      </x:c>
    </x:row>
    <x:row r="104">
      <x:c r="A104" s="176" t="str">
        <x:v>D0100</x:v>
      </x:c>
      <x:c r="B104" s="177" t="n">
        <x:v>46210</x:v>
      </x:c>
      <x:c r="C104" s="178" t="str">
        <x:v>R04</x:v>
      </x:c>
      <x:c r="D104" s="178" t="str">
        <x:v>Noah Williams</x:v>
      </x:c>
      <x:c r="E104" s="178" t="str">
        <x:v>Mid-Market</x:v>
      </x:c>
      <x:c r="F104" s="178" t="str">
        <x:v>West</x:v>
      </x:c>
      <x:c r="G104" s="178" t="str">
        <x:v>Workflow Pro</x:v>
      </x:c>
      <x:c r="H104" s="178" t="str">
        <x:v>Software</x:v>
      </x:c>
      <x:c r="I104" s="179" t="n">
        <x:v>7209</x:v>
      </x:c>
      <x:c r="J104" s="179" t="n">
        <x:v>0</x:v>
      </x:c>
      <x:c r="K104" s="180" t="n">
        <x:v>1</x:v>
      </x:c>
      <x:c r="L104" s="178" t="str">
        <x:v>Yes</x:v>
      </x:c>
      <x:c r="M104" s="178" t="str">
        <x:v>Approved</x:v>
      </x:c>
      <x:c r="N104" s="181" t="str">
        <x:v>AC-1099</x:v>
      </x:c>
    </x:row>
    <x:row r="105">
      <x:c r="A105" s="176" t="str">
        <x:v>D0101</x:v>
      </x:c>
      <x:c r="B105" s="177" t="n">
        <x:v>46211</x:v>
      </x:c>
      <x:c r="C105" s="178" t="str">
        <x:v>R05</x:v>
      </x:c>
      <x:c r="D105" s="178" t="str">
        <x:v>Lina Haddad</x:v>
      </x:c>
      <x:c r="E105" s="178" t="str">
        <x:v>SMB</x:v>
      </x:c>
      <x:c r="F105" s="178" t="str">
        <x:v>North</x:v>
      </x:c>
      <x:c r="G105" s="178" t="str">
        <x:v>Training Pack</x:v>
      </x:c>
      <x:c r="H105" s="178" t="str">
        <x:v>Services</x:v>
      </x:c>
      <x:c r="I105" s="179" t="n">
        <x:v>8137</x:v>
      </x:c>
      <x:c r="J105" s="179" t="n">
        <x:v>0</x:v>
      </x:c>
      <x:c r="K105" s="180" t="n">
        <x:v>1</x:v>
      </x:c>
      <x:c r="L105" s="178" t="str">
        <x:v>No</x:v>
      </x:c>
      <x:c r="M105" s="178" t="str">
        <x:v>Approved</x:v>
      </x:c>
      <x:c r="N105" s="181" t="str">
        <x:v>AC-1100</x:v>
      </x:c>
    </x:row>
    <x:row r="106">
      <x:c r="A106" s="176" t="str">
        <x:v>D0102</x:v>
      </x:c>
      <x:c r="B106" s="177" t="n">
        <x:v>46212</x:v>
      </x:c>
      <x:c r="C106" s="178" t="str">
        <x:v>R06</x:v>
      </x:c>
      <x:c r="D106" s="178" t="str">
        <x:v>Lucas Martin</x:v>
      </x:c>
      <x:c r="E106" s="178" t="str">
        <x:v>SMB</x:v>
      </x:c>
      <x:c r="F106" s="178" t="str">
        <x:v>South</x:v>
      </x:c>
      <x:c r="G106" s="178" t="str">
        <x:v>Analytics Cloud</x:v>
      </x:c>
      <x:c r="H106" s="178" t="str">
        <x:v>Software</x:v>
      </x:c>
      <x:c r="I106" s="179" t="n">
        <x:v>1865</x:v>
      </x:c>
      <x:c r="J106" s="179" t="n">
        <x:v>0</x:v>
      </x:c>
      <x:c r="K106" s="180" t="n">
        <x:v>1</x:v>
      </x:c>
      <x:c r="L106" s="178" t="str">
        <x:v>Yes</x:v>
      </x:c>
      <x:c r="M106" s="178" t="str">
        <x:v>Pending</x:v>
      </x:c>
      <x:c r="N106" s="181" t="str">
        <x:v>AC-1101</x:v>
      </x:c>
    </x:row>
    <x:row r="107">
      <x:c r="A107" s="176" t="str">
        <x:v>D0103</x:v>
      </x:c>
      <x:c r="B107" s="177" t="n">
        <x:v>46213</x:v>
      </x:c>
      <x:c r="C107" s="178" t="str">
        <x:v>R07</x:v>
      </x:c>
      <x:c r="D107" s="178" t="str">
        <x:v>Aylin Demir</x:v>
      </x:c>
      <x:c r="E107" s="178" t="str">
        <x:v>Enterprise</x:v>
      </x:c>
      <x:c r="F107" s="178" t="str">
        <x:v>East</x:v>
      </x:c>
      <x:c r="G107" s="178" t="str">
        <x:v>Implementation</x:v>
      </x:c>
      <x:c r="H107" s="178" t="str">
        <x:v>Services</x:v>
      </x:c>
      <x:c r="I107" s="179" t="n">
        <x:v>2793</x:v>
      </x:c>
      <x:c r="J107" s="179" t="n">
        <x:v>335.16</x:v>
      </x:c>
      <x:c r="K107" s="180" t="n">
        <x:v>1</x:v>
      </x:c>
      <x:c r="L107" s="178" t="str">
        <x:v>No</x:v>
      </x:c>
      <x:c r="M107" s="178" t="str">
        <x:v>Approved</x:v>
      </x:c>
      <x:c r="N107" s="181" t="str">
        <x:v>AC-1102</x:v>
      </x:c>
    </x:row>
    <x:row r="108">
      <x:c r="A108" s="176" t="str">
        <x:v>D0104</x:v>
      </x:c>
      <x:c r="B108" s="177" t="n">
        <x:v>46214</x:v>
      </x:c>
      <x:c r="C108" s="178" t="str">
        <x:v>R08</x:v>
      </x:c>
      <x:c r="D108" s="178" t="str">
        <x:v>Owen Taylor</x:v>
      </x:c>
      <x:c r="E108" s="178" t="str">
        <x:v>Mid-Market</x:v>
      </x:c>
      <x:c r="F108" s="178" t="str">
        <x:v>North</x:v>
      </x:c>
      <x:c r="G108" s="178" t="str">
        <x:v>Support Plus</x:v>
      </x:c>
      <x:c r="H108" s="178" t="str">
        <x:v>Support</x:v>
      </x:c>
      <x:c r="I108" s="179" t="n">
        <x:v>3721</x:v>
      </x:c>
      <x:c r="J108" s="179" t="n">
        <x:v>0</x:v>
      </x:c>
      <x:c r="K108" s="180" t="n">
        <x:v>1</x:v>
      </x:c>
      <x:c r="L108" s="178" t="str">
        <x:v>No</x:v>
      </x:c>
      <x:c r="M108" s="178" t="str">
        <x:v>Approved</x:v>
      </x:c>
      <x:c r="N108" s="181" t="str">
        <x:v>AC-1103</x:v>
      </x:c>
    </x:row>
    <x:row r="109">
      <x:c r="A109" s="176" t="str">
        <x:v>D0105</x:v>
      </x:c>
      <x:c r="B109" s="177" t="n">
        <x:v>46215</x:v>
      </x:c>
      <x:c r="C109" s="178" t="str">
        <x:v>R09</x:v>
      </x:c>
      <x:c r="D109" s="178" t="str">
        <x:v>Sara Kim</x:v>
      </x:c>
      <x:c r="E109" s="178" t="str">
        <x:v>SMB</x:v>
      </x:c>
      <x:c r="F109" s="178" t="str">
        <x:v>West</x:v>
      </x:c>
      <x:c r="G109" s="178" t="str">
        <x:v>Workflow Pro</x:v>
      </x:c>
      <x:c r="H109" s="178" t="str">
        <x:v>Software</x:v>
      </x:c>
      <x:c r="I109" s="179" t="n">
        <x:v>4649</x:v>
      </x:c>
      <x:c r="J109" s="179" t="n">
        <x:v>0</x:v>
      </x:c>
      <x:c r="K109" s="180" t="n">
        <x:v>1</x:v>
      </x:c>
      <x:c r="L109" s="178" t="str">
        <x:v>Yes</x:v>
      </x:c>
      <x:c r="M109" s="178" t="str">
        <x:v>Approved</x:v>
      </x:c>
      <x:c r="N109" s="181" t="str">
        <x:v>AC-1104</x:v>
      </x:c>
    </x:row>
    <x:row r="110">
      <x:c r="A110" s="176" t="str">
        <x:v>D0106</x:v>
      </x:c>
      <x:c r="B110" s="177" t="n">
        <x:v>46216</x:v>
      </x:c>
      <x:c r="C110" s="178" t="str">
        <x:v>R10</x:v>
      </x:c>
      <x:c r="D110" s="178" t="str">
        <x:v>Daniel Ruiz</x:v>
      </x:c>
      <x:c r="E110" s="178" t="str">
        <x:v>Enterprise</x:v>
      </x:c>
      <x:c r="F110" s="178" t="str">
        <x:v>West</x:v>
      </x:c>
      <x:c r="G110" s="178" t="str">
        <x:v>Training Pack</x:v>
      </x:c>
      <x:c r="H110" s="178" t="str">
        <x:v>Services</x:v>
      </x:c>
      <x:c r="I110" s="179" t="n">
        <x:v>5577</x:v>
      </x:c>
      <x:c r="J110" s="179" t="n">
        <x:v>0</x:v>
      </x:c>
      <x:c r="K110" s="180" t="n">
        <x:v>1</x:v>
      </x:c>
      <x:c r="L110" s="178" t="str">
        <x:v>No</x:v>
      </x:c>
      <x:c r="M110" s="178" t="str">
        <x:v>Approved</x:v>
      </x:c>
      <x:c r="N110" s="181" t="str">
        <x:v>AC-1105</x:v>
      </x:c>
    </x:row>
    <x:row r="111">
      <x:c r="A111" s="176" t="str">
        <x:v>D0107</x:v>
      </x:c>
      <x:c r="B111" s="177" t="n">
        <x:v>46217</x:v>
      </x:c>
      <x:c r="C111" s="178" t="str">
        <x:v>R11</x:v>
      </x:c>
      <x:c r="D111" s="178" t="str">
        <x:v>Elif Kaya</x:v>
      </x:c>
      <x:c r="E111" s="178" t="str">
        <x:v>Mid-Market</x:v>
      </x:c>
      <x:c r="F111" s="178" t="str">
        <x:v>South</x:v>
      </x:c>
      <x:c r="G111" s="178" t="str">
        <x:v>Analytics Cloud</x:v>
      </x:c>
      <x:c r="H111" s="178" t="str">
        <x:v>Software</x:v>
      </x:c>
      <x:c r="I111" s="179" t="n">
        <x:v>6505</x:v>
      </x:c>
      <x:c r="J111" s="179" t="n">
        <x:v>0</x:v>
      </x:c>
      <x:c r="K111" s="180" t="n">
        <x:v>1</x:v>
      </x:c>
      <x:c r="L111" s="178" t="str">
        <x:v>Yes</x:v>
      </x:c>
      <x:c r="M111" s="178" t="str">
        <x:v>Pending</x:v>
      </x:c>
      <x:c r="N111" s="181" t="str">
        <x:v>AC-1106</x:v>
      </x:c>
    </x:row>
    <x:row r="112">
      <x:c r="A112" s="176" t="str">
        <x:v>D0108</x:v>
      </x:c>
      <x:c r="B112" s="177" t="n">
        <x:v>46218</x:v>
      </x:c>
      <x:c r="C112" s="178" t="str">
        <x:v>R12</x:v>
      </x:c>
      <x:c r="D112" s="178" t="str">
        <x:v>Jon Bell</x:v>
      </x:c>
      <x:c r="E112" s="178" t="str">
        <x:v>SMB</x:v>
      </x:c>
      <x:c r="F112" s="178" t="str">
        <x:v>East</x:v>
      </x:c>
      <x:c r="G112" s="178" t="str">
        <x:v>Implementation</x:v>
      </x:c>
      <x:c r="H112" s="178" t="str">
        <x:v>Services</x:v>
      </x:c>
      <x:c r="I112" s="179" t="n">
        <x:v>7433</x:v>
      </x:c>
      <x:c r="J112" s="179" t="n">
        <x:v>0</x:v>
      </x:c>
      <x:c r="K112" s="180" t="n">
        <x:v>1</x:v>
      </x:c>
      <x:c r="L112" s="178" t="str">
        <x:v>No</x:v>
      </x:c>
      <x:c r="M112" s="178" t="str">
        <x:v>Approved</x:v>
      </x:c>
      <x:c r="N112" s="181" t="str">
        <x:v>AC-1107</x:v>
      </x:c>
    </x:row>
    <x:row r="113">
      <x:c r="A113" s="176" t="str">
        <x:v>D0109</x:v>
      </x:c>
      <x:c r="B113" s="177" t="n">
        <x:v>46219</x:v>
      </x:c>
      <x:c r="C113" s="178" t="str">
        <x:v>R01</x:v>
      </x:c>
      <x:c r="D113" s="178" t="str">
        <x:v>Maya Chen</x:v>
      </x:c>
      <x:c r="E113" s="178" t="str">
        <x:v>Enterprise</x:v>
      </x:c>
      <x:c r="F113" s="178" t="str">
        <x:v>North</x:v>
      </x:c>
      <x:c r="G113" s="178" t="str">
        <x:v>Support Plus</x:v>
      </x:c>
      <x:c r="H113" s="178" t="str">
        <x:v>Support</x:v>
      </x:c>
      <x:c r="I113" s="179" t="n">
        <x:v>7128</x:v>
      </x:c>
      <x:c r="J113" s="179" t="n">
        <x:v>0</x:v>
      </x:c>
      <x:c r="K113" s="180" t="n">
        <x:v>1</x:v>
      </x:c>
      <x:c r="L113" s="178" t="str">
        <x:v>No</x:v>
      </x:c>
      <x:c r="M113" s="178" t="str">
        <x:v>Approved</x:v>
      </x:c>
      <x:c r="N113" s="181" t="str">
        <x:v>AC-1108</x:v>
      </x:c>
    </x:row>
    <x:row r="114">
      <x:c r="A114" s="176" t="str">
        <x:v>D0110</x:v>
      </x:c>
      <x:c r="B114" s="177" t="n">
        <x:v>46220</x:v>
      </x:c>
      <x:c r="C114" s="178" t="str">
        <x:v>R02</x:v>
      </x:c>
      <x:c r="D114" s="178" t="str">
        <x:v>Ethan Brooks</x:v>
      </x:c>
      <x:c r="E114" s="178" t="str">
        <x:v>Enterprise</x:v>
      </x:c>
      <x:c r="F114" s="178" t="str">
        <x:v>South</x:v>
      </x:c>
      <x:c r="G114" s="178" t="str">
        <x:v>Workflow Pro</x:v>
      </x:c>
      <x:c r="H114" s="178" t="str">
        <x:v>Software</x:v>
      </x:c>
      <x:c r="I114" s="179" t="n">
        <x:v>8056</x:v>
      </x:c>
      <x:c r="J114" s="179" t="n">
        <x:v>0</x:v>
      </x:c>
      <x:c r="K114" s="180" t="n">
        <x:v>1</x:v>
      </x:c>
      <x:c r="L114" s="178" t="str">
        <x:v>Yes</x:v>
      </x:c>
      <x:c r="M114" s="178" t="str">
        <x:v>Approved</x:v>
      </x:c>
      <x:c r="N114" s="181" t="str">
        <x:v>AC-1109</x:v>
      </x:c>
    </x:row>
    <x:row r="115">
      <x:c r="A115" s="176" t="str">
        <x:v>D0111</x:v>
      </x:c>
      <x:c r="B115" s="177" t="n">
        <x:v>46221</x:v>
      </x:c>
      <x:c r="C115" s="178" t="str">
        <x:v>R03</x:v>
      </x:c>
      <x:c r="D115" s="178" t="str">
        <x:v>Sofia Patel</x:v>
      </x:c>
      <x:c r="E115" s="178" t="str">
        <x:v>Mid-Market</x:v>
      </x:c>
      <x:c r="F115" s="178" t="str">
        <x:v>East</x:v>
      </x:c>
      <x:c r="G115" s="178" t="str">
        <x:v>Training Pack</x:v>
      </x:c>
      <x:c r="H115" s="178" t="str">
        <x:v>Services</x:v>
      </x:c>
      <x:c r="I115" s="179" t="n">
        <x:v>1784</x:v>
      </x:c>
      <x:c r="J115" s="179" t="n">
        <x:v>0</x:v>
      </x:c>
      <x:c r="K115" s="180" t="n">
        <x:v>1</x:v>
      </x:c>
      <x:c r="L115" s="178" t="str">
        <x:v>No</x:v>
      </x:c>
      <x:c r="M115" s="178" t="str">
        <x:v>Approved</x:v>
      </x:c>
      <x:c r="N115" s="181" t="str">
        <x:v>AC-1110</x:v>
      </x:c>
    </x:row>
    <x:row r="116">
      <x:c r="A116" s="176" t="str">
        <x:v>D0112</x:v>
      </x:c>
      <x:c r="B116" s="177" t="n">
        <x:v>46222</x:v>
      </x:c>
      <x:c r="C116" s="178" t="str">
        <x:v>R04</x:v>
      </x:c>
      <x:c r="D116" s="178" t="str">
        <x:v>Noah Williams</x:v>
      </x:c>
      <x:c r="E116" s="178" t="str">
        <x:v>Mid-Market</x:v>
      </x:c>
      <x:c r="F116" s="178" t="str">
        <x:v>West</x:v>
      </x:c>
      <x:c r="G116" s="178" t="str">
        <x:v>Analytics Cloud</x:v>
      </x:c>
      <x:c r="H116" s="178" t="str">
        <x:v>Software</x:v>
      </x:c>
      <x:c r="I116" s="179" t="n">
        <x:v>2712</x:v>
      </x:c>
      <x:c r="J116" s="179" t="n">
        <x:v>0</x:v>
      </x:c>
      <x:c r="K116" s="180" t="n">
        <x:v>1</x:v>
      </x:c>
      <x:c r="L116" s="178" t="str">
        <x:v>Yes</x:v>
      </x:c>
      <x:c r="M116" s="178" t="str">
        <x:v>Pending</x:v>
      </x:c>
      <x:c r="N116" s="181" t="str">
        <x:v>AC-1111</x:v>
      </x:c>
    </x:row>
    <x:row r="117">
      <x:c r="A117" s="176" t="str">
        <x:v>D0113</x:v>
      </x:c>
      <x:c r="B117" s="177" t="n">
        <x:v>46223</x:v>
      </x:c>
      <x:c r="C117" s="178" t="str">
        <x:v>R05</x:v>
      </x:c>
      <x:c r="D117" s="178" t="str">
        <x:v>Lina Haddad</x:v>
      </x:c>
      <x:c r="E117" s="178" t="str">
        <x:v>SMB</x:v>
      </x:c>
      <x:c r="F117" s="178" t="str">
        <x:v>North</x:v>
      </x:c>
      <x:c r="G117" s="178" t="str">
        <x:v>Implementation</x:v>
      </x:c>
      <x:c r="H117" s="178" t="str">
        <x:v>Services</x:v>
      </x:c>
      <x:c r="I117" s="179" t="n">
        <x:v>3640</x:v>
      </x:c>
      <x:c r="J117" s="179" t="n">
        <x:v>0</x:v>
      </x:c>
      <x:c r="K117" s="180" t="n">
        <x:v>1</x:v>
      </x:c>
      <x:c r="L117" s="178" t="str">
        <x:v>No</x:v>
      </x:c>
      <x:c r="M117" s="178" t="str">
        <x:v>Approved</x:v>
      </x:c>
      <x:c r="N117" s="181" t="str">
        <x:v>AC-1112</x:v>
      </x:c>
    </x:row>
    <x:row r="118">
      <x:c r="A118" s="176" t="str">
        <x:v>D0114</x:v>
      </x:c>
      <x:c r="B118" s="177" t="n">
        <x:v>46224</x:v>
      </x:c>
      <x:c r="C118" s="178" t="str">
        <x:v>R06</x:v>
      </x:c>
      <x:c r="D118" s="178" t="str">
        <x:v>Lucas Martin</x:v>
      </x:c>
      <x:c r="E118" s="178" t="str">
        <x:v>SMB</x:v>
      </x:c>
      <x:c r="F118" s="178" t="str">
        <x:v>South</x:v>
      </x:c>
      <x:c r="G118" s="178" t="str">
        <x:v>Support Plus</x:v>
      </x:c>
      <x:c r="H118" s="178" t="str">
        <x:v>Support</x:v>
      </x:c>
      <x:c r="I118" s="179" t="n">
        <x:v>4568</x:v>
      </x:c>
      <x:c r="J118" s="179" t="n">
        <x:v>0</x:v>
      </x:c>
      <x:c r="K118" s="180" t="n">
        <x:v>1</x:v>
      </x:c>
      <x:c r="L118" s="178" t="str">
        <x:v>No</x:v>
      </x:c>
      <x:c r="M118" s="178" t="str">
        <x:v>Approved</x:v>
      </x:c>
      <x:c r="N118" s="181" t="str">
        <x:v>AC-1113</x:v>
      </x:c>
    </x:row>
    <x:row r="119">
      <x:c r="A119" s="176" t="str">
        <x:v>D0115</x:v>
      </x:c>
      <x:c r="B119" s="177" t="n">
        <x:v>46225</x:v>
      </x:c>
      <x:c r="C119" s="178" t="str">
        <x:v>R07</x:v>
      </x:c>
      <x:c r="D119" s="178" t="str">
        <x:v>Aylin Demir</x:v>
      </x:c>
      <x:c r="E119" s="178" t="str">
        <x:v>Enterprise</x:v>
      </x:c>
      <x:c r="F119" s="178" t="str">
        <x:v>East</x:v>
      </x:c>
      <x:c r="G119" s="178" t="str">
        <x:v>Workflow Pro</x:v>
      </x:c>
      <x:c r="H119" s="178" t="str">
        <x:v>Software</x:v>
      </x:c>
      <x:c r="I119" s="179" t="n">
        <x:v>5496</x:v>
      </x:c>
      <x:c r="J119" s="179" t="n">
        <x:v>0</x:v>
      </x:c>
      <x:c r="K119" s="180" t="n">
        <x:v>1</x:v>
      </x:c>
      <x:c r="L119" s="178" t="str">
        <x:v>Yes</x:v>
      </x:c>
      <x:c r="M119" s="178" t="str">
        <x:v>Approved</x:v>
      </x:c>
      <x:c r="N119" s="181" t="str">
        <x:v>AC-1114</x:v>
      </x:c>
    </x:row>
    <x:row r="120">
      <x:c r="A120" s="176" t="str">
        <x:v>D0116</x:v>
      </x:c>
      <x:c r="B120" s="177" t="n">
        <x:v>46226</x:v>
      </x:c>
      <x:c r="C120" s="178" t="str">
        <x:v>R08</x:v>
      </x:c>
      <x:c r="D120" s="178" t="str">
        <x:v>Owen Taylor</x:v>
      </x:c>
      <x:c r="E120" s="178" t="str">
        <x:v>Mid-Market</x:v>
      </x:c>
      <x:c r="F120" s="178" t="str">
        <x:v>North</x:v>
      </x:c>
      <x:c r="G120" s="178" t="str">
        <x:v>Training Pack</x:v>
      </x:c>
      <x:c r="H120" s="178" t="str">
        <x:v>Services</x:v>
      </x:c>
      <x:c r="I120" s="179" t="n">
        <x:v>6424</x:v>
      </x:c>
      <x:c r="J120" s="179" t="n">
        <x:v>0</x:v>
      </x:c>
      <x:c r="K120" s="180" t="n">
        <x:v>0.5</x:v>
      </x:c>
      <x:c r="L120" s="178" t="str">
        <x:v>No</x:v>
      </x:c>
      <x:c r="M120" s="178" t="str">
        <x:v>Approved</x:v>
      </x:c>
      <x:c r="N120" s="181" t="str">
        <x:v>AC-1115</x:v>
      </x:c>
    </x:row>
    <x:row r="121">
      <x:c r="A121" s="176" t="str">
        <x:v>D0117</x:v>
      </x:c>
      <x:c r="B121" s="177" t="n">
        <x:v>46227</x:v>
      </x:c>
      <x:c r="C121" s="178" t="str">
        <x:v>R09</x:v>
      </x:c>
      <x:c r="D121" s="178" t="str">
        <x:v>Sara Kim</x:v>
      </x:c>
      <x:c r="E121" s="178" t="str">
        <x:v>SMB</x:v>
      </x:c>
      <x:c r="F121" s="178" t="str">
        <x:v>West</x:v>
      </x:c>
      <x:c r="G121" s="178" t="str">
        <x:v>Analytics Cloud</x:v>
      </x:c>
      <x:c r="H121" s="178" t="str">
        <x:v>Software</x:v>
      </x:c>
      <x:c r="I121" s="179" t="n">
        <x:v>7352</x:v>
      </x:c>
      <x:c r="J121" s="179" t="n">
        <x:v>0</x:v>
      </x:c>
      <x:c r="K121" s="180" t="n">
        <x:v>0.75</x:v>
      </x:c>
      <x:c r="L121" s="178" t="str">
        <x:v>Yes</x:v>
      </x:c>
      <x:c r="M121" s="178" t="str">
        <x:v>Pending</x:v>
      </x:c>
      <x:c r="N121" s="181" t="str">
        <x:v>AC-1116</x:v>
      </x:c>
    </x:row>
    <x:row r="122">
      <x:c r="A122" s="176" t="str">
        <x:v>D0118</x:v>
      </x:c>
      <x:c r="B122" s="177" t="n">
        <x:v>46228</x:v>
      </x:c>
      <x:c r="C122" s="178" t="str">
        <x:v>R10</x:v>
      </x:c>
      <x:c r="D122" s="178" t="str">
        <x:v>Daniel Ruiz</x:v>
      </x:c>
      <x:c r="E122" s="178" t="str">
        <x:v>Enterprise</x:v>
      </x:c>
      <x:c r="F122" s="178" t="str">
        <x:v>West</x:v>
      </x:c>
      <x:c r="G122" s="178" t="str">
        <x:v>Implementation</x:v>
      </x:c>
      <x:c r="H122" s="178" t="str">
        <x:v>Services</x:v>
      </x:c>
      <x:c r="I122" s="179" t="n">
        <x:v>7047</x:v>
      </x:c>
      <x:c r="J122" s="179" t="n">
        <x:v>0</x:v>
      </x:c>
      <x:c r="K122" s="180" t="n">
        <x:v>1</x:v>
      </x:c>
      <x:c r="L122" s="178" t="str">
        <x:v>No</x:v>
      </x:c>
      <x:c r="M122" s="178" t="str">
        <x:v>Approved</x:v>
      </x:c>
      <x:c r="N122" s="181" t="str">
        <x:v>AC-1117</x:v>
      </x:c>
    </x:row>
    <x:row r="123">
      <x:c r="A123" s="176" t="str">
        <x:v>D0119</x:v>
      </x:c>
      <x:c r="B123" s="177" t="n">
        <x:v>46229</x:v>
      </x:c>
      <x:c r="C123" s="178" t="str">
        <x:v>R11</x:v>
      </x:c>
      <x:c r="D123" s="178" t="str">
        <x:v>Elif Kaya</x:v>
      </x:c>
      <x:c r="E123" s="178" t="str">
        <x:v>Mid-Market</x:v>
      </x:c>
      <x:c r="F123" s="178" t="str">
        <x:v>South</x:v>
      </x:c>
      <x:c r="G123" s="178" t="str">
        <x:v>Support Plus</x:v>
      </x:c>
      <x:c r="H123" s="178" t="str">
        <x:v>Support</x:v>
      </x:c>
      <x:c r="I123" s="179" t="n">
        <x:v>7975</x:v>
      </x:c>
      <x:c r="J123" s="179" t="n">
        <x:v>0</x:v>
      </x:c>
      <x:c r="K123" s="180" t="n">
        <x:v>1</x:v>
      </x:c>
      <x:c r="L123" s="178" t="str">
        <x:v>No</x:v>
      </x:c>
      <x:c r="M123" s="178" t="str">
        <x:v>Approved</x:v>
      </x:c>
      <x:c r="N123" s="181" t="str">
        <x:v>AC-1118</x:v>
      </x:c>
    </x:row>
    <x:row r="124">
      <x:c r="A124" s="176" t="str">
        <x:v>D0120</x:v>
      </x:c>
      <x:c r="B124" s="177" t="n">
        <x:v>46230</x:v>
      </x:c>
      <x:c r="C124" s="178" t="str">
        <x:v>R12</x:v>
      </x:c>
      <x:c r="D124" s="178" t="str">
        <x:v>Jon Bell</x:v>
      </x:c>
      <x:c r="E124" s="178" t="str">
        <x:v>SMB</x:v>
      </x:c>
      <x:c r="F124" s="178" t="str">
        <x:v>East</x:v>
      </x:c>
      <x:c r="G124" s="178" t="str">
        <x:v>Workflow Pro</x:v>
      </x:c>
      <x:c r="H124" s="178" t="str">
        <x:v>Software</x:v>
      </x:c>
      <x:c r="I124" s="179" t="n">
        <x:v>1703</x:v>
      </x:c>
      <x:c r="J124" s="179" t="n">
        <x:v>408.72</x:v>
      </x:c>
      <x:c r="K124" s="180" t="n">
        <x:v>1</x:v>
      </x:c>
      <x:c r="L124" s="178" t="str">
        <x:v>Yes</x:v>
      </x:c>
      <x:c r="M124" s="178" t="str">
        <x:v>Approved</x:v>
      </x:c>
      <x:c r="N124" s="181" t="str">
        <x:v>AC-1119</x:v>
      </x:c>
    </x:row>
    <x:row r="125">
      <x:c r="A125" s="176" t="str">
        <x:v>D0121</x:v>
      </x:c>
      <x:c r="B125" s="177" t="n">
        <x:v>46231</x:v>
      </x:c>
      <x:c r="C125" s="178" t="str">
        <x:v>R01</x:v>
      </x:c>
      <x:c r="D125" s="178" t="str">
        <x:v>Maya Chen</x:v>
      </x:c>
      <x:c r="E125" s="178" t="str">
        <x:v>Enterprise</x:v>
      </x:c>
      <x:c r="F125" s="178" t="str">
        <x:v>North</x:v>
      </x:c>
      <x:c r="G125" s="178" t="str">
        <x:v>Training Pack</x:v>
      </x:c>
      <x:c r="H125" s="178" t="str">
        <x:v>Services</x:v>
      </x:c>
      <x:c r="I125" s="179" t="n">
        <x:v>2631</x:v>
      </x:c>
      <x:c r="J125" s="179" t="n">
        <x:v>0</x:v>
      </x:c>
      <x:c r="K125" s="180" t="n">
        <x:v>1</x:v>
      </x:c>
      <x:c r="L125" s="178" t="str">
        <x:v>No</x:v>
      </x:c>
      <x:c r="M125" s="178" t="str">
        <x:v>Approved</x:v>
      </x:c>
      <x:c r="N125" s="181" t="str">
        <x:v>AC-1120</x:v>
      </x:c>
    </x:row>
    <x:row r="126">
      <x:c r="A126" s="176" t="str">
        <x:v>D0122</x:v>
      </x:c>
      <x:c r="B126" s="177" t="n">
        <x:v>46232</x:v>
      </x:c>
      <x:c r="C126" s="178" t="str">
        <x:v>R02</x:v>
      </x:c>
      <x:c r="D126" s="178" t="str">
        <x:v>Ethan Brooks</x:v>
      </x:c>
      <x:c r="E126" s="178" t="str">
        <x:v>Enterprise</x:v>
      </x:c>
      <x:c r="F126" s="178" t="str">
        <x:v>South</x:v>
      </x:c>
      <x:c r="G126" s="178" t="str">
        <x:v>Analytics Cloud</x:v>
      </x:c>
      <x:c r="H126" s="178" t="str">
        <x:v>Software</x:v>
      </x:c>
      <x:c r="I126" s="179" t="n">
        <x:v>3559</x:v>
      </x:c>
      <x:c r="J126" s="179" t="n">
        <x:v>0</x:v>
      </x:c>
      <x:c r="K126" s="180" t="n">
        <x:v>1</x:v>
      </x:c>
      <x:c r="L126" s="178" t="str">
        <x:v>Yes</x:v>
      </x:c>
      <x:c r="M126" s="178" t="str">
        <x:v>Pending</x:v>
      </x:c>
      <x:c r="N126" s="181" t="str">
        <x:v>AC-1121</x:v>
      </x:c>
    </x:row>
    <x:row r="127">
      <x:c r="A127" s="176" t="str">
        <x:v>D0123</x:v>
      </x:c>
      <x:c r="B127" s="177" t="n">
        <x:v>46233</x:v>
      </x:c>
      <x:c r="C127" s="178" t="str">
        <x:v>R03</x:v>
      </x:c>
      <x:c r="D127" s="178" t="str">
        <x:v>Sofia Patel</x:v>
      </x:c>
      <x:c r="E127" s="178" t="str">
        <x:v>Mid-Market</x:v>
      </x:c>
      <x:c r="F127" s="178" t="str">
        <x:v>East</x:v>
      </x:c>
      <x:c r="G127" s="178" t="str">
        <x:v>Implementation</x:v>
      </x:c>
      <x:c r="H127" s="178" t="str">
        <x:v>Services</x:v>
      </x:c>
      <x:c r="I127" s="179" t="n">
        <x:v>4487</x:v>
      </x:c>
      <x:c r="J127" s="179" t="n">
        <x:v>0</x:v>
      </x:c>
      <x:c r="K127" s="180" t="n">
        <x:v>1</x:v>
      </x:c>
      <x:c r="L127" s="178" t="str">
        <x:v>No</x:v>
      </x:c>
      <x:c r="M127" s="178" t="str">
        <x:v>Approved</x:v>
      </x:c>
      <x:c r="N127" s="181" t="str">
        <x:v>AC-1122</x:v>
      </x:c>
    </x:row>
    <x:row r="128">
      <x:c r="A128" s="176" t="str">
        <x:v>D0124</x:v>
      </x:c>
      <x:c r="B128" s="177" t="n">
        <x:v>46234</x:v>
      </x:c>
      <x:c r="C128" s="178" t="str">
        <x:v>R04</x:v>
      </x:c>
      <x:c r="D128" s="178" t="str">
        <x:v>Noah Williams</x:v>
      </x:c>
      <x:c r="E128" s="178" t="str">
        <x:v>Mid-Market</x:v>
      </x:c>
      <x:c r="F128" s="178" t="str">
        <x:v>West</x:v>
      </x:c>
      <x:c r="G128" s="178" t="str">
        <x:v>Support Plus</x:v>
      </x:c>
      <x:c r="H128" s="178" t="str">
        <x:v>Support</x:v>
      </x:c>
      <x:c r="I128" s="179" t="n">
        <x:v>5415</x:v>
      </x:c>
      <x:c r="J128" s="179" t="n">
        <x:v>0</x:v>
      </x:c>
      <x:c r="K128" s="180" t="n">
        <x:v>1</x:v>
      </x:c>
      <x:c r="L128" s="178" t="str">
        <x:v>No</x:v>
      </x:c>
      <x:c r="M128" s="178" t="str">
        <x:v>Approved</x:v>
      </x:c>
      <x:c r="N128" s="181" t="str">
        <x:v>AC-1123</x:v>
      </x:c>
    </x:row>
    <x:row r="129">
      <x:c r="A129" s="176" t="str">
        <x:v>D0125</x:v>
      </x:c>
      <x:c r="B129" s="177" t="n">
        <x:v>46204</x:v>
      </x:c>
      <x:c r="C129" s="178" t="str">
        <x:v>R05</x:v>
      </x:c>
      <x:c r="D129" s="178" t="str">
        <x:v>Lina Haddad</x:v>
      </x:c>
      <x:c r="E129" s="178" t="str">
        <x:v>SMB</x:v>
      </x:c>
      <x:c r="F129" s="178" t="str">
        <x:v>North</x:v>
      </x:c>
      <x:c r="G129" s="178" t="str">
        <x:v>Workflow Pro</x:v>
      </x:c>
      <x:c r="H129" s="178" t="str">
        <x:v>Software</x:v>
      </x:c>
      <x:c r="I129" s="179" t="n">
        <x:v>6343</x:v>
      </x:c>
      <x:c r="J129" s="179" t="n">
        <x:v>0</x:v>
      </x:c>
      <x:c r="K129" s="180" t="n">
        <x:v>1</x:v>
      </x:c>
      <x:c r="L129" s="178" t="str">
        <x:v>Yes</x:v>
      </x:c>
      <x:c r="M129" s="178" t="str">
        <x:v>Approved</x:v>
      </x:c>
      <x:c r="N129" s="181" t="str">
        <x:v>AC-1124</x:v>
      </x:c>
    </x:row>
    <x:row r="130">
      <x:c r="A130" s="176" t="str">
        <x:v>D0126</x:v>
      </x:c>
      <x:c r="B130" s="177" t="n">
        <x:v>46205</x:v>
      </x:c>
      <x:c r="C130" s="178" t="str">
        <x:v>R06</x:v>
      </x:c>
      <x:c r="D130" s="178" t="str">
        <x:v>Lucas Martin</x:v>
      </x:c>
      <x:c r="E130" s="178" t="str">
        <x:v>SMB</x:v>
      </x:c>
      <x:c r="F130" s="178" t="str">
        <x:v>South</x:v>
      </x:c>
      <x:c r="G130" s="178" t="str">
        <x:v>Training Pack</x:v>
      </x:c>
      <x:c r="H130" s="178" t="str">
        <x:v>Services</x:v>
      </x:c>
      <x:c r="I130" s="179" t="n">
        <x:v>7271</x:v>
      </x:c>
      <x:c r="J130" s="179" t="n">
        <x:v>0</x:v>
      </x:c>
      <x:c r="K130" s="180" t="n">
        <x:v>1</x:v>
      </x:c>
      <x:c r="L130" s="178" t="str">
        <x:v>No</x:v>
      </x:c>
      <x:c r="M130" s="178" t="str">
        <x:v>Approved</x:v>
      </x:c>
      <x:c r="N130" s="181" t="str">
        <x:v>AC-1125</x:v>
      </x:c>
    </x:row>
    <x:row r="131">
      <x:c r="A131" s="176" t="str">
        <x:v>D0127</x:v>
      </x:c>
      <x:c r="B131" s="177" t="n">
        <x:v>46206</x:v>
      </x:c>
      <x:c r="C131" s="178" t="str">
        <x:v>R07</x:v>
      </x:c>
      <x:c r="D131" s="178" t="str">
        <x:v>Aylin Demir</x:v>
      </x:c>
      <x:c r="E131" s="178" t="str">
        <x:v>Enterprise</x:v>
      </x:c>
      <x:c r="F131" s="178" t="str">
        <x:v>East</x:v>
      </x:c>
      <x:c r="G131" s="178" t="str">
        <x:v>Analytics Cloud</x:v>
      </x:c>
      <x:c r="H131" s="178" t="str">
        <x:v>Software</x:v>
      </x:c>
      <x:c r="I131" s="179" t="n">
        <x:v>6966</x:v>
      </x:c>
      <x:c r="J131" s="179" t="n">
        <x:v>0</x:v>
      </x:c>
      <x:c r="K131" s="180" t="n">
        <x:v>1</x:v>
      </x:c>
      <x:c r="L131" s="178" t="str">
        <x:v>Yes</x:v>
      </x:c>
      <x:c r="M131" s="178" t="str">
        <x:v>Pending</x:v>
      </x:c>
      <x:c r="N131" s="181" t="str">
        <x:v>AC-1126</x:v>
      </x:c>
    </x:row>
    <x:row r="132">
      <x:c r="A132" s="176" t="str">
        <x:v>D0128</x:v>
      </x:c>
      <x:c r="B132" s="177" t="n">
        <x:v>46207</x:v>
      </x:c>
      <x:c r="C132" s="178" t="str">
        <x:v>R08</x:v>
      </x:c>
      <x:c r="D132" s="178" t="str">
        <x:v>Owen Taylor</x:v>
      </x:c>
      <x:c r="E132" s="178" t="str">
        <x:v>Mid-Market</x:v>
      </x:c>
      <x:c r="F132" s="178" t="str">
        <x:v>North</x:v>
      </x:c>
      <x:c r="G132" s="178" t="str">
        <x:v>Implementation</x:v>
      </x:c>
      <x:c r="H132" s="178" t="str">
        <x:v>Services</x:v>
      </x:c>
      <x:c r="I132" s="179" t="n">
        <x:v>7894</x:v>
      </x:c>
      <x:c r="J132" s="179" t="n">
        <x:v>0</x:v>
      </x:c>
      <x:c r="K132" s="180" t="n">
        <x:v>1</x:v>
      </x:c>
      <x:c r="L132" s="178" t="str">
        <x:v>No</x:v>
      </x:c>
      <x:c r="M132" s="178" t="str">
        <x:v>Approved</x:v>
      </x:c>
      <x:c r="N132" s="181" t="str">
        <x:v>AC-1127</x:v>
      </x:c>
    </x:row>
    <x:row r="133">
      <x:c r="A133" s="176" t="str">
        <x:v>D0129</x:v>
      </x:c>
      <x:c r="B133" s="177" t="n">
        <x:v>46208</x:v>
      </x:c>
      <x:c r="C133" s="178" t="str">
        <x:v>R09</x:v>
      </x:c>
      <x:c r="D133" s="178" t="str">
        <x:v>Sara Kim</x:v>
      </x:c>
      <x:c r="E133" s="178" t="str">
        <x:v>SMB</x:v>
      </x:c>
      <x:c r="F133" s="178" t="str">
        <x:v>West</x:v>
      </x:c>
      <x:c r="G133" s="178" t="str">
        <x:v>Support Plus</x:v>
      </x:c>
      <x:c r="H133" s="178" t="str">
        <x:v>Support</x:v>
      </x:c>
      <x:c r="I133" s="179" t="n">
        <x:v>1622</x:v>
      </x:c>
      <x:c r="J133" s="179" t="n">
        <x:v>0</x:v>
      </x:c>
      <x:c r="K133" s="180" t="n">
        <x:v>1</x:v>
      </x:c>
      <x:c r="L133" s="178" t="str">
        <x:v>No</x:v>
      </x:c>
      <x:c r="M133" s="178" t="str">
        <x:v>Approved</x:v>
      </x:c>
      <x:c r="N133" s="181" t="str">
        <x:v>AC-1128</x:v>
      </x:c>
    </x:row>
    <x:row r="134">
      <x:c r="A134" s="176" t="str">
        <x:v>D0130</x:v>
      </x:c>
      <x:c r="B134" s="177" t="n">
        <x:v>46209</x:v>
      </x:c>
      <x:c r="C134" s="178" t="str">
        <x:v>R10</x:v>
      </x:c>
      <x:c r="D134" s="178" t="str">
        <x:v>Daniel Ruiz</x:v>
      </x:c>
      <x:c r="E134" s="178" t="str">
        <x:v>Enterprise</x:v>
      </x:c>
      <x:c r="F134" s="178" t="str">
        <x:v>West</x:v>
      </x:c>
      <x:c r="G134" s="178" t="str">
        <x:v>Workflow Pro</x:v>
      </x:c>
      <x:c r="H134" s="178" t="str">
        <x:v>Software</x:v>
      </x:c>
      <x:c r="I134" s="179" t="n">
        <x:v>2550</x:v>
      </x:c>
      <x:c r="J134" s="179" t="n">
        <x:v>0</x:v>
      </x:c>
      <x:c r="K134" s="180" t="n">
        <x:v>1</x:v>
      </x:c>
      <x:c r="L134" s="178" t="str">
        <x:v>Yes</x:v>
      </x:c>
      <x:c r="M134" s="178" t="str">
        <x:v>Approved</x:v>
      </x:c>
      <x:c r="N134" s="181" t="str">
        <x:v>AC-1129</x:v>
      </x:c>
    </x:row>
    <x:row r="135">
      <x:c r="A135" s="176" t="str">
        <x:v>D0131</x:v>
      </x:c>
      <x:c r="B135" s="177" t="n">
        <x:v>46210</x:v>
      </x:c>
      <x:c r="C135" s="178" t="str">
        <x:v>R11</x:v>
      </x:c>
      <x:c r="D135" s="178" t="str">
        <x:v>Elif Kaya</x:v>
      </x:c>
      <x:c r="E135" s="178" t="str">
        <x:v>Mid-Market</x:v>
      </x:c>
      <x:c r="F135" s="178" t="str">
        <x:v>South</x:v>
      </x:c>
      <x:c r="G135" s="178" t="str">
        <x:v>Training Pack</x:v>
      </x:c>
      <x:c r="H135" s="178" t="str">
        <x:v>Services</x:v>
      </x:c>
      <x:c r="I135" s="179" t="n">
        <x:v>3478</x:v>
      </x:c>
      <x:c r="J135" s="179" t="n">
        <x:v>0</x:v>
      </x:c>
      <x:c r="K135" s="180" t="n">
        <x:v>1</x:v>
      </x:c>
      <x:c r="L135" s="178" t="str">
        <x:v>No</x:v>
      </x:c>
      <x:c r="M135" s="178" t="str">
        <x:v>Approved</x:v>
      </x:c>
      <x:c r="N135" s="181" t="str">
        <x:v>AC-1130</x:v>
      </x:c>
    </x:row>
    <x:row r="136">
      <x:c r="A136" s="176" t="str">
        <x:v>D0132</x:v>
      </x:c>
      <x:c r="B136" s="177" t="n">
        <x:v>46211</x:v>
      </x:c>
      <x:c r="C136" s="178" t="str">
        <x:v>R12</x:v>
      </x:c>
      <x:c r="D136" s="178" t="str">
        <x:v>Jon Bell</x:v>
      </x:c>
      <x:c r="E136" s="178" t="str">
        <x:v>SMB</x:v>
      </x:c>
      <x:c r="F136" s="178" t="str">
        <x:v>East</x:v>
      </x:c>
      <x:c r="G136" s="178" t="str">
        <x:v>Analytics Cloud</x:v>
      </x:c>
      <x:c r="H136" s="178" t="str">
        <x:v>Software</x:v>
      </x:c>
      <x:c r="I136" s="179" t="n">
        <x:v>4406</x:v>
      </x:c>
      <x:c r="J136" s="179" t="n">
        <x:v>0</x:v>
      </x:c>
      <x:c r="K136" s="180" t="n">
        <x:v>1</x:v>
      </x:c>
      <x:c r="L136" s="178" t="str">
        <x:v>Yes</x:v>
      </x:c>
      <x:c r="M136" s="178" t="str">
        <x:v>Pending</x:v>
      </x:c>
      <x:c r="N136" s="181" t="str">
        <x:v>AC-1131</x:v>
      </x:c>
    </x:row>
    <x:row r="137">
      <x:c r="A137" s="176" t="str">
        <x:v>D0133</x:v>
      </x:c>
      <x:c r="B137" s="177" t="n">
        <x:v>46212</x:v>
      </x:c>
      <x:c r="C137" s="178" t="str">
        <x:v>R01</x:v>
      </x:c>
      <x:c r="D137" s="178" t="str">
        <x:v>Maya Chen</x:v>
      </x:c>
      <x:c r="E137" s="178" t="str">
        <x:v>Enterprise</x:v>
      </x:c>
      <x:c r="F137" s="178" t="str">
        <x:v>North</x:v>
      </x:c>
      <x:c r="G137" s="178" t="str">
        <x:v>Implementation</x:v>
      </x:c>
      <x:c r="H137" s="178" t="str">
        <x:v>Services</x:v>
      </x:c>
      <x:c r="I137" s="179" t="n">
        <x:v>5334</x:v>
      </x:c>
      <x:c r="J137" s="179" t="n">
        <x:v>0</x:v>
      </x:c>
      <x:c r="K137" s="180" t="n">
        <x:v>1</x:v>
      </x:c>
      <x:c r="L137" s="178" t="str">
        <x:v>No</x:v>
      </x:c>
      <x:c r="M137" s="178" t="str">
        <x:v>Approved</x:v>
      </x:c>
      <x:c r="N137" s="181" t="str">
        <x:v>AC-1132</x:v>
      </x:c>
    </x:row>
    <x:row r="138">
      <x:c r="A138" s="176" t="str">
        <x:v>D0134</x:v>
      </x:c>
      <x:c r="B138" s="177" t="n">
        <x:v>46213</x:v>
      </x:c>
      <x:c r="C138" s="178" t="str">
        <x:v>R02</x:v>
      </x:c>
      <x:c r="D138" s="178" t="str">
        <x:v>Ethan Brooks</x:v>
      </x:c>
      <x:c r="E138" s="178" t="str">
        <x:v>Enterprise</x:v>
      </x:c>
      <x:c r="F138" s="178" t="str">
        <x:v>South</x:v>
      </x:c>
      <x:c r="G138" s="178" t="str">
        <x:v>Support Plus</x:v>
      </x:c>
      <x:c r="H138" s="178" t="str">
        <x:v>Support</x:v>
      </x:c>
      <x:c r="I138" s="179" t="n">
        <x:v>6262</x:v>
      </x:c>
      <x:c r="J138" s="179" t="n">
        <x:v>0</x:v>
      </x:c>
      <x:c r="K138" s="180" t="n">
        <x:v>1</x:v>
      </x:c>
      <x:c r="L138" s="178" t="str">
        <x:v>No</x:v>
      </x:c>
      <x:c r="M138" s="178" t="str">
        <x:v>Approved</x:v>
      </x:c>
      <x:c r="N138" s="181" t="str">
        <x:v>AC-1133</x:v>
      </x:c>
    </x:row>
    <x:row r="139">
      <x:c r="A139" s="176" t="str">
        <x:v>D0135</x:v>
      </x:c>
      <x:c r="B139" s="177" t="n">
        <x:v>46214</x:v>
      </x:c>
      <x:c r="C139" s="178" t="str">
        <x:v>R03</x:v>
      </x:c>
      <x:c r="D139" s="178" t="str">
        <x:v>Sofia Patel</x:v>
      </x:c>
      <x:c r="E139" s="178" t="str">
        <x:v>Mid-Market</x:v>
      </x:c>
      <x:c r="F139" s="178" t="str">
        <x:v>East</x:v>
      </x:c>
      <x:c r="G139" s="178" t="str">
        <x:v>Workflow Pro</x:v>
      </x:c>
      <x:c r="H139" s="178" t="str">
        <x:v>Software</x:v>
      </x:c>
      <x:c r="I139" s="179" t="n">
        <x:v>7190</x:v>
      </x:c>
      <x:c r="J139" s="179" t="n">
        <x:v>0</x:v>
      </x:c>
      <x:c r="K139" s="180" t="n">
        <x:v>1</x:v>
      </x:c>
      <x:c r="L139" s="178" t="str">
        <x:v>Yes</x:v>
      </x:c>
      <x:c r="M139" s="178" t="str">
        <x:v>Approved</x:v>
      </x:c>
      <x:c r="N139" s="181" t="str">
        <x:v>AC-1134</x:v>
      </x:c>
    </x:row>
    <x:row r="140">
      <x:c r="A140" s="176" t="str">
        <x:v>D0136</x:v>
      </x:c>
      <x:c r="B140" s="177" t="n">
        <x:v>46215</x:v>
      </x:c>
      <x:c r="C140" s="178" t="str">
        <x:v>R04</x:v>
      </x:c>
      <x:c r="D140" s="178" t="str">
        <x:v>Noah Williams</x:v>
      </x:c>
      <x:c r="E140" s="178" t="str">
        <x:v>Mid-Market</x:v>
      </x:c>
      <x:c r="F140" s="178" t="str">
        <x:v>West</x:v>
      </x:c>
      <x:c r="G140" s="178" t="str">
        <x:v>Training Pack</x:v>
      </x:c>
      <x:c r="H140" s="178" t="str">
        <x:v>Services</x:v>
      </x:c>
      <x:c r="I140" s="179" t="n">
        <x:v>6885</x:v>
      </x:c>
      <x:c r="J140" s="179" t="n">
        <x:v>0</x:v>
      </x:c>
      <x:c r="K140" s="180" t="n">
        <x:v>1</x:v>
      </x:c>
      <x:c r="L140" s="178" t="str">
        <x:v>No</x:v>
      </x:c>
      <x:c r="M140" s="178" t="str">
        <x:v>Approved</x:v>
      </x:c>
      <x:c r="N140" s="181" t="str">
        <x:v>AC-1135</x:v>
      </x:c>
    </x:row>
    <x:row r="141">
      <x:c r="A141" s="176" t="str">
        <x:v>D0137</x:v>
      </x:c>
      <x:c r="B141" s="177" t="n">
        <x:v>46216</x:v>
      </x:c>
      <x:c r="C141" s="178" t="str">
        <x:v>R05</x:v>
      </x:c>
      <x:c r="D141" s="178" t="str">
        <x:v>Lina Haddad</x:v>
      </x:c>
      <x:c r="E141" s="178" t="str">
        <x:v>SMB</x:v>
      </x:c>
      <x:c r="F141" s="178" t="str">
        <x:v>North</x:v>
      </x:c>
      <x:c r="G141" s="178" t="str">
        <x:v>Analytics Cloud</x:v>
      </x:c>
      <x:c r="H141" s="178" t="str">
        <x:v>Software</x:v>
      </x:c>
      <x:c r="I141" s="179" t="n">
        <x:v>7813</x:v>
      </x:c>
      <x:c r="J141" s="179" t="n">
        <x:v>1406.34</x:v>
      </x:c>
      <x:c r="K141" s="180" t="n">
        <x:v>1</x:v>
      </x:c>
      <x:c r="L141" s="178" t="str">
        <x:v>Yes</x:v>
      </x:c>
      <x:c r="M141" s="178" t="str">
        <x:v>Pending</x:v>
      </x:c>
      <x:c r="N141" s="181" t="str">
        <x:v>AC-1136</x:v>
      </x:c>
    </x:row>
    <x:row r="142">
      <x:c r="A142" s="176" t="str">
        <x:v>D0138</x:v>
      </x:c>
      <x:c r="B142" s="177" t="n">
        <x:v>46217</x:v>
      </x:c>
      <x:c r="C142" s="178" t="str">
        <x:v>R06</x:v>
      </x:c>
      <x:c r="D142" s="178" t="str">
        <x:v>Lucas Martin</x:v>
      </x:c>
      <x:c r="E142" s="178" t="str">
        <x:v>SMB</x:v>
      </x:c>
      <x:c r="F142" s="178" t="str">
        <x:v>South</x:v>
      </x:c>
      <x:c r="G142" s="178" t="str">
        <x:v>Implementation</x:v>
      </x:c>
      <x:c r="H142" s="178" t="str">
        <x:v>Services</x:v>
      </x:c>
      <x:c r="I142" s="179" t="n">
        <x:v>1541</x:v>
      </x:c>
      <x:c r="J142" s="179" t="n">
        <x:v>0</x:v>
      </x:c>
      <x:c r="K142" s="180" t="n">
        <x:v>1</x:v>
      </x:c>
      <x:c r="L142" s="178" t="str">
        <x:v>No</x:v>
      </x:c>
      <x:c r="M142" s="178" t="str">
        <x:v>Approved</x:v>
      </x:c>
      <x:c r="N142" s="181" t="str">
        <x:v>AC-1137</x:v>
      </x:c>
    </x:row>
    <x:row r="143">
      <x:c r="A143" s="176" t="str">
        <x:v>D0139</x:v>
      </x:c>
      <x:c r="B143" s="177" t="n">
        <x:v>46218</x:v>
      </x:c>
      <x:c r="C143" s="178" t="str">
        <x:v>R07</x:v>
      </x:c>
      <x:c r="D143" s="178" t="str">
        <x:v>Aylin Demir</x:v>
      </x:c>
      <x:c r="E143" s="178" t="str">
        <x:v>Enterprise</x:v>
      </x:c>
      <x:c r="F143" s="178" t="str">
        <x:v>East</x:v>
      </x:c>
      <x:c r="G143" s="178" t="str">
        <x:v>Support Plus</x:v>
      </x:c>
      <x:c r="H143" s="178" t="str">
        <x:v>Support</x:v>
      </x:c>
      <x:c r="I143" s="179" t="n">
        <x:v>2469</x:v>
      </x:c>
      <x:c r="J143" s="179" t="n">
        <x:v>0</x:v>
      </x:c>
      <x:c r="K143" s="180" t="n">
        <x:v>0.5</x:v>
      </x:c>
      <x:c r="L143" s="178" t="str">
        <x:v>No</x:v>
      </x:c>
      <x:c r="M143" s="178" t="str">
        <x:v>Approved</x:v>
      </x:c>
      <x:c r="N143" s="181" t="str">
        <x:v>AC-1138</x:v>
      </x:c>
    </x:row>
    <x:row r="144">
      <x:c r="A144" s="176" t="str">
        <x:v>D0140</x:v>
      </x:c>
      <x:c r="B144" s="177" t="n">
        <x:v>46219</x:v>
      </x:c>
      <x:c r="C144" s="178" t="str">
        <x:v>R08</x:v>
      </x:c>
      <x:c r="D144" s="178" t="str">
        <x:v>Owen Taylor</x:v>
      </x:c>
      <x:c r="E144" s="178" t="str">
        <x:v>Mid-Market</x:v>
      </x:c>
      <x:c r="F144" s="178" t="str">
        <x:v>North</x:v>
      </x:c>
      <x:c r="G144" s="178" t="str">
        <x:v>Workflow Pro</x:v>
      </x:c>
      <x:c r="H144" s="178" t="str">
        <x:v>Software</x:v>
      </x:c>
      <x:c r="I144" s="179" t="n">
        <x:v>3397</x:v>
      </x:c>
      <x:c r="J144" s="179" t="n">
        <x:v>0</x:v>
      </x:c>
      <x:c r="K144" s="180" t="n">
        <x:v>1</x:v>
      </x:c>
      <x:c r="L144" s="178" t="str">
        <x:v>Yes</x:v>
      </x:c>
      <x:c r="M144" s="178" t="str">
        <x:v>Approved</x:v>
      </x:c>
      <x:c r="N144" s="181" t="str">
        <x:v>AC-1139</x:v>
      </x:c>
    </x:row>
    <x:row r="145">
      <x:c r="A145" s="176" t="str">
        <x:v>D0141</x:v>
      </x:c>
      <x:c r="B145" s="177" t="n">
        <x:v>46220</x:v>
      </x:c>
      <x:c r="C145" s="178" t="str">
        <x:v>R09</x:v>
      </x:c>
      <x:c r="D145" s="178" t="str">
        <x:v>Sara Kim</x:v>
      </x:c>
      <x:c r="E145" s="178" t="str">
        <x:v>SMB</x:v>
      </x:c>
      <x:c r="F145" s="178" t="str">
        <x:v>West</x:v>
      </x:c>
      <x:c r="G145" s="178" t="str">
        <x:v>Training Pack</x:v>
      </x:c>
      <x:c r="H145" s="178" t="str">
        <x:v>Services</x:v>
      </x:c>
      <x:c r="I145" s="179" t="n">
        <x:v>4325</x:v>
      </x:c>
      <x:c r="J145" s="179" t="n">
        <x:v>0</x:v>
      </x:c>
      <x:c r="K145" s="180" t="n">
        <x:v>1</x:v>
      </x:c>
      <x:c r="L145" s="178" t="str">
        <x:v>No</x:v>
      </x:c>
      <x:c r="M145" s="178" t="str">
        <x:v>Approved</x:v>
      </x:c>
      <x:c r="N145" s="181" t="str">
        <x:v>AC-1140</x:v>
      </x:c>
    </x:row>
    <x:row r="146">
      <x:c r="A146" s="176" t="str">
        <x:v>D0142</x:v>
      </x:c>
      <x:c r="B146" s="177" t="n">
        <x:v>46221</x:v>
      </x:c>
      <x:c r="C146" s="178" t="str">
        <x:v>R10</x:v>
      </x:c>
      <x:c r="D146" s="178" t="str">
        <x:v>Daniel Ruiz</x:v>
      </x:c>
      <x:c r="E146" s="178" t="str">
        <x:v>Enterprise</x:v>
      </x:c>
      <x:c r="F146" s="178" t="str">
        <x:v>West</x:v>
      </x:c>
      <x:c r="G146" s="178" t="str">
        <x:v>Analytics Cloud</x:v>
      </x:c>
      <x:c r="H146" s="178" t="str">
        <x:v>Software</x:v>
      </x:c>
      <x:c r="I146" s="179" t="n">
        <x:v>5253</x:v>
      </x:c>
      <x:c r="J146" s="179" t="n">
        <x:v>0</x:v>
      </x:c>
      <x:c r="K146" s="180" t="n">
        <x:v>1</x:v>
      </x:c>
      <x:c r="L146" s="178" t="str">
        <x:v>Yes</x:v>
      </x:c>
      <x:c r="M146" s="178" t="str">
        <x:v>Pending</x:v>
      </x:c>
      <x:c r="N146" s="181" t="str">
        <x:v>AC-1141</x:v>
      </x:c>
    </x:row>
    <x:row r="147">
      <x:c r="A147" s="176" t="str">
        <x:v>D0143</x:v>
      </x:c>
      <x:c r="B147" s="177" t="n">
        <x:v>46222</x:v>
      </x:c>
      <x:c r="C147" s="178" t="str">
        <x:v>R11</x:v>
      </x:c>
      <x:c r="D147" s="178" t="str">
        <x:v>Elif Kaya</x:v>
      </x:c>
      <x:c r="E147" s="178" t="str">
        <x:v>Mid-Market</x:v>
      </x:c>
      <x:c r="F147" s="178" t="str">
        <x:v>South</x:v>
      </x:c>
      <x:c r="G147" s="178" t="str">
        <x:v>Implementation</x:v>
      </x:c>
      <x:c r="H147" s="178" t="str">
        <x:v>Services</x:v>
      </x:c>
      <x:c r="I147" s="179" t="n">
        <x:v>6181</x:v>
      </x:c>
      <x:c r="J147" s="179" t="n">
        <x:v>0</x:v>
      </x:c>
      <x:c r="K147" s="180" t="n">
        <x:v>1</x:v>
      </x:c>
      <x:c r="L147" s="178" t="str">
        <x:v>No</x:v>
      </x:c>
      <x:c r="M147" s="178" t="str">
        <x:v>Approved</x:v>
      </x:c>
      <x:c r="N147" s="181" t="str">
        <x:v>AC-1142</x:v>
      </x:c>
    </x:row>
    <x:row r="148">
      <x:c r="A148" s="176" t="str">
        <x:v>D0144</x:v>
      </x:c>
      <x:c r="B148" s="177" t="n">
        <x:v>46223</x:v>
      </x:c>
      <x:c r="C148" s="178" t="str">
        <x:v>R12</x:v>
      </x:c>
      <x:c r="D148" s="178" t="str">
        <x:v>Jon Bell</x:v>
      </x:c>
      <x:c r="E148" s="178" t="str">
        <x:v>SMB</x:v>
      </x:c>
      <x:c r="F148" s="178" t="str">
        <x:v>East</x:v>
      </x:c>
      <x:c r="G148" s="178" t="str">
        <x:v>Support Plus</x:v>
      </x:c>
      <x:c r="H148" s="178" t="str">
        <x:v>Support</x:v>
      </x:c>
      <x:c r="I148" s="179" t="n">
        <x:v>7109</x:v>
      </x:c>
      <x:c r="J148" s="179" t="n">
        <x:v>0</x:v>
      </x:c>
      <x:c r="K148" s="180" t="n">
        <x:v>1</x:v>
      </x:c>
      <x:c r="L148" s="178" t="str">
        <x:v>No</x:v>
      </x:c>
      <x:c r="M148" s="178" t="str">
        <x:v>Approved</x:v>
      </x:c>
      <x:c r="N148" s="181" t="str">
        <x:v>AC-1143</x:v>
      </x:c>
    </x:row>
    <x:row r="149">
      <x:c r="A149" s="176" t="str">
        <x:v>D0145</x:v>
      </x:c>
      <x:c r="B149" s="177" t="n">
        <x:v>46224</x:v>
      </x:c>
      <x:c r="C149" s="178" t="str">
        <x:v>R01</x:v>
      </x:c>
      <x:c r="D149" s="178" t="str">
        <x:v>Maya Chen</x:v>
      </x:c>
      <x:c r="E149" s="178" t="str">
        <x:v>Enterprise</x:v>
      </x:c>
      <x:c r="F149" s="178" t="str">
        <x:v>North</x:v>
      </x:c>
      <x:c r="G149" s="178" t="str">
        <x:v>Workflow Pro</x:v>
      </x:c>
      <x:c r="H149" s="178" t="str">
        <x:v>Software</x:v>
      </x:c>
      <x:c r="I149" s="179" t="n">
        <x:v>6804</x:v>
      </x:c>
      <x:c r="J149" s="179" t="n">
        <x:v>0</x:v>
      </x:c>
      <x:c r="K149" s="180" t="n">
        <x:v>1</x:v>
      </x:c>
      <x:c r="L149" s="178" t="str">
        <x:v>Yes</x:v>
      </x:c>
      <x:c r="M149" s="178" t="str">
        <x:v>Approved</x:v>
      </x:c>
      <x:c r="N149" s="181" t="str">
        <x:v>AC-1144</x:v>
      </x:c>
    </x:row>
    <x:row r="150">
      <x:c r="A150" s="176" t="str">
        <x:v>D0146</x:v>
      </x:c>
      <x:c r="B150" s="177" t="n">
        <x:v>46225</x:v>
      </x:c>
      <x:c r="C150" s="178" t="str">
        <x:v>R02</x:v>
      </x:c>
      <x:c r="D150" s="178" t="str">
        <x:v>Ethan Brooks</x:v>
      </x:c>
      <x:c r="E150" s="178" t="str">
        <x:v>Enterprise</x:v>
      </x:c>
      <x:c r="F150" s="178" t="str">
        <x:v>South</x:v>
      </x:c>
      <x:c r="G150" s="178" t="str">
        <x:v>Training Pack</x:v>
      </x:c>
      <x:c r="H150" s="178" t="str">
        <x:v>Services</x:v>
      </x:c>
      <x:c r="I150" s="179" t="n">
        <x:v>7732</x:v>
      </x:c>
      <x:c r="J150" s="179" t="n">
        <x:v>0</x:v>
      </x:c>
      <x:c r="K150" s="180" t="n">
        <x:v>0.75</x:v>
      </x:c>
      <x:c r="L150" s="178" t="str">
        <x:v>No</x:v>
      </x:c>
      <x:c r="M150" s="178" t="str">
        <x:v>Approved</x:v>
      </x:c>
      <x:c r="N150" s="181" t="str">
        <x:v>AC-1145</x:v>
      </x:c>
    </x:row>
    <x:row r="151">
      <x:c r="A151" s="176" t="str">
        <x:v>D0147</x:v>
      </x:c>
      <x:c r="B151" s="177" t="n">
        <x:v>46226</x:v>
      </x:c>
      <x:c r="C151" s="178" t="str">
        <x:v>R03</x:v>
      </x:c>
      <x:c r="D151" s="178" t="str">
        <x:v>Sofia Patel</x:v>
      </x:c>
      <x:c r="E151" s="178" t="str">
        <x:v>Mid-Market</x:v>
      </x:c>
      <x:c r="F151" s="178" t="str">
        <x:v>East</x:v>
      </x:c>
      <x:c r="G151" s="178" t="str">
        <x:v>Analytics Cloud</x:v>
      </x:c>
      <x:c r="H151" s="178" t="str">
        <x:v>Software</x:v>
      </x:c>
      <x:c r="I151" s="179" t="n">
        <x:v>1460</x:v>
      </x:c>
      <x:c r="J151" s="179" t="n">
        <x:v>0</x:v>
      </x:c>
      <x:c r="K151" s="180" t="n">
        <x:v>1</x:v>
      </x:c>
      <x:c r="L151" s="178" t="str">
        <x:v>Yes</x:v>
      </x:c>
      <x:c r="M151" s="178" t="str">
        <x:v>Pending</x:v>
      </x:c>
      <x:c r="N151" s="181" t="str">
        <x:v>AC-1146</x:v>
      </x:c>
    </x:row>
    <x:row r="152">
      <x:c r="A152" s="176" t="str">
        <x:v>D0148</x:v>
      </x:c>
      <x:c r="B152" s="177" t="n">
        <x:v>46227</x:v>
      </x:c>
      <x:c r="C152" s="178" t="str">
        <x:v>R04</x:v>
      </x:c>
      <x:c r="D152" s="178" t="str">
        <x:v>Noah Williams</x:v>
      </x:c>
      <x:c r="E152" s="178" t="str">
        <x:v>Mid-Market</x:v>
      </x:c>
      <x:c r="F152" s="178" t="str">
        <x:v>West</x:v>
      </x:c>
      <x:c r="G152" s="178" t="str">
        <x:v>Implementation</x:v>
      </x:c>
      <x:c r="H152" s="178" t="str">
        <x:v>Services</x:v>
      </x:c>
      <x:c r="I152" s="179" t="n">
        <x:v>2388</x:v>
      </x:c>
      <x:c r="J152" s="179" t="n">
        <x:v>0</x:v>
      </x:c>
      <x:c r="K152" s="180" t="n">
        <x:v>1</x:v>
      </x:c>
      <x:c r="L152" s="178" t="str">
        <x:v>No</x:v>
      </x:c>
      <x:c r="M152" s="178" t="str">
        <x:v>Approved</x:v>
      </x:c>
      <x:c r="N152" s="181" t="str">
        <x:v>AC-1147</x:v>
      </x:c>
    </x:row>
    <x:row r="153">
      <x:c r="A153" s="176" t="str">
        <x:v>D0149</x:v>
      </x:c>
      <x:c r="B153" s="177" t="n">
        <x:v>46228</x:v>
      </x:c>
      <x:c r="C153" s="178" t="str">
        <x:v>R05</x:v>
      </x:c>
      <x:c r="D153" s="178" t="str">
        <x:v>Lina Haddad</x:v>
      </x:c>
      <x:c r="E153" s="178" t="str">
        <x:v>SMB</x:v>
      </x:c>
      <x:c r="F153" s="178" t="str">
        <x:v>North</x:v>
      </x:c>
      <x:c r="G153" s="178" t="str">
        <x:v>Support Plus</x:v>
      </x:c>
      <x:c r="H153" s="178" t="str">
        <x:v>Support</x:v>
      </x:c>
      <x:c r="I153" s="179" t="n">
        <x:v>3316</x:v>
      </x:c>
      <x:c r="J153" s="179" t="n">
        <x:v>0</x:v>
      </x:c>
      <x:c r="K153" s="180" t="n">
        <x:v>1</x:v>
      </x:c>
      <x:c r="L153" s="178" t="str">
        <x:v>No</x:v>
      </x:c>
      <x:c r="M153" s="178" t="str">
        <x:v>Approved</x:v>
      </x:c>
      <x:c r="N153" s="181" t="str">
        <x:v>AC-1148</x:v>
      </x:c>
    </x:row>
    <x:row r="154">
      <x:c r="A154" s="176" t="str">
        <x:v>D0150</x:v>
      </x:c>
      <x:c r="B154" s="177" t="n">
        <x:v>46229</x:v>
      </x:c>
      <x:c r="C154" s="178" t="str">
        <x:v>R06</x:v>
      </x:c>
      <x:c r="D154" s="178" t="str">
        <x:v>Lucas Martin</x:v>
      </x:c>
      <x:c r="E154" s="178" t="str">
        <x:v>SMB</x:v>
      </x:c>
      <x:c r="F154" s="178" t="str">
        <x:v>South</x:v>
      </x:c>
      <x:c r="G154" s="178" t="str">
        <x:v>Workflow Pro</x:v>
      </x:c>
      <x:c r="H154" s="178" t="str">
        <x:v>Software</x:v>
      </x:c>
      <x:c r="I154" s="179" t="n">
        <x:v>4244</x:v>
      </x:c>
      <x:c r="J154" s="179" t="n">
        <x:v>0</x:v>
      </x:c>
      <x:c r="K154" s="180" t="n">
        <x:v>1</x:v>
      </x:c>
      <x:c r="L154" s="178" t="str">
        <x:v>Yes</x:v>
      </x:c>
      <x:c r="M154" s="178" t="str">
        <x:v>Approved</x:v>
      </x:c>
      <x:c r="N154" s="181" t="str">
        <x:v>AC-1149</x:v>
      </x:c>
    </x:row>
    <x:row r="155">
      <x:c r="A155" s="176" t="str">
        <x:v>D0151</x:v>
      </x:c>
      <x:c r="B155" s="177" t="n">
        <x:v>46230</x:v>
      </x:c>
      <x:c r="C155" s="178" t="str">
        <x:v>R07</x:v>
      </x:c>
      <x:c r="D155" s="178" t="str">
        <x:v>Aylin Demir</x:v>
      </x:c>
      <x:c r="E155" s="178" t="str">
        <x:v>Enterprise</x:v>
      </x:c>
      <x:c r="F155" s="178" t="str">
        <x:v>East</x:v>
      </x:c>
      <x:c r="G155" s="178" t="str">
        <x:v>Training Pack</x:v>
      </x:c>
      <x:c r="H155" s="178" t="str">
        <x:v>Services</x:v>
      </x:c>
      <x:c r="I155" s="179" t="n">
        <x:v>5172</x:v>
      </x:c>
      <x:c r="J155" s="179" t="n">
        <x:v>0</x:v>
      </x:c>
      <x:c r="K155" s="180" t="n">
        <x:v>1</x:v>
      </x:c>
      <x:c r="L155" s="178" t="str">
        <x:v>No</x:v>
      </x:c>
      <x:c r="M155" s="178" t="str">
        <x:v>Approved</x:v>
      </x:c>
      <x:c r="N155" s="181" t="str">
        <x:v>AC-1150</x:v>
      </x:c>
    </x:row>
    <x:row r="156">
      <x:c r="A156" s="176" t="str">
        <x:v>D0152</x:v>
      </x:c>
      <x:c r="B156" s="177" t="n">
        <x:v>46231</x:v>
      </x:c>
      <x:c r="C156" s="178" t="str">
        <x:v>R08</x:v>
      </x:c>
      <x:c r="D156" s="178" t="str">
        <x:v>Owen Taylor</x:v>
      </x:c>
      <x:c r="E156" s="178" t="str">
        <x:v>Mid-Market</x:v>
      </x:c>
      <x:c r="F156" s="178" t="str">
        <x:v>North</x:v>
      </x:c>
      <x:c r="G156" s="178" t="str">
        <x:v>Analytics Cloud</x:v>
      </x:c>
      <x:c r="H156" s="178" t="str">
        <x:v>Software</x:v>
      </x:c>
      <x:c r="I156" s="179" t="n">
        <x:v>6100</x:v>
      </x:c>
      <x:c r="J156" s="179" t="n">
        <x:v>0</x:v>
      </x:c>
      <x:c r="K156" s="180" t="n">
        <x:v>1</x:v>
      </x:c>
      <x:c r="L156" s="178" t="str">
        <x:v>Yes</x:v>
      </x:c>
      <x:c r="M156" s="178" t="str">
        <x:v>Pending</x:v>
      </x:c>
      <x:c r="N156" s="181" t="str">
        <x:v>AC-1151</x:v>
      </x:c>
    </x:row>
    <x:row r="157">
      <x:c r="A157" s="176" t="str">
        <x:v>D0153</x:v>
      </x:c>
      <x:c r="B157" s="177" t="n">
        <x:v>46232</x:v>
      </x:c>
      <x:c r="C157" s="178" t="str">
        <x:v>R09</x:v>
      </x:c>
      <x:c r="D157" s="178" t="str">
        <x:v>Sara Kim</x:v>
      </x:c>
      <x:c r="E157" s="178" t="str">
        <x:v>SMB</x:v>
      </x:c>
      <x:c r="F157" s="178" t="str">
        <x:v>West</x:v>
      </x:c>
      <x:c r="G157" s="178" t="str">
        <x:v>Implementation</x:v>
      </x:c>
      <x:c r="H157" s="178" t="str">
        <x:v>Services</x:v>
      </x:c>
      <x:c r="I157" s="179" t="n">
        <x:v>7028</x:v>
      </x:c>
      <x:c r="J157" s="179" t="n">
        <x:v>0</x:v>
      </x:c>
      <x:c r="K157" s="180" t="n">
        <x:v>1</x:v>
      </x:c>
      <x:c r="L157" s="178" t="str">
        <x:v>No</x:v>
      </x:c>
      <x:c r="M157" s="178" t="str">
        <x:v>Approved</x:v>
      </x:c>
      <x:c r="N157" s="181" t="str">
        <x:v>AC-1152</x:v>
      </x:c>
    </x:row>
    <x:row r="158">
      <x:c r="A158" s="176" t="str">
        <x:v>D0154</x:v>
      </x:c>
      <x:c r="B158" s="177" t="n">
        <x:v>46233</x:v>
      </x:c>
      <x:c r="C158" s="178" t="str">
        <x:v>R10</x:v>
      </x:c>
      <x:c r="D158" s="178" t="str">
        <x:v>Daniel Ruiz</x:v>
      </x:c>
      <x:c r="E158" s="178" t="str">
        <x:v>Enterprise</x:v>
      </x:c>
      <x:c r="F158" s="178" t="str">
        <x:v>West</x:v>
      </x:c>
      <x:c r="G158" s="178" t="str">
        <x:v>Support Plus</x:v>
      </x:c>
      <x:c r="H158" s="178" t="str">
        <x:v>Support</x:v>
      </x:c>
      <x:c r="I158" s="179" t="n">
        <x:v>6723</x:v>
      </x:c>
      <x:c r="J158" s="179" t="n">
        <x:v>806.76</x:v>
      </x:c>
      <x:c r="K158" s="180" t="n">
        <x:v>1</x:v>
      </x:c>
      <x:c r="L158" s="178" t="str">
        <x:v>No</x:v>
      </x:c>
      <x:c r="M158" s="178" t="str">
        <x:v>Approved</x:v>
      </x:c>
      <x:c r="N158" s="181" t="str">
        <x:v>AC-1153</x:v>
      </x:c>
    </x:row>
    <x:row r="159">
      <x:c r="A159" s="176" t="str">
        <x:v>D0155</x:v>
      </x:c>
      <x:c r="B159" s="177" t="n">
        <x:v>46234</x:v>
      </x:c>
      <x:c r="C159" s="178" t="str">
        <x:v>R11</x:v>
      </x:c>
      <x:c r="D159" s="178" t="str">
        <x:v>Elif Kaya</x:v>
      </x:c>
      <x:c r="E159" s="178" t="str">
        <x:v>Mid-Market</x:v>
      </x:c>
      <x:c r="F159" s="178" t="str">
        <x:v>South</x:v>
      </x:c>
      <x:c r="G159" s="178" t="str">
        <x:v>Workflow Pro</x:v>
      </x:c>
      <x:c r="H159" s="178" t="str">
        <x:v>Software</x:v>
      </x:c>
      <x:c r="I159" s="179" t="n">
        <x:v>7651</x:v>
      </x:c>
      <x:c r="J159" s="179" t="n">
        <x:v>0</x:v>
      </x:c>
      <x:c r="K159" s="180" t="n">
        <x:v>1</x:v>
      </x:c>
      <x:c r="L159" s="178" t="str">
        <x:v>Yes</x:v>
      </x:c>
      <x:c r="M159" s="178" t="str">
        <x:v>Approved</x:v>
      </x:c>
      <x:c r="N159" s="181" t="str">
        <x:v>AC-1154</x:v>
      </x:c>
    </x:row>
    <x:row r="160">
      <x:c r="A160" s="176" t="str">
        <x:v>D0156</x:v>
      </x:c>
      <x:c r="B160" s="177" t="n">
        <x:v>46204</x:v>
      </x:c>
      <x:c r="C160" s="178" t="str">
        <x:v>R12</x:v>
      </x:c>
      <x:c r="D160" s="178" t="str">
        <x:v>Jon Bell</x:v>
      </x:c>
      <x:c r="E160" s="178" t="str">
        <x:v>SMB</x:v>
      </x:c>
      <x:c r="F160" s="178" t="str">
        <x:v>East</x:v>
      </x:c>
      <x:c r="G160" s="178" t="str">
        <x:v>Training Pack</x:v>
      </x:c>
      <x:c r="H160" s="178" t="str">
        <x:v>Services</x:v>
      </x:c>
      <x:c r="I160" s="179" t="n">
        <x:v>1379</x:v>
      </x:c>
      <x:c r="J160" s="179" t="n">
        <x:v>0</x:v>
      </x:c>
      <x:c r="K160" s="180" t="n">
        <x:v>1</x:v>
      </x:c>
      <x:c r="L160" s="178" t="str">
        <x:v>No</x:v>
      </x:c>
      <x:c r="M160" s="178" t="str">
        <x:v>Approved</x:v>
      </x:c>
      <x:c r="N160" s="181" t="str">
        <x:v>AC-1155</x:v>
      </x:c>
    </x:row>
    <x:row r="161">
      <x:c r="A161" s="176" t="str">
        <x:v>D0157</x:v>
      </x:c>
      <x:c r="B161" s="177" t="n">
        <x:v>46205</x:v>
      </x:c>
      <x:c r="C161" s="178" t="str">
        <x:v>R01</x:v>
      </x:c>
      <x:c r="D161" s="178" t="str">
        <x:v>Maya Chen</x:v>
      </x:c>
      <x:c r="E161" s="178" t="str">
        <x:v>Enterprise</x:v>
      </x:c>
      <x:c r="F161" s="178" t="str">
        <x:v>North</x:v>
      </x:c>
      <x:c r="G161" s="178" t="str">
        <x:v>Analytics Cloud</x:v>
      </x:c>
      <x:c r="H161" s="178" t="str">
        <x:v>Software</x:v>
      </x:c>
      <x:c r="I161" s="179" t="n">
        <x:v>2307</x:v>
      </x:c>
      <x:c r="J161" s="179" t="n">
        <x:v>0</x:v>
      </x:c>
      <x:c r="K161" s="180" t="n">
        <x:v>1</x:v>
      </x:c>
      <x:c r="L161" s="178" t="str">
        <x:v>Yes</x:v>
      </x:c>
      <x:c r="M161" s="178" t="str">
        <x:v>Pending</x:v>
      </x:c>
      <x:c r="N161" s="181" t="str">
        <x:v>AC-1156</x:v>
      </x:c>
    </x:row>
    <x:row r="162">
      <x:c r="A162" s="176" t="str">
        <x:v>D0158</x:v>
      </x:c>
      <x:c r="B162" s="177" t="n">
        <x:v>46206</x:v>
      </x:c>
      <x:c r="C162" s="178" t="str">
        <x:v>R02</x:v>
      </x:c>
      <x:c r="D162" s="178" t="str">
        <x:v>Ethan Brooks</x:v>
      </x:c>
      <x:c r="E162" s="178" t="str">
        <x:v>Enterprise</x:v>
      </x:c>
      <x:c r="F162" s="178" t="str">
        <x:v>South</x:v>
      </x:c>
      <x:c r="G162" s="178" t="str">
        <x:v>Implementation</x:v>
      </x:c>
      <x:c r="H162" s="178" t="str">
        <x:v>Services</x:v>
      </x:c>
      <x:c r="I162" s="179" t="n">
        <x:v>3235</x:v>
      </x:c>
      <x:c r="J162" s="179" t="n">
        <x:v>0</x:v>
      </x:c>
      <x:c r="K162" s="180" t="n">
        <x:v>1</x:v>
      </x:c>
      <x:c r="L162" s="178" t="str">
        <x:v>No</x:v>
      </x:c>
      <x:c r="M162" s="178" t="str">
        <x:v>Approved</x:v>
      </x:c>
      <x:c r="N162" s="181" t="str">
        <x:v>AC-1157</x:v>
      </x:c>
    </x:row>
    <x:row r="163">
      <x:c r="A163" s="176" t="str">
        <x:v>D0159</x:v>
      </x:c>
      <x:c r="B163" s="177" t="n">
        <x:v>46207</x:v>
      </x:c>
      <x:c r="C163" s="178" t="str">
        <x:v>R03</x:v>
      </x:c>
      <x:c r="D163" s="178" t="str">
        <x:v>Sofia Patel</x:v>
      </x:c>
      <x:c r="E163" s="178" t="str">
        <x:v>Mid-Market</x:v>
      </x:c>
      <x:c r="F163" s="178" t="str">
        <x:v>East</x:v>
      </x:c>
      <x:c r="G163" s="178" t="str">
        <x:v>Support Plus</x:v>
      </x:c>
      <x:c r="H163" s="178" t="str">
        <x:v>Support</x:v>
      </x:c>
      <x:c r="I163" s="179" t="n">
        <x:v>4163</x:v>
      </x:c>
      <x:c r="J163" s="179" t="n">
        <x:v>0</x:v>
      </x:c>
      <x:c r="K163" s="180" t="n">
        <x:v>1</x:v>
      </x:c>
      <x:c r="L163" s="178" t="str">
        <x:v>No</x:v>
      </x:c>
      <x:c r="M163" s="178" t="str">
        <x:v>Approved</x:v>
      </x:c>
      <x:c r="N163" s="181" t="str">
        <x:v>AC-1158</x:v>
      </x:c>
    </x:row>
    <x:row r="164">
      <x:c r="A164" s="176" t="str">
        <x:v>D0160</x:v>
      </x:c>
      <x:c r="B164" s="177" t="n">
        <x:v>46208</x:v>
      </x:c>
      <x:c r="C164" s="178" t="str">
        <x:v>R04</x:v>
      </x:c>
      <x:c r="D164" s="178" t="str">
        <x:v>Noah Williams</x:v>
      </x:c>
      <x:c r="E164" s="178" t="str">
        <x:v>Mid-Market</x:v>
      </x:c>
      <x:c r="F164" s="178" t="str">
        <x:v>West</x:v>
      </x:c>
      <x:c r="G164" s="178" t="str">
        <x:v>Workflow Pro</x:v>
      </x:c>
      <x:c r="H164" s="178" t="str">
        <x:v>Software</x:v>
      </x:c>
      <x:c r="I164" s="179" t="n">
        <x:v>5091</x:v>
      </x:c>
      <x:c r="J164" s="179" t="n">
        <x:v>0</x:v>
      </x:c>
      <x:c r="K164" s="180" t="n">
        <x:v>1</x:v>
      </x:c>
      <x:c r="L164" s="178" t="str">
        <x:v>Yes</x:v>
      </x:c>
      <x:c r="M164" s="178" t="str">
        <x:v>Approved</x:v>
      </x:c>
      <x:c r="N164" s="181" t="str">
        <x:v>AC-1159</x:v>
      </x:c>
    </x:row>
    <x:row r="165">
      <x:c r="A165" s="176" t="str">
        <x:v>D0161</x:v>
      </x:c>
      <x:c r="B165" s="177" t="n">
        <x:v>46209</x:v>
      </x:c>
      <x:c r="C165" s="178" t="str">
        <x:v>R05</x:v>
      </x:c>
      <x:c r="D165" s="178" t="str">
        <x:v>Lina Haddad</x:v>
      </x:c>
      <x:c r="E165" s="178" t="str">
        <x:v>SMB</x:v>
      </x:c>
      <x:c r="F165" s="178" t="str">
        <x:v>North</x:v>
      </x:c>
      <x:c r="G165" s="178" t="str">
        <x:v>Training Pack</x:v>
      </x:c>
      <x:c r="H165" s="178" t="str">
        <x:v>Services</x:v>
      </x:c>
      <x:c r="I165" s="179" t="n">
        <x:v>6019</x:v>
      </x:c>
      <x:c r="J165" s="179" t="n">
        <x:v>0</x:v>
      </x:c>
      <x:c r="K165" s="180" t="n">
        <x:v>1</x:v>
      </x:c>
      <x:c r="L165" s="178" t="str">
        <x:v>No</x:v>
      </x:c>
      <x:c r="M165" s="178" t="str">
        <x:v>Approved</x:v>
      </x:c>
      <x:c r="N165" s="181" t="str">
        <x:v>AC-1160</x:v>
      </x:c>
    </x:row>
    <x:row r="166">
      <x:c r="A166" s="176" t="str">
        <x:v>D0162</x:v>
      </x:c>
      <x:c r="B166" s="177" t="n">
        <x:v>46210</x:v>
      </x:c>
      <x:c r="C166" s="178" t="str">
        <x:v>R06</x:v>
      </x:c>
      <x:c r="D166" s="178" t="str">
        <x:v>Lucas Martin</x:v>
      </x:c>
      <x:c r="E166" s="178" t="str">
        <x:v>SMB</x:v>
      </x:c>
      <x:c r="F166" s="178" t="str">
        <x:v>South</x:v>
      </x:c>
      <x:c r="G166" s="178" t="str">
        <x:v>Analytics Cloud</x:v>
      </x:c>
      <x:c r="H166" s="178" t="str">
        <x:v>Software</x:v>
      </x:c>
      <x:c r="I166" s="179" t="n">
        <x:v>6947</x:v>
      </x:c>
      <x:c r="J166" s="179" t="n">
        <x:v>0</x:v>
      </x:c>
      <x:c r="K166" s="180" t="n">
        <x:v>0.5</x:v>
      </x:c>
      <x:c r="L166" s="178" t="str">
        <x:v>Yes</x:v>
      </x:c>
      <x:c r="M166" s="178" t="str">
        <x:v>Pending</x:v>
      </x:c>
      <x:c r="N166" s="181" t="str">
        <x:v>AC-1161</x:v>
      </x:c>
    </x:row>
    <x:row r="167">
      <x:c r="A167" s="176" t="str">
        <x:v>D0163</x:v>
      </x:c>
      <x:c r="B167" s="177" t="n">
        <x:v>46211</x:v>
      </x:c>
      <x:c r="C167" s="178" t="str">
        <x:v>R07</x:v>
      </x:c>
      <x:c r="D167" s="178" t="str">
        <x:v>Aylin Demir</x:v>
      </x:c>
      <x:c r="E167" s="178" t="str">
        <x:v>Enterprise</x:v>
      </x:c>
      <x:c r="F167" s="178" t="str">
        <x:v>East</x:v>
      </x:c>
      <x:c r="G167" s="178" t="str">
        <x:v>Implementation</x:v>
      </x:c>
      <x:c r="H167" s="178" t="str">
        <x:v>Services</x:v>
      </x:c>
      <x:c r="I167" s="179" t="n">
        <x:v>6642</x:v>
      </x:c>
      <x:c r="J167" s="179" t="n">
        <x:v>0</x:v>
      </x:c>
      <x:c r="K167" s="180" t="n">
        <x:v>1</x:v>
      </x:c>
      <x:c r="L167" s="178" t="str">
        <x:v>No</x:v>
      </x:c>
      <x:c r="M167" s="178" t="str">
        <x:v>Approved</x:v>
      </x:c>
      <x:c r="N167" s="181" t="str">
        <x:v>AC-1162</x:v>
      </x:c>
    </x:row>
    <x:row r="168">
      <x:c r="A168" s="176" t="str">
        <x:v>D0164</x:v>
      </x:c>
      <x:c r="B168" s="177" t="n">
        <x:v>46212</x:v>
      </x:c>
      <x:c r="C168" s="178" t="str">
        <x:v>R08</x:v>
      </x:c>
      <x:c r="D168" s="178" t="str">
        <x:v>Owen Taylor</x:v>
      </x:c>
      <x:c r="E168" s="178" t="str">
        <x:v>Mid-Market</x:v>
      </x:c>
      <x:c r="F168" s="178" t="str">
        <x:v>North</x:v>
      </x:c>
      <x:c r="G168" s="178" t="str">
        <x:v>Support Plus</x:v>
      </x:c>
      <x:c r="H168" s="178" t="str">
        <x:v>Support</x:v>
      </x:c>
      <x:c r="I168" s="179" t="n">
        <x:v>7570</x:v>
      </x:c>
      <x:c r="J168" s="179" t="n">
        <x:v>0</x:v>
      </x:c>
      <x:c r="K168" s="180" t="n">
        <x:v>1</x:v>
      </x:c>
      <x:c r="L168" s="178" t="str">
        <x:v>No</x:v>
      </x:c>
      <x:c r="M168" s="178" t="str">
        <x:v>Approved</x:v>
      </x:c>
      <x:c r="N168" s="181" t="str">
        <x:v>AC-1163</x:v>
      </x:c>
    </x:row>
    <x:row r="169">
      <x:c r="A169" s="176" t="str">
        <x:v>D0165</x:v>
      </x:c>
      <x:c r="B169" s="177" t="n">
        <x:v>46213</x:v>
      </x:c>
      <x:c r="C169" s="178" t="str">
        <x:v>R09</x:v>
      </x:c>
      <x:c r="D169" s="178" t="str">
        <x:v>Sara Kim</x:v>
      </x:c>
      <x:c r="E169" s="178" t="str">
        <x:v>SMB</x:v>
      </x:c>
      <x:c r="F169" s="178" t="str">
        <x:v>West</x:v>
      </x:c>
      <x:c r="G169" s="178" t="str">
        <x:v>Workflow Pro</x:v>
      </x:c>
      <x:c r="H169" s="178" t="str">
        <x:v>Software</x:v>
      </x:c>
      <x:c r="I169" s="179" t="n">
        <x:v>1298</x:v>
      </x:c>
      <x:c r="J169" s="179" t="n">
        <x:v>0</x:v>
      </x:c>
      <x:c r="K169" s="180" t="n">
        <x:v>1</x:v>
      </x:c>
      <x:c r="L169" s="178" t="str">
        <x:v>Yes</x:v>
      </x:c>
      <x:c r="M169" s="178" t="str">
        <x:v>Approved</x:v>
      </x:c>
      <x:c r="N169" s="181" t="str">
        <x:v>AC-1164</x:v>
      </x:c>
    </x:row>
    <x:row r="170">
      <x:c r="A170" s="176" t="str">
        <x:v>D0166</x:v>
      </x:c>
      <x:c r="B170" s="177" t="n">
        <x:v>46214</x:v>
      </x:c>
      <x:c r="C170" s="178" t="str">
        <x:v>R10</x:v>
      </x:c>
      <x:c r="D170" s="178" t="str">
        <x:v>Daniel Ruiz</x:v>
      </x:c>
      <x:c r="E170" s="178" t="str">
        <x:v>Enterprise</x:v>
      </x:c>
      <x:c r="F170" s="178" t="str">
        <x:v>West</x:v>
      </x:c>
      <x:c r="G170" s="178" t="str">
        <x:v>Training Pack</x:v>
      </x:c>
      <x:c r="H170" s="178" t="str">
        <x:v>Services</x:v>
      </x:c>
      <x:c r="I170" s="179" t="n">
        <x:v>2226</x:v>
      </x:c>
      <x:c r="J170" s="179" t="n">
        <x:v>0</x:v>
      </x:c>
      <x:c r="K170" s="180" t="n">
        <x:v>1</x:v>
      </x:c>
      <x:c r="L170" s="178" t="str">
        <x:v>No</x:v>
      </x:c>
      <x:c r="M170" s="178" t="str">
        <x:v>Approved</x:v>
      </x:c>
      <x:c r="N170" s="181" t="str">
        <x:v>AC-1165</x:v>
      </x:c>
    </x:row>
    <x:row r="171">
      <x:c r="A171" s="176" t="str">
        <x:v>D0167</x:v>
      </x:c>
      <x:c r="B171" s="177" t="n">
        <x:v>46215</x:v>
      </x:c>
      <x:c r="C171" s="178" t="str">
        <x:v>R11</x:v>
      </x:c>
      <x:c r="D171" s="178" t="str">
        <x:v>Elif Kaya</x:v>
      </x:c>
      <x:c r="E171" s="178" t="str">
        <x:v>Mid-Market</x:v>
      </x:c>
      <x:c r="F171" s="178" t="str">
        <x:v>South</x:v>
      </x:c>
      <x:c r="G171" s="178" t="str">
        <x:v>Analytics Cloud</x:v>
      </x:c>
      <x:c r="H171" s="178" t="str">
        <x:v>Software</x:v>
      </x:c>
      <x:c r="I171" s="179" t="n">
        <x:v>3154</x:v>
      </x:c>
      <x:c r="J171" s="179" t="n">
        <x:v>0</x:v>
      </x:c>
      <x:c r="K171" s="180" t="n">
        <x:v>1</x:v>
      </x:c>
      <x:c r="L171" s="178" t="str">
        <x:v>Yes</x:v>
      </x:c>
      <x:c r="M171" s="178" t="str">
        <x:v>Pending</x:v>
      </x:c>
      <x:c r="N171" s="181" t="str">
        <x:v>AC-1166</x:v>
      </x:c>
    </x:row>
    <x:row r="172">
      <x:c r="A172" s="176" t="str">
        <x:v>D0168</x:v>
      </x:c>
      <x:c r="B172" s="177" t="n">
        <x:v>46216</x:v>
      </x:c>
      <x:c r="C172" s="178" t="str">
        <x:v>R12</x:v>
      </x:c>
      <x:c r="D172" s="178" t="str">
        <x:v>Jon Bell</x:v>
      </x:c>
      <x:c r="E172" s="178" t="str">
        <x:v>SMB</x:v>
      </x:c>
      <x:c r="F172" s="178" t="str">
        <x:v>East</x:v>
      </x:c>
      <x:c r="G172" s="178" t="str">
        <x:v>Implementation</x:v>
      </x:c>
      <x:c r="H172" s="178" t="str">
        <x:v>Services</x:v>
      </x:c>
      <x:c r="I172" s="179" t="n">
        <x:v>4082</x:v>
      </x:c>
      <x:c r="J172" s="179" t="n">
        <x:v>0</x:v>
      </x:c>
      <x:c r="K172" s="180" t="n">
        <x:v>1</x:v>
      </x:c>
      <x:c r="L172" s="178" t="str">
        <x:v>No</x:v>
      </x:c>
      <x:c r="M172" s="178" t="str">
        <x:v>Approved</x:v>
      </x:c>
      <x:c r="N172" s="181" t="str">
        <x:v>AC-1167</x:v>
      </x:c>
    </x:row>
    <x:row r="173">
      <x:c r="A173" s="176" t="str">
        <x:v>D0169</x:v>
      </x:c>
      <x:c r="B173" s="177" t="n">
        <x:v>46217</x:v>
      </x:c>
      <x:c r="C173" s="178" t="str">
        <x:v>R01</x:v>
      </x:c>
      <x:c r="D173" s="178" t="str">
        <x:v>Maya Chen</x:v>
      </x:c>
      <x:c r="E173" s="178" t="str">
        <x:v>Enterprise</x:v>
      </x:c>
      <x:c r="F173" s="178" t="str">
        <x:v>North</x:v>
      </x:c>
      <x:c r="G173" s="178" t="str">
        <x:v>Support Plus</x:v>
      </x:c>
      <x:c r="H173" s="178" t="str">
        <x:v>Support</x:v>
      </x:c>
      <x:c r="I173" s="179" t="n">
        <x:v>5010</x:v>
      </x:c>
      <x:c r="J173" s="179" t="n">
        <x:v>0</x:v>
      </x:c>
      <x:c r="K173" s="180" t="n">
        <x:v>1</x:v>
      </x:c>
      <x:c r="L173" s="178" t="str">
        <x:v>No</x:v>
      </x:c>
      <x:c r="M173" s="178" t="str">
        <x:v>Approved</x:v>
      </x:c>
      <x:c r="N173" s="181" t="str">
        <x:v>AC-1168</x:v>
      </x:c>
    </x:row>
    <x:row r="174">
      <x:c r="A174" s="176" t="str">
        <x:v>D0170</x:v>
      </x:c>
      <x:c r="B174" s="177" t="n">
        <x:v>46218</x:v>
      </x:c>
      <x:c r="C174" s="178" t="str">
        <x:v>R02</x:v>
      </x:c>
      <x:c r="D174" s="178" t="str">
        <x:v>Ethan Brooks</x:v>
      </x:c>
      <x:c r="E174" s="178" t="str">
        <x:v>Enterprise</x:v>
      </x:c>
      <x:c r="F174" s="178" t="str">
        <x:v>South</x:v>
      </x:c>
      <x:c r="G174" s="178" t="str">
        <x:v>Workflow Pro</x:v>
      </x:c>
      <x:c r="H174" s="178" t="str">
        <x:v>Software</x:v>
      </x:c>
      <x:c r="I174" s="179" t="n">
        <x:v>5938</x:v>
      </x:c>
      <x:c r="J174" s="179" t="n">
        <x:v>0</x:v>
      </x:c>
      <x:c r="K174" s="180" t="n">
        <x:v>1</x:v>
      </x:c>
      <x:c r="L174" s="178" t="str">
        <x:v>Yes</x:v>
      </x:c>
      <x:c r="M174" s="178" t="str">
        <x:v>Approved</x:v>
      </x:c>
      <x:c r="N174" s="181" t="str">
        <x:v>AC-1169</x:v>
      </x:c>
    </x:row>
    <x:row r="175">
      <x:c r="A175" s="176" t="str">
        <x:v>D0171</x:v>
      </x:c>
      <x:c r="B175" s="177" t="n">
        <x:v>46219</x:v>
      </x:c>
      <x:c r="C175" s="178" t="str">
        <x:v>R03</x:v>
      </x:c>
      <x:c r="D175" s="178" t="str">
        <x:v>Sofia Patel</x:v>
      </x:c>
      <x:c r="E175" s="178" t="str">
        <x:v>Mid-Market</x:v>
      </x:c>
      <x:c r="F175" s="178" t="str">
        <x:v>East</x:v>
      </x:c>
      <x:c r="G175" s="178" t="str">
        <x:v>Training Pack</x:v>
      </x:c>
      <x:c r="H175" s="178" t="str">
        <x:v>Services</x:v>
      </x:c>
      <x:c r="I175" s="179" t="n">
        <x:v>6866</x:v>
      </x:c>
      <x:c r="J175" s="179" t="n">
        <x:v>1647.84</x:v>
      </x:c>
      <x:c r="K175" s="180" t="n">
        <x:v>1</x:v>
      </x:c>
      <x:c r="L175" s="178" t="str">
        <x:v>No</x:v>
      </x:c>
      <x:c r="M175" s="178" t="str">
        <x:v>Approved</x:v>
      </x:c>
      <x:c r="N175" s="181" t="str">
        <x:v>AC-1170</x:v>
      </x:c>
    </x:row>
    <x:row r="176">
      <x:c r="A176" s="176" t="str">
        <x:v>D0172</x:v>
      </x:c>
      <x:c r="B176" s="177" t="n">
        <x:v>46220</x:v>
      </x:c>
      <x:c r="C176" s="178" t="str">
        <x:v>R04</x:v>
      </x:c>
      <x:c r="D176" s="178" t="str">
        <x:v>Noah Williams</x:v>
      </x:c>
      <x:c r="E176" s="178" t="str">
        <x:v>Mid-Market</x:v>
      </x:c>
      <x:c r="F176" s="178" t="str">
        <x:v>West</x:v>
      </x:c>
      <x:c r="G176" s="178" t="str">
        <x:v>Analytics Cloud</x:v>
      </x:c>
      <x:c r="H176" s="178" t="str">
        <x:v>Software</x:v>
      </x:c>
      <x:c r="I176" s="179" t="n">
        <x:v>6561</x:v>
      </x:c>
      <x:c r="J176" s="179" t="n">
        <x:v>0</x:v>
      </x:c>
      <x:c r="K176" s="180" t="n">
        <x:v>1</x:v>
      </x:c>
      <x:c r="L176" s="178" t="str">
        <x:v>Yes</x:v>
      </x:c>
      <x:c r="M176" s="178" t="str">
        <x:v>Pending</x:v>
      </x:c>
      <x:c r="N176" s="181" t="str">
        <x:v>AC-1171</x:v>
      </x:c>
    </x:row>
    <x:row r="177">
      <x:c r="A177" s="176" t="str">
        <x:v>D0173</x:v>
      </x:c>
      <x:c r="B177" s="177" t="n">
        <x:v>46221</x:v>
      </x:c>
      <x:c r="C177" s="178" t="str">
        <x:v>R05</x:v>
      </x:c>
      <x:c r="D177" s="178" t="str">
        <x:v>Lina Haddad</x:v>
      </x:c>
      <x:c r="E177" s="178" t="str">
        <x:v>SMB</x:v>
      </x:c>
      <x:c r="F177" s="178" t="str">
        <x:v>North</x:v>
      </x:c>
      <x:c r="G177" s="178" t="str">
        <x:v>Implementation</x:v>
      </x:c>
      <x:c r="H177" s="178" t="str">
        <x:v>Services</x:v>
      </x:c>
      <x:c r="I177" s="179" t="n">
        <x:v>7489</x:v>
      </x:c>
      <x:c r="J177" s="179" t="n">
        <x:v>0</x:v>
      </x:c>
      <x:c r="K177" s="180" t="n">
        <x:v>1</x:v>
      </x:c>
      <x:c r="L177" s="178" t="str">
        <x:v>No</x:v>
      </x:c>
      <x:c r="M177" s="178" t="str">
        <x:v>Approved</x:v>
      </x:c>
      <x:c r="N177" s="181" t="str">
        <x:v>AC-1172</x:v>
      </x:c>
    </x:row>
    <x:row r="178">
      <x:c r="A178" s="176" t="str">
        <x:v>D0174</x:v>
      </x:c>
      <x:c r="B178" s="177" t="n">
        <x:v>46222</x:v>
      </x:c>
      <x:c r="C178" s="178" t="str">
        <x:v>R06</x:v>
      </x:c>
      <x:c r="D178" s="178" t="str">
        <x:v>Lucas Martin</x:v>
      </x:c>
      <x:c r="E178" s="178" t="str">
        <x:v>SMB</x:v>
      </x:c>
      <x:c r="F178" s="178" t="str">
        <x:v>South</x:v>
      </x:c>
      <x:c r="G178" s="178" t="str">
        <x:v>Support Plus</x:v>
      </x:c>
      <x:c r="H178" s="178" t="str">
        <x:v>Support</x:v>
      </x:c>
      <x:c r="I178" s="179" t="n">
        <x:v>1217</x:v>
      </x:c>
      <x:c r="J178" s="179" t="n">
        <x:v>0</x:v>
      </x:c>
      <x:c r="K178" s="180" t="n">
        <x:v>1</x:v>
      </x:c>
      <x:c r="L178" s="178" t="str">
        <x:v>No</x:v>
      </x:c>
      <x:c r="M178" s="178" t="str">
        <x:v>Approved</x:v>
      </x:c>
      <x:c r="N178" s="181" t="str">
        <x:v>AC-1173</x:v>
      </x:c>
    </x:row>
    <x:row r="179">
      <x:c r="A179" s="176" t="str">
        <x:v>D0175</x:v>
      </x:c>
      <x:c r="B179" s="177" t="n">
        <x:v>46223</x:v>
      </x:c>
      <x:c r="C179" s="178" t="str">
        <x:v>R07</x:v>
      </x:c>
      <x:c r="D179" s="178" t="str">
        <x:v>Aylin Demir</x:v>
      </x:c>
      <x:c r="E179" s="178" t="str">
        <x:v>Enterprise</x:v>
      </x:c>
      <x:c r="F179" s="178" t="str">
        <x:v>East</x:v>
      </x:c>
      <x:c r="G179" s="178" t="str">
        <x:v>Workflow Pro</x:v>
      </x:c>
      <x:c r="H179" s="178" t="str">
        <x:v>Software</x:v>
      </x:c>
      <x:c r="I179" s="179" t="n">
        <x:v>2145</x:v>
      </x:c>
      <x:c r="J179" s="179" t="n">
        <x:v>0</x:v>
      </x:c>
      <x:c r="K179" s="180" t="n">
        <x:v>0.75</x:v>
      </x:c>
      <x:c r="L179" s="178" t="str">
        <x:v>Yes</x:v>
      </x:c>
      <x:c r="M179" s="178" t="str">
        <x:v>Approved</x:v>
      </x:c>
      <x:c r="N179" s="181" t="str">
        <x:v>AC-1174</x:v>
      </x:c>
    </x:row>
    <x:row r="180">
      <x:c r="A180" s="176" t="str">
        <x:v>D0176</x:v>
      </x:c>
      <x:c r="B180" s="177" t="n">
        <x:v>46224</x:v>
      </x:c>
      <x:c r="C180" s="178" t="str">
        <x:v>R08</x:v>
      </x:c>
      <x:c r="D180" s="178" t="str">
        <x:v>Owen Taylor</x:v>
      </x:c>
      <x:c r="E180" s="178" t="str">
        <x:v>Mid-Market</x:v>
      </x:c>
      <x:c r="F180" s="178" t="str">
        <x:v>North</x:v>
      </x:c>
      <x:c r="G180" s="178" t="str">
        <x:v>Training Pack</x:v>
      </x:c>
      <x:c r="H180" s="178" t="str">
        <x:v>Services</x:v>
      </x:c>
      <x:c r="I180" s="179" t="n">
        <x:v>3073</x:v>
      </x:c>
      <x:c r="J180" s="179" t="n">
        <x:v>0</x:v>
      </x:c>
      <x:c r="K180" s="180" t="n">
        <x:v>1</x:v>
      </x:c>
      <x:c r="L180" s="178" t="str">
        <x:v>No</x:v>
      </x:c>
      <x:c r="M180" s="178" t="str">
        <x:v>Approved</x:v>
      </x:c>
      <x:c r="N180" s="181" t="str">
        <x:v>AC-1175</x:v>
      </x:c>
    </x:row>
    <x:row r="181">
      <x:c r="A181" s="176" t="str">
        <x:v>D0177</x:v>
      </x:c>
      <x:c r="B181" s="177" t="n">
        <x:v>46225</x:v>
      </x:c>
      <x:c r="C181" s="178" t="str">
        <x:v>R09</x:v>
      </x:c>
      <x:c r="D181" s="178" t="str">
        <x:v>Sara Kim</x:v>
      </x:c>
      <x:c r="E181" s="178" t="str">
        <x:v>SMB</x:v>
      </x:c>
      <x:c r="F181" s="178" t="str">
        <x:v>West</x:v>
      </x:c>
      <x:c r="G181" s="178" t="str">
        <x:v>Analytics Cloud</x:v>
      </x:c>
      <x:c r="H181" s="178" t="str">
        <x:v>Software</x:v>
      </x:c>
      <x:c r="I181" s="179" t="n">
        <x:v>4001</x:v>
      </x:c>
      <x:c r="J181" s="179" t="n">
        <x:v>0</x:v>
      </x:c>
      <x:c r="K181" s="180" t="n">
        <x:v>1</x:v>
      </x:c>
      <x:c r="L181" s="178" t="str">
        <x:v>Yes</x:v>
      </x:c>
      <x:c r="M181" s="178" t="str">
        <x:v>Pending</x:v>
      </x:c>
      <x:c r="N181" s="181" t="str">
        <x:v>AC-1176</x:v>
      </x:c>
    </x:row>
    <x:row r="182">
      <x:c r="A182" s="176" t="str">
        <x:v>D0178</x:v>
      </x:c>
      <x:c r="B182" s="177" t="n">
        <x:v>46226</x:v>
      </x:c>
      <x:c r="C182" s="178" t="str">
        <x:v>R10</x:v>
      </x:c>
      <x:c r="D182" s="178" t="str">
        <x:v>Daniel Ruiz</x:v>
      </x:c>
      <x:c r="E182" s="178" t="str">
        <x:v>Enterprise</x:v>
      </x:c>
      <x:c r="F182" s="178" t="str">
        <x:v>West</x:v>
      </x:c>
      <x:c r="G182" s="178" t="str">
        <x:v>Implementation</x:v>
      </x:c>
      <x:c r="H182" s="178" t="str">
        <x:v>Services</x:v>
      </x:c>
      <x:c r="I182" s="179" t="n">
        <x:v>4929</x:v>
      </x:c>
      <x:c r="J182" s="179" t="n">
        <x:v>0</x:v>
      </x:c>
      <x:c r="K182" s="180" t="n">
        <x:v>1</x:v>
      </x:c>
      <x:c r="L182" s="178" t="str">
        <x:v>No</x:v>
      </x:c>
      <x:c r="M182" s="178" t="str">
        <x:v>Approved</x:v>
      </x:c>
      <x:c r="N182" s="181" t="str">
        <x:v>AC-1177</x:v>
      </x:c>
    </x:row>
    <x:row r="183">
      <x:c r="A183" s="176" t="str">
        <x:v>D0179</x:v>
      </x:c>
      <x:c r="B183" s="177" t="n">
        <x:v>46227</x:v>
      </x:c>
      <x:c r="C183" s="178" t="str">
        <x:v>R11</x:v>
      </x:c>
      <x:c r="D183" s="178" t="str">
        <x:v>Elif Kaya</x:v>
      </x:c>
      <x:c r="E183" s="178" t="str">
        <x:v>Mid-Market</x:v>
      </x:c>
      <x:c r="F183" s="178" t="str">
        <x:v>South</x:v>
      </x:c>
      <x:c r="G183" s="178" t="str">
        <x:v>Support Plus</x:v>
      </x:c>
      <x:c r="H183" s="178" t="str">
        <x:v>Support</x:v>
      </x:c>
      <x:c r="I183" s="179" t="n">
        <x:v>5857</x:v>
      </x:c>
      <x:c r="J183" s="179" t="n">
        <x:v>0</x:v>
      </x:c>
      <x:c r="K183" s="180" t="n">
        <x:v>1</x:v>
      </x:c>
      <x:c r="L183" s="178" t="str">
        <x:v>No</x:v>
      </x:c>
      <x:c r="M183" s="178" t="str">
        <x:v>Approved</x:v>
      </x:c>
      <x:c r="N183" s="181" t="str">
        <x:v>AC-1178</x:v>
      </x:c>
    </x:row>
    <x:row r="184">
      <x:c r="A184" s="176" t="str">
        <x:v>D0180</x:v>
      </x:c>
      <x:c r="B184" s="177" t="n">
        <x:v>46228</x:v>
      </x:c>
      <x:c r="C184" s="178" t="str">
        <x:v>R12</x:v>
      </x:c>
      <x:c r="D184" s="178" t="str">
        <x:v>Jon Bell</x:v>
      </x:c>
      <x:c r="E184" s="178" t="str">
        <x:v>SMB</x:v>
      </x:c>
      <x:c r="F184" s="178" t="str">
        <x:v>East</x:v>
      </x:c>
      <x:c r="G184" s="178" t="str">
        <x:v>Workflow Pro</x:v>
      </x:c>
      <x:c r="H184" s="178" t="str">
        <x:v>Software</x:v>
      </x:c>
      <x:c r="I184" s="179" t="n">
        <x:v>6785</x:v>
      </x:c>
      <x:c r="J184" s="179" t="n">
        <x:v>0</x:v>
      </x:c>
      <x:c r="K184" s="180" t="n">
        <x:v>1</x:v>
      </x:c>
      <x:c r="L184" s="178" t="str">
        <x:v>Yes</x:v>
      </x:c>
      <x:c r="M184" s="178" t="str">
        <x:v>Approved</x:v>
      </x:c>
      <x:c r="N184" s="181" t="str">
        <x:v>AC-1179</x:v>
      </x:c>
    </x:row>
    <x:row r="185">
      <x:c r="A185" s="176" t="str">
        <x:v>D0181</x:v>
      </x:c>
      <x:c r="B185" s="177" t="n">
        <x:v>46229</x:v>
      </x:c>
      <x:c r="C185" s="178" t="str">
        <x:v>R01</x:v>
      </x:c>
      <x:c r="D185" s="178" t="str">
        <x:v>Maya Chen</x:v>
      </x:c>
      <x:c r="E185" s="178" t="str">
        <x:v>Enterprise</x:v>
      </x:c>
      <x:c r="F185" s="178" t="str">
        <x:v>North</x:v>
      </x:c>
      <x:c r="G185" s="178" t="str">
        <x:v>Training Pack</x:v>
      </x:c>
      <x:c r="H185" s="178" t="str">
        <x:v>Services</x:v>
      </x:c>
      <x:c r="I185" s="179" t="n">
        <x:v>6480</x:v>
      </x:c>
      <x:c r="J185" s="179" t="n">
        <x:v>0</x:v>
      </x:c>
      <x:c r="K185" s="180" t="n">
        <x:v>1</x:v>
      </x:c>
      <x:c r="L185" s="178" t="str">
        <x:v>No</x:v>
      </x:c>
      <x:c r="M185" s="178" t="str">
        <x:v>Approved</x:v>
      </x:c>
      <x:c r="N185" s="181" t="str">
        <x:v>AC-1180</x:v>
      </x:c>
    </x:row>
    <x:row r="186">
      <x:c r="A186" s="176" t="str">
        <x:v>D0182</x:v>
      </x:c>
      <x:c r="B186" s="177" t="n">
        <x:v>46230</x:v>
      </x:c>
      <x:c r="C186" s="178" t="str">
        <x:v>R02</x:v>
      </x:c>
      <x:c r="D186" s="178" t="str">
        <x:v>Ethan Brooks</x:v>
      </x:c>
      <x:c r="E186" s="178" t="str">
        <x:v>Enterprise</x:v>
      </x:c>
      <x:c r="F186" s="178" t="str">
        <x:v>South</x:v>
      </x:c>
      <x:c r="G186" s="178" t="str">
        <x:v>Analytics Cloud</x:v>
      </x:c>
      <x:c r="H186" s="178" t="str">
        <x:v>Software</x:v>
      </x:c>
      <x:c r="I186" s="179" t="n">
        <x:v>7408</x:v>
      </x:c>
      <x:c r="J186" s="179" t="n">
        <x:v>0</x:v>
      </x:c>
      <x:c r="K186" s="180" t="n">
        <x:v>1</x:v>
      </x:c>
      <x:c r="L186" s="178" t="str">
        <x:v>Yes</x:v>
      </x:c>
      <x:c r="M186" s="178" t="str">
        <x:v>Pending</x:v>
      </x:c>
      <x:c r="N186" s="181" t="str">
        <x:v>AC-1181</x:v>
      </x:c>
    </x:row>
    <x:row r="187">
      <x:c r="A187" s="176" t="str">
        <x:v>D0183</x:v>
      </x:c>
      <x:c r="B187" s="177" t="n">
        <x:v>46231</x:v>
      </x:c>
      <x:c r="C187" s="178" t="str">
        <x:v>R03</x:v>
      </x:c>
      <x:c r="D187" s="178" t="str">
        <x:v>Sofia Patel</x:v>
      </x:c>
      <x:c r="E187" s="178" t="str">
        <x:v>Mid-Market</x:v>
      </x:c>
      <x:c r="F187" s="178" t="str">
        <x:v>East</x:v>
      </x:c>
      <x:c r="G187" s="178" t="str">
        <x:v>Implementation</x:v>
      </x:c>
      <x:c r="H187" s="178" t="str">
        <x:v>Services</x:v>
      </x:c>
      <x:c r="I187" s="179" t="n">
        <x:v>8336</x:v>
      </x:c>
      <x:c r="J187" s="179" t="n">
        <x:v>0</x:v>
      </x:c>
      <x:c r="K187" s="180" t="n">
        <x:v>1</x:v>
      </x:c>
      <x:c r="L187" s="178" t="str">
        <x:v>No</x:v>
      </x:c>
      <x:c r="M187" s="178" t="str">
        <x:v>Approved</x:v>
      </x:c>
      <x:c r="N187" s="181" t="str">
        <x:v>AC-1182</x:v>
      </x:c>
    </x:row>
    <x:row r="188">
      <x:c r="A188" s="176" t="str">
        <x:v>D0184</x:v>
      </x:c>
      <x:c r="B188" s="177" t="n">
        <x:v>46232</x:v>
      </x:c>
      <x:c r="C188" s="178" t="str">
        <x:v>R04</x:v>
      </x:c>
      <x:c r="D188" s="178" t="str">
        <x:v>Noah Williams</x:v>
      </x:c>
      <x:c r="E188" s="178" t="str">
        <x:v>Mid-Market</x:v>
      </x:c>
      <x:c r="F188" s="178" t="str">
        <x:v>West</x:v>
      </x:c>
      <x:c r="G188" s="178" t="str">
        <x:v>Support Plus</x:v>
      </x:c>
      <x:c r="H188" s="178" t="str">
        <x:v>Support</x:v>
      </x:c>
      <x:c r="I188" s="179" t="n">
        <x:v>2064</x:v>
      </x:c>
      <x:c r="J188" s="179" t="n">
        <x:v>0</x:v>
      </x:c>
      <x:c r="K188" s="180" t="n">
        <x:v>1</x:v>
      </x:c>
      <x:c r="L188" s="178" t="str">
        <x:v>No</x:v>
      </x:c>
      <x:c r="M188" s="178" t="str">
        <x:v>Approved</x:v>
      </x:c>
      <x:c r="N188" s="181" t="str">
        <x:v>AC-1183</x:v>
      </x:c>
    </x:row>
    <x:row r="189">
      <x:c r="A189" s="176" t="str">
        <x:v>D0185</x:v>
      </x:c>
      <x:c r="B189" s="177" t="n">
        <x:v>46233</x:v>
      </x:c>
      <x:c r="C189" s="178" t="str">
        <x:v>R05</x:v>
      </x:c>
      <x:c r="D189" s="178" t="str">
        <x:v>Lina Haddad</x:v>
      </x:c>
      <x:c r="E189" s="178" t="str">
        <x:v>SMB</x:v>
      </x:c>
      <x:c r="F189" s="178" t="str">
        <x:v>North</x:v>
      </x:c>
      <x:c r="G189" s="178" t="str">
        <x:v>Workflow Pro</x:v>
      </x:c>
      <x:c r="H189" s="178" t="str">
        <x:v>Software</x:v>
      </x:c>
      <x:c r="I189" s="179" t="n">
        <x:v>2992</x:v>
      </x:c>
      <x:c r="J189" s="179" t="n">
        <x:v>0</x:v>
      </x:c>
      <x:c r="K189" s="180" t="n">
        <x:v>0.5</x:v>
      </x:c>
      <x:c r="L189" s="178" t="str">
        <x:v>Yes</x:v>
      </x:c>
      <x:c r="M189" s="178" t="str">
        <x:v>Approved</x:v>
      </x:c>
      <x:c r="N189" s="181" t="str">
        <x:v>AC-1184</x:v>
      </x:c>
    </x:row>
    <x:row r="190">
      <x:c r="A190" s="176" t="str">
        <x:v>D0186</x:v>
      </x:c>
      <x:c r="B190" s="177" t="n">
        <x:v>46234</x:v>
      </x:c>
      <x:c r="C190" s="178" t="str">
        <x:v>R06</x:v>
      </x:c>
      <x:c r="D190" s="178" t="str">
        <x:v>Lucas Martin</x:v>
      </x:c>
      <x:c r="E190" s="178" t="str">
        <x:v>SMB</x:v>
      </x:c>
      <x:c r="F190" s="178" t="str">
        <x:v>South</x:v>
      </x:c>
      <x:c r="G190" s="178" t="str">
        <x:v>Training Pack</x:v>
      </x:c>
      <x:c r="H190" s="178" t="str">
        <x:v>Services</x:v>
      </x:c>
      <x:c r="I190" s="179" t="n">
        <x:v>3920</x:v>
      </x:c>
      <x:c r="J190" s="179" t="n">
        <x:v>0</x:v>
      </x:c>
      <x:c r="K190" s="180" t="n">
        <x:v>1</x:v>
      </x:c>
      <x:c r="L190" s="178" t="str">
        <x:v>No</x:v>
      </x:c>
      <x:c r="M190" s="178" t="str">
        <x:v>Approved</x:v>
      </x:c>
      <x:c r="N190" s="181" t="str">
        <x:v>AC-1185</x:v>
      </x:c>
    </x:row>
    <x:row r="191">
      <x:c r="A191" s="176" t="str">
        <x:v>D0187</x:v>
      </x:c>
      <x:c r="B191" s="177" t="n">
        <x:v>46204</x:v>
      </x:c>
      <x:c r="C191" s="178" t="str">
        <x:v>R07</x:v>
      </x:c>
      <x:c r="D191" s="178" t="str">
        <x:v>Aylin Demir</x:v>
      </x:c>
      <x:c r="E191" s="178" t="str">
        <x:v>Enterprise</x:v>
      </x:c>
      <x:c r="F191" s="178" t="str">
        <x:v>East</x:v>
      </x:c>
      <x:c r="G191" s="178" t="str">
        <x:v>Analytics Cloud</x:v>
      </x:c>
      <x:c r="H191" s="178" t="str">
        <x:v>Software</x:v>
      </x:c>
      <x:c r="I191" s="179" t="n">
        <x:v>4848</x:v>
      </x:c>
      <x:c r="J191" s="179" t="n">
        <x:v>0</x:v>
      </x:c>
      <x:c r="K191" s="180" t="n">
        <x:v>1</x:v>
      </x:c>
      <x:c r="L191" s="178" t="str">
        <x:v>Yes</x:v>
      </x:c>
      <x:c r="M191" s="178" t="str">
        <x:v>Pending</x:v>
      </x:c>
      <x:c r="N191" s="181" t="str">
        <x:v>AC-1186</x:v>
      </x:c>
    </x:row>
    <x:row r="192">
      <x:c r="A192" s="176" t="str">
        <x:v>D0188</x:v>
      </x:c>
      <x:c r="B192" s="177" t="n">
        <x:v>46205</x:v>
      </x:c>
      <x:c r="C192" s="178" t="str">
        <x:v>R08</x:v>
      </x:c>
      <x:c r="D192" s="178" t="str">
        <x:v>Owen Taylor</x:v>
      </x:c>
      <x:c r="E192" s="178" t="str">
        <x:v>Mid-Market</x:v>
      </x:c>
      <x:c r="F192" s="178" t="str">
        <x:v>North</x:v>
      </x:c>
      <x:c r="G192" s="178" t="str">
        <x:v>Implementation</x:v>
      </x:c>
      <x:c r="H192" s="178" t="str">
        <x:v>Services</x:v>
      </x:c>
      <x:c r="I192" s="179" t="n">
        <x:v>5776</x:v>
      </x:c>
      <x:c r="J192" s="179" t="n">
        <x:v>1039.68</x:v>
      </x:c>
      <x:c r="K192" s="180" t="n">
        <x:v>1</x:v>
      </x:c>
      <x:c r="L192" s="178" t="str">
        <x:v>No</x:v>
      </x:c>
      <x:c r="M192" s="178" t="str">
        <x:v>Approved</x:v>
      </x:c>
      <x:c r="N192" s="181" t="str">
        <x:v>AC-1187</x:v>
      </x:c>
    </x:row>
    <x:row r="193">
      <x:c r="A193" s="176" t="str">
        <x:v>D0189</x:v>
      </x:c>
      <x:c r="B193" s="177" t="n">
        <x:v>46206</x:v>
      </x:c>
      <x:c r="C193" s="178" t="str">
        <x:v>R09</x:v>
      </x:c>
      <x:c r="D193" s="178" t="str">
        <x:v>Sara Kim</x:v>
      </x:c>
      <x:c r="E193" s="178" t="str">
        <x:v>SMB</x:v>
      </x:c>
      <x:c r="F193" s="178" t="str">
        <x:v>West</x:v>
      </x:c>
      <x:c r="G193" s="178" t="str">
        <x:v>Support Plus</x:v>
      </x:c>
      <x:c r="H193" s="178" t="str">
        <x:v>Support</x:v>
      </x:c>
      <x:c r="I193" s="179" t="n">
        <x:v>6704</x:v>
      </x:c>
      <x:c r="J193" s="179" t="n">
        <x:v>0</x:v>
      </x:c>
      <x:c r="K193" s="180" t="n">
        <x:v>1</x:v>
      </x:c>
      <x:c r="L193" s="178" t="str">
        <x:v>No</x:v>
      </x:c>
      <x:c r="M193" s="178" t="str">
        <x:v>Approved</x:v>
      </x:c>
      <x:c r="N193" s="181" t="str">
        <x:v>AC-1188</x:v>
      </x:c>
    </x:row>
    <x:row r="194">
      <x:c r="A194" s="176" t="str">
        <x:v>D0190</x:v>
      </x:c>
      <x:c r="B194" s="177" t="n">
        <x:v>46207</x:v>
      </x:c>
      <x:c r="C194" s="178" t="str">
        <x:v>R10</x:v>
      </x:c>
      <x:c r="D194" s="178" t="str">
        <x:v>Daniel Ruiz</x:v>
      </x:c>
      <x:c r="E194" s="178" t="str">
        <x:v>Enterprise</x:v>
      </x:c>
      <x:c r="F194" s="178" t="str">
        <x:v>West</x:v>
      </x:c>
      <x:c r="G194" s="178" t="str">
        <x:v>Workflow Pro</x:v>
      </x:c>
      <x:c r="H194" s="178" t="str">
        <x:v>Software</x:v>
      </x:c>
      <x:c r="I194" s="179" t="n">
        <x:v>6399</x:v>
      </x:c>
      <x:c r="J194" s="179" t="n">
        <x:v>0</x:v>
      </x:c>
      <x:c r="K194" s="180" t="n">
        <x:v>1</x:v>
      </x:c>
      <x:c r="L194" s="178" t="str">
        <x:v>Yes</x:v>
      </x:c>
      <x:c r="M194" s="178" t="str">
        <x:v>Approved</x:v>
      </x:c>
      <x:c r="N194" s="181" t="str">
        <x:v>AC-1189</x:v>
      </x:c>
    </x:row>
    <x:row r="195">
      <x:c r="A195" s="176" t="str">
        <x:v>D0191</x:v>
      </x:c>
      <x:c r="B195" s="177" t="n">
        <x:v>46208</x:v>
      </x:c>
      <x:c r="C195" s="178" t="str">
        <x:v>R11</x:v>
      </x:c>
      <x:c r="D195" s="178" t="str">
        <x:v>Elif Kaya</x:v>
      </x:c>
      <x:c r="E195" s="178" t="str">
        <x:v>Mid-Market</x:v>
      </x:c>
      <x:c r="F195" s="178" t="str">
        <x:v>South</x:v>
      </x:c>
      <x:c r="G195" s="178" t="str">
        <x:v>Training Pack</x:v>
      </x:c>
      <x:c r="H195" s="178" t="str">
        <x:v>Services</x:v>
      </x:c>
      <x:c r="I195" s="179" t="n">
        <x:v>7327</x:v>
      </x:c>
      <x:c r="J195" s="179" t="n">
        <x:v>0</x:v>
      </x:c>
      <x:c r="K195" s="180" t="n">
        <x:v>1</x:v>
      </x:c>
      <x:c r="L195" s="178" t="str">
        <x:v>No</x:v>
      </x:c>
      <x:c r="M195" s="178" t="str">
        <x:v>Approved</x:v>
      </x:c>
      <x:c r="N195" s="181" t="str">
        <x:v>AC-1190</x:v>
      </x:c>
    </x:row>
    <x:row r="196">
      <x:c r="A196" s="176" t="str">
        <x:v>D0192</x:v>
      </x:c>
      <x:c r="B196" s="177" t="n">
        <x:v>46209</x:v>
      </x:c>
      <x:c r="C196" s="178" t="str">
        <x:v>R12</x:v>
      </x:c>
      <x:c r="D196" s="178" t="str">
        <x:v>Jon Bell</x:v>
      </x:c>
      <x:c r="E196" s="178" t="str">
        <x:v>SMB</x:v>
      </x:c>
      <x:c r="F196" s="178" t="str">
        <x:v>East</x:v>
      </x:c>
      <x:c r="G196" s="178" t="str">
        <x:v>Analytics Cloud</x:v>
      </x:c>
      <x:c r="H196" s="178" t="str">
        <x:v>Software</x:v>
      </x:c>
      <x:c r="I196" s="179" t="n">
        <x:v>8255</x:v>
      </x:c>
      <x:c r="J196" s="179" t="n">
        <x:v>0</x:v>
      </x:c>
      <x:c r="K196" s="180" t="n">
        <x:v>1</x:v>
      </x:c>
      <x:c r="L196" s="178" t="str">
        <x:v>Yes</x:v>
      </x:c>
      <x:c r="M196" s="178" t="str">
        <x:v>Pending</x:v>
      </x:c>
      <x:c r="N196" s="181" t="str">
        <x:v>AC-1191</x:v>
      </x:c>
    </x:row>
    <x:row r="197">
      <x:c r="A197" s="176" t="str">
        <x:v>D0193</x:v>
      </x:c>
      <x:c r="B197" s="177" t="n">
        <x:v>46210</x:v>
      </x:c>
      <x:c r="C197" s="178" t="str">
        <x:v>R01</x:v>
      </x:c>
      <x:c r="D197" s="178" t="str">
        <x:v>Maya Chen</x:v>
      </x:c>
      <x:c r="E197" s="178" t="str">
        <x:v>Enterprise</x:v>
      </x:c>
      <x:c r="F197" s="178" t="str">
        <x:v>North</x:v>
      </x:c>
      <x:c r="G197" s="178" t="str">
        <x:v>Implementation</x:v>
      </x:c>
      <x:c r="H197" s="178" t="str">
        <x:v>Services</x:v>
      </x:c>
      <x:c r="I197" s="179" t="n">
        <x:v>1983</x:v>
      </x:c>
      <x:c r="J197" s="179" t="n">
        <x:v>0</x:v>
      </x:c>
      <x:c r="K197" s="180" t="n">
        <x:v>1</x:v>
      </x:c>
      <x:c r="L197" s="178" t="str">
        <x:v>No</x:v>
      </x:c>
      <x:c r="M197" s="178" t="str">
        <x:v>Approved</x:v>
      </x:c>
      <x:c r="N197" s="181" t="str">
        <x:v>AC-1192</x:v>
      </x:c>
    </x:row>
    <x:row r="198">
      <x:c r="A198" s="176" t="str">
        <x:v>D0194</x:v>
      </x:c>
      <x:c r="B198" s="177" t="n">
        <x:v>46211</x:v>
      </x:c>
      <x:c r="C198" s="178" t="str">
        <x:v>R02</x:v>
      </x:c>
      <x:c r="D198" s="178" t="str">
        <x:v>Ethan Brooks</x:v>
      </x:c>
      <x:c r="E198" s="178" t="str">
        <x:v>Enterprise</x:v>
      </x:c>
      <x:c r="F198" s="178" t="str">
        <x:v>South</x:v>
      </x:c>
      <x:c r="G198" s="178" t="str">
        <x:v>Support Plus</x:v>
      </x:c>
      <x:c r="H198" s="178" t="str">
        <x:v>Support</x:v>
      </x:c>
      <x:c r="I198" s="179" t="n">
        <x:v>2911</x:v>
      </x:c>
      <x:c r="J198" s="179" t="n">
        <x:v>0</x:v>
      </x:c>
      <x:c r="K198" s="180" t="n">
        <x:v>1</x:v>
      </x:c>
      <x:c r="L198" s="178" t="str">
        <x:v>No</x:v>
      </x:c>
      <x:c r="M198" s="178" t="str">
        <x:v>Approved</x:v>
      </x:c>
      <x:c r="N198" s="181" t="str">
        <x:v>AC-1193</x:v>
      </x:c>
    </x:row>
    <x:row r="199">
      <x:c r="A199" s="176" t="str">
        <x:v>D0195</x:v>
      </x:c>
      <x:c r="B199" s="177" t="n">
        <x:v>46212</x:v>
      </x:c>
      <x:c r="C199" s="178" t="str">
        <x:v>R03</x:v>
      </x:c>
      <x:c r="D199" s="178" t="str">
        <x:v>Sofia Patel</x:v>
      </x:c>
      <x:c r="E199" s="178" t="str">
        <x:v>Mid-Market</x:v>
      </x:c>
      <x:c r="F199" s="178" t="str">
        <x:v>East</x:v>
      </x:c>
      <x:c r="G199" s="178" t="str">
        <x:v>Workflow Pro</x:v>
      </x:c>
      <x:c r="H199" s="178" t="str">
        <x:v>Software</x:v>
      </x:c>
      <x:c r="I199" s="179" t="n">
        <x:v>3839</x:v>
      </x:c>
      <x:c r="J199" s="179" t="n">
        <x:v>0</x:v>
      </x:c>
      <x:c r="K199" s="180" t="n">
        <x:v>1</x:v>
      </x:c>
      <x:c r="L199" s="178" t="str">
        <x:v>Yes</x:v>
      </x:c>
      <x:c r="M199" s="178" t="str">
        <x:v>Approved</x:v>
      </x:c>
      <x:c r="N199" s="181" t="str">
        <x:v>AC-1194</x:v>
      </x:c>
    </x:row>
    <x:row r="200">
      <x:c r="A200" s="176" t="str">
        <x:v>D0196</x:v>
      </x:c>
      <x:c r="B200" s="177" t="n">
        <x:v>46213</x:v>
      </x:c>
      <x:c r="C200" s="178" t="str">
        <x:v>R04</x:v>
      </x:c>
      <x:c r="D200" s="178" t="str">
        <x:v>Noah Williams</x:v>
      </x:c>
      <x:c r="E200" s="178" t="str">
        <x:v>Mid-Market</x:v>
      </x:c>
      <x:c r="F200" s="178" t="str">
        <x:v>West</x:v>
      </x:c>
      <x:c r="G200" s="178" t="str">
        <x:v>Training Pack</x:v>
      </x:c>
      <x:c r="H200" s="178" t="str">
        <x:v>Services</x:v>
      </x:c>
      <x:c r="I200" s="179" t="n">
        <x:v>4767</x:v>
      </x:c>
      <x:c r="J200" s="179" t="n">
        <x:v>0</x:v>
      </x:c>
      <x:c r="K200" s="180" t="n">
        <x:v>1</x:v>
      </x:c>
      <x:c r="L200" s="178" t="str">
        <x:v>No</x:v>
      </x:c>
      <x:c r="M200" s="178" t="str">
        <x:v>Approved</x:v>
      </x:c>
      <x:c r="N200" s="181" t="str">
        <x:v>AC-1195</x:v>
      </x:c>
    </x:row>
    <x:row r="201">
      <x:c r="A201" s="176" t="str">
        <x:v>D0197</x:v>
      </x:c>
      <x:c r="B201" s="177" t="n">
        <x:v>46214</x:v>
      </x:c>
      <x:c r="C201" s="178" t="str">
        <x:v>R05</x:v>
      </x:c>
      <x:c r="D201" s="178" t="str">
        <x:v>Lina Haddad</x:v>
      </x:c>
      <x:c r="E201" s="178" t="str">
        <x:v>SMB</x:v>
      </x:c>
      <x:c r="F201" s="178" t="str">
        <x:v>North</x:v>
      </x:c>
      <x:c r="G201" s="178" t="str">
        <x:v>Analytics Cloud</x:v>
      </x:c>
      <x:c r="H201" s="178" t="str">
        <x:v>Software</x:v>
      </x:c>
      <x:c r="I201" s="179" t="n">
        <x:v>5695</x:v>
      </x:c>
      <x:c r="J201" s="179" t="n">
        <x:v>0</x:v>
      </x:c>
      <x:c r="K201" s="180" t="n">
        <x:v>1</x:v>
      </x:c>
      <x:c r="L201" s="178" t="str">
        <x:v>Yes</x:v>
      </x:c>
      <x:c r="M201" s="178" t="str">
        <x:v>Pending</x:v>
      </x:c>
      <x:c r="N201" s="181" t="str">
        <x:v>AC-1196</x:v>
      </x:c>
    </x:row>
    <x:row r="202">
      <x:c r="A202" s="176" t="str">
        <x:v>D0198</x:v>
      </x:c>
      <x:c r="B202" s="177" t="n">
        <x:v>46215</x:v>
      </x:c>
      <x:c r="C202" s="178" t="str">
        <x:v>R06</x:v>
      </x:c>
      <x:c r="D202" s="178" t="str">
        <x:v>Lucas Martin</x:v>
      </x:c>
      <x:c r="E202" s="178" t="str">
        <x:v>SMB</x:v>
      </x:c>
      <x:c r="F202" s="178" t="str">
        <x:v>South</x:v>
      </x:c>
      <x:c r="G202" s="178" t="str">
        <x:v>Implementation</x:v>
      </x:c>
      <x:c r="H202" s="178" t="str">
        <x:v>Services</x:v>
      </x:c>
      <x:c r="I202" s="179" t="n">
        <x:v>6623</x:v>
      </x:c>
      <x:c r="J202" s="179" t="n">
        <x:v>0</x:v>
      </x:c>
      <x:c r="K202" s="180" t="n">
        <x:v>1</x:v>
      </x:c>
      <x:c r="L202" s="178" t="str">
        <x:v>No</x:v>
      </x:c>
      <x:c r="M202" s="178" t="str">
        <x:v>Approved</x:v>
      </x:c>
      <x:c r="N202" s="181" t="str">
        <x:v>AC-1197</x:v>
      </x:c>
    </x:row>
    <x:row r="203">
      <x:c r="A203" s="176" t="str">
        <x:v>D0199</x:v>
      </x:c>
      <x:c r="B203" s="177" t="n">
        <x:v>46216</x:v>
      </x:c>
      <x:c r="C203" s="178" t="str">
        <x:v>R07</x:v>
      </x:c>
      <x:c r="D203" s="178" t="str">
        <x:v>Aylin Demir</x:v>
      </x:c>
      <x:c r="E203" s="178" t="str">
        <x:v>Enterprise</x:v>
      </x:c>
      <x:c r="F203" s="178" t="str">
        <x:v>East</x:v>
      </x:c>
      <x:c r="G203" s="178" t="str">
        <x:v>Support Plus</x:v>
      </x:c>
      <x:c r="H203" s="178" t="str">
        <x:v>Support</x:v>
      </x:c>
      <x:c r="I203" s="179" t="n">
        <x:v>6318</x:v>
      </x:c>
      <x:c r="J203" s="179" t="n">
        <x:v>0</x:v>
      </x:c>
      <x:c r="K203" s="180" t="n">
        <x:v>1</x:v>
      </x:c>
      <x:c r="L203" s="178" t="str">
        <x:v>No</x:v>
      </x:c>
      <x:c r="M203" s="178" t="str">
        <x:v>Approved</x:v>
      </x:c>
      <x:c r="N203" s="181" t="str">
        <x:v>AC-1198</x:v>
      </x:c>
    </x:row>
    <x:row r="204">
      <x:c r="A204" s="176" t="str">
        <x:v>D0200</x:v>
      </x:c>
      <x:c r="B204" s="177" t="n">
        <x:v>46217</x:v>
      </x:c>
      <x:c r="C204" s="178" t="str">
        <x:v>R08</x:v>
      </x:c>
      <x:c r="D204" s="178" t="str">
        <x:v>Owen Taylor</x:v>
      </x:c>
      <x:c r="E204" s="178" t="str">
        <x:v>Mid-Market</x:v>
      </x:c>
      <x:c r="F204" s="178" t="str">
        <x:v>North</x:v>
      </x:c>
      <x:c r="G204" s="178" t="str">
        <x:v>Workflow Pro</x:v>
      </x:c>
      <x:c r="H204" s="178" t="str">
        <x:v>Software</x:v>
      </x:c>
      <x:c r="I204" s="179" t="n">
        <x:v>7246</x:v>
      </x:c>
      <x:c r="J204" s="179" t="n">
        <x:v>0</x:v>
      </x:c>
      <x:c r="K204" s="180" t="n">
        <x:v>1</x:v>
      </x:c>
      <x:c r="L204" s="178" t="str">
        <x:v>Yes</x:v>
      </x:c>
      <x:c r="M204" s="178" t="str">
        <x:v>Approved</x:v>
      </x:c>
      <x:c r="N204" s="181" t="str">
        <x:v>AC-1199</x:v>
      </x:c>
    </x:row>
    <x:row r="205">
      <x:c r="A205" s="176" t="str">
        <x:v>D0201</x:v>
      </x:c>
      <x:c r="B205" s="177" t="n">
        <x:v>46218</x:v>
      </x:c>
      <x:c r="C205" s="178" t="str">
        <x:v>R09</x:v>
      </x:c>
      <x:c r="D205" s="178" t="str">
        <x:v>Sara Kim</x:v>
      </x:c>
      <x:c r="E205" s="178" t="str">
        <x:v>SMB</x:v>
      </x:c>
      <x:c r="F205" s="178" t="str">
        <x:v>West</x:v>
      </x:c>
      <x:c r="G205" s="178" t="str">
        <x:v>Training Pack</x:v>
      </x:c>
      <x:c r="H205" s="178" t="str">
        <x:v>Services</x:v>
      </x:c>
      <x:c r="I205" s="179" t="n">
        <x:v>8174</x:v>
      </x:c>
      <x:c r="J205" s="179" t="n">
        <x:v>0</x:v>
      </x:c>
      <x:c r="K205" s="180" t="n">
        <x:v>1</x:v>
      </x:c>
      <x:c r="L205" s="178" t="str">
        <x:v>No</x:v>
      </x:c>
      <x:c r="M205" s="178" t="str">
        <x:v>Approved</x:v>
      </x:c>
      <x:c r="N205" s="181" t="str">
        <x:v>AC-1200</x:v>
      </x:c>
    </x:row>
    <x:row r="206">
      <x:c r="A206" s="176" t="str">
        <x:v>D0202</x:v>
      </x:c>
      <x:c r="B206" s="177" t="n">
        <x:v>46219</x:v>
      </x:c>
      <x:c r="C206" s="178" t="str">
        <x:v>R10</x:v>
      </x:c>
      <x:c r="D206" s="178" t="str">
        <x:v>Daniel Ruiz</x:v>
      </x:c>
      <x:c r="E206" s="178" t="str">
        <x:v>Enterprise</x:v>
      </x:c>
      <x:c r="F206" s="178" t="str">
        <x:v>West</x:v>
      </x:c>
      <x:c r="G206" s="178" t="str">
        <x:v>Analytics Cloud</x:v>
      </x:c>
      <x:c r="H206" s="178" t="str">
        <x:v>Software</x:v>
      </x:c>
      <x:c r="I206" s="179" t="n">
        <x:v>1902</x:v>
      </x:c>
      <x:c r="J206" s="179" t="n">
        <x:v>0</x:v>
      </x:c>
      <x:c r="K206" s="180" t="n">
        <x:v>1</x:v>
      </x:c>
      <x:c r="L206" s="178" t="str">
        <x:v>Yes</x:v>
      </x:c>
      <x:c r="M206" s="178" t="str">
        <x:v>Pending</x:v>
      </x:c>
      <x:c r="N206" s="181" t="str">
        <x:v>AC-1201</x:v>
      </x:c>
    </x:row>
    <x:row r="207">
      <x:c r="A207" s="176" t="str">
        <x:v>D0203</x:v>
      </x:c>
      <x:c r="B207" s="177" t="n">
        <x:v>46220</x:v>
      </x:c>
      <x:c r="C207" s="178" t="str">
        <x:v>R11</x:v>
      </x:c>
      <x:c r="D207" s="178" t="str">
        <x:v>Elif Kaya</x:v>
      </x:c>
      <x:c r="E207" s="178" t="str">
        <x:v>Mid-Market</x:v>
      </x:c>
      <x:c r="F207" s="178" t="str">
        <x:v>South</x:v>
      </x:c>
      <x:c r="G207" s="178" t="str">
        <x:v>Implementation</x:v>
      </x:c>
      <x:c r="H207" s="178" t="str">
        <x:v>Services</x:v>
      </x:c>
      <x:c r="I207" s="179" t="n">
        <x:v>2830</x:v>
      </x:c>
      <x:c r="J207" s="179" t="n">
        <x:v>0</x:v>
      </x:c>
      <x:c r="K207" s="180" t="n">
        <x:v>1</x:v>
      </x:c>
      <x:c r="L207" s="178" t="str">
        <x:v>No</x:v>
      </x:c>
      <x:c r="M207" s="178" t="str">
        <x:v>Approved</x:v>
      </x:c>
      <x:c r="N207" s="181" t="str">
        <x:v>AC-1202</x:v>
      </x:c>
    </x:row>
    <x:row r="208">
      <x:c r="A208" s="176" t="str">
        <x:v>D0204</x:v>
      </x:c>
      <x:c r="B208" s="177" t="n">
        <x:v>46221</x:v>
      </x:c>
      <x:c r="C208" s="178" t="str">
        <x:v>R12</x:v>
      </x:c>
      <x:c r="D208" s="178" t="str">
        <x:v>Jon Bell</x:v>
      </x:c>
      <x:c r="E208" s="178" t="str">
        <x:v>SMB</x:v>
      </x:c>
      <x:c r="F208" s="178" t="str">
        <x:v>East</x:v>
      </x:c>
      <x:c r="G208" s="178" t="str">
        <x:v>Support Plus</x:v>
      </x:c>
      <x:c r="H208" s="178" t="str">
        <x:v>Support</x:v>
      </x:c>
      <x:c r="I208" s="179" t="n">
        <x:v>3758</x:v>
      </x:c>
      <x:c r="J208" s="179" t="n">
        <x:v>0</x:v>
      </x:c>
      <x:c r="K208" s="180" t="n">
        <x:v>0.75</x:v>
      </x:c>
      <x:c r="L208" s="178" t="str">
        <x:v>No</x:v>
      </x:c>
      <x:c r="M208" s="178" t="str">
        <x:v>Approved</x:v>
      </x:c>
      <x:c r="N208" s="181" t="str">
        <x:v>AC-1203</x:v>
      </x:c>
    </x:row>
    <x:row r="209">
      <x:c r="A209" s="176" t="str">
        <x:v>D0205</x:v>
      </x:c>
      <x:c r="B209" s="177" t="n">
        <x:v>46222</x:v>
      </x:c>
      <x:c r="C209" s="178" t="str">
        <x:v>R01</x:v>
      </x:c>
      <x:c r="D209" s="178" t="str">
        <x:v>Maya Chen</x:v>
      </x:c>
      <x:c r="E209" s="178" t="str">
        <x:v>Enterprise</x:v>
      </x:c>
      <x:c r="F209" s="178" t="str">
        <x:v>North</x:v>
      </x:c>
      <x:c r="G209" s="178" t="str">
        <x:v>Workflow Pro</x:v>
      </x:c>
      <x:c r="H209" s="178" t="str">
        <x:v>Software</x:v>
      </x:c>
      <x:c r="I209" s="179" t="n">
        <x:v>4686</x:v>
      </x:c>
      <x:c r="J209" s="179" t="n">
        <x:v>562.32</x:v>
      </x:c>
      <x:c r="K209" s="180" t="n">
        <x:v>1</x:v>
      </x:c>
      <x:c r="L209" s="178" t="str">
        <x:v>Yes</x:v>
      </x:c>
      <x:c r="M209" s="178" t="str">
        <x:v>Approved</x:v>
      </x:c>
      <x:c r="N209" s="181" t="str">
        <x:v>AC-1204</x:v>
      </x:c>
    </x:row>
    <x:row r="210">
      <x:c r="A210" s="176" t="str">
        <x:v>D0206</x:v>
      </x:c>
      <x:c r="B210" s="177" t="n">
        <x:v>46223</x:v>
      </x:c>
      <x:c r="C210" s="178" t="str">
        <x:v>R02</x:v>
      </x:c>
      <x:c r="D210" s="178" t="str">
        <x:v>Ethan Brooks</x:v>
      </x:c>
      <x:c r="E210" s="178" t="str">
        <x:v>Enterprise</x:v>
      </x:c>
      <x:c r="F210" s="178" t="str">
        <x:v>South</x:v>
      </x:c>
      <x:c r="G210" s="178" t="str">
        <x:v>Training Pack</x:v>
      </x:c>
      <x:c r="H210" s="178" t="str">
        <x:v>Services</x:v>
      </x:c>
      <x:c r="I210" s="179" t="n">
        <x:v>5614</x:v>
      </x:c>
      <x:c r="J210" s="179" t="n">
        <x:v>0</x:v>
      </x:c>
      <x:c r="K210" s="180" t="n">
        <x:v>1</x:v>
      </x:c>
      <x:c r="L210" s="178" t="str">
        <x:v>No</x:v>
      </x:c>
      <x:c r="M210" s="178" t="str">
        <x:v>Approved</x:v>
      </x:c>
      <x:c r="N210" s="181" t="str">
        <x:v>AC-1205</x:v>
      </x:c>
    </x:row>
    <x:row r="211">
      <x:c r="A211" s="176" t="str">
        <x:v>D0207</x:v>
      </x:c>
      <x:c r="B211" s="177" t="n">
        <x:v>46224</x:v>
      </x:c>
      <x:c r="C211" s="178" t="str">
        <x:v>R03</x:v>
      </x:c>
      <x:c r="D211" s="178" t="str">
        <x:v>Sofia Patel</x:v>
      </x:c>
      <x:c r="E211" s="178" t="str">
        <x:v>Mid-Market</x:v>
      </x:c>
      <x:c r="F211" s="178" t="str">
        <x:v>East</x:v>
      </x:c>
      <x:c r="G211" s="178" t="str">
        <x:v>Analytics Cloud</x:v>
      </x:c>
      <x:c r="H211" s="178" t="str">
        <x:v>Software</x:v>
      </x:c>
      <x:c r="I211" s="179" t="n">
        <x:v>6542</x:v>
      </x:c>
      <x:c r="J211" s="179" t="n">
        <x:v>0</x:v>
      </x:c>
      <x:c r="K211" s="180" t="n">
        <x:v>1</x:v>
      </x:c>
      <x:c r="L211" s="178" t="str">
        <x:v>Yes</x:v>
      </x:c>
      <x:c r="M211" s="178" t="str">
        <x:v>Pending</x:v>
      </x:c>
      <x:c r="N211" s="181" t="str">
        <x:v>AC-1206</x:v>
      </x:c>
    </x:row>
    <x:row r="212">
      <x:c r="A212" s="176" t="str">
        <x:v>D0208</x:v>
      </x:c>
      <x:c r="B212" s="177" t="n">
        <x:v>46225</x:v>
      </x:c>
      <x:c r="C212" s="178" t="str">
        <x:v>R04</x:v>
      </x:c>
      <x:c r="D212" s="178" t="str">
        <x:v>Noah Williams</x:v>
      </x:c>
      <x:c r="E212" s="178" t="str">
        <x:v>Mid-Market</x:v>
      </x:c>
      <x:c r="F212" s="178" t="str">
        <x:v>West</x:v>
      </x:c>
      <x:c r="G212" s="178" t="str">
        <x:v>Implementation</x:v>
      </x:c>
      <x:c r="H212" s="178" t="str">
        <x:v>Services</x:v>
      </x:c>
      <x:c r="I212" s="179" t="n">
        <x:v>6237</x:v>
      </x:c>
      <x:c r="J212" s="179" t="n">
        <x:v>0</x:v>
      </x:c>
      <x:c r="K212" s="180" t="n">
        <x:v>0.5</x:v>
      </x:c>
      <x:c r="L212" s="178" t="str">
        <x:v>No</x:v>
      </x:c>
      <x:c r="M212" s="178" t="str">
        <x:v>Approved</x:v>
      </x:c>
      <x:c r="N212" s="181" t="str">
        <x:v>AC-1207</x:v>
      </x:c>
    </x:row>
    <x:row r="213">
      <x:c r="A213" s="176" t="str">
        <x:v>D0209</x:v>
      </x:c>
      <x:c r="B213" s="177" t="n">
        <x:v>46226</x:v>
      </x:c>
      <x:c r="C213" s="178" t="str">
        <x:v>R05</x:v>
      </x:c>
      <x:c r="D213" s="178" t="str">
        <x:v>Lina Haddad</x:v>
      </x:c>
      <x:c r="E213" s="178" t="str">
        <x:v>SMB</x:v>
      </x:c>
      <x:c r="F213" s="178" t="str">
        <x:v>North</x:v>
      </x:c>
      <x:c r="G213" s="178" t="str">
        <x:v>Support Plus</x:v>
      </x:c>
      <x:c r="H213" s="178" t="str">
        <x:v>Support</x:v>
      </x:c>
      <x:c r="I213" s="179" t="n">
        <x:v>7165</x:v>
      </x:c>
      <x:c r="J213" s="179" t="n">
        <x:v>0</x:v>
      </x:c>
      <x:c r="K213" s="180" t="n">
        <x:v>1</x:v>
      </x:c>
      <x:c r="L213" s="178" t="str">
        <x:v>No</x:v>
      </x:c>
      <x:c r="M213" s="178" t="str">
        <x:v>Approved</x:v>
      </x:c>
      <x:c r="N213" s="181" t="str">
        <x:v>AC-1208</x:v>
      </x:c>
    </x:row>
    <x:row r="214">
      <x:c r="A214" s="176" t="str">
        <x:v>D0210</x:v>
      </x:c>
      <x:c r="B214" s="177" t="n">
        <x:v>46227</x:v>
      </x:c>
      <x:c r="C214" s="178" t="str">
        <x:v>R06</x:v>
      </x:c>
      <x:c r="D214" s="178" t="str">
        <x:v>Lucas Martin</x:v>
      </x:c>
      <x:c r="E214" s="178" t="str">
        <x:v>SMB</x:v>
      </x:c>
      <x:c r="F214" s="178" t="str">
        <x:v>South</x:v>
      </x:c>
      <x:c r="G214" s="178" t="str">
        <x:v>Workflow Pro</x:v>
      </x:c>
      <x:c r="H214" s="178" t="str">
        <x:v>Software</x:v>
      </x:c>
      <x:c r="I214" s="179" t="n">
        <x:v>8093</x:v>
      </x:c>
      <x:c r="J214" s="179" t="n">
        <x:v>0</x:v>
      </x:c>
      <x:c r="K214" s="180" t="n">
        <x:v>1</x:v>
      </x:c>
      <x:c r="L214" s="178" t="str">
        <x:v>Yes</x:v>
      </x:c>
      <x:c r="M214" s="178" t="str">
        <x:v>Approved</x:v>
      </x:c>
      <x:c r="N214" s="181" t="str">
        <x:v>AC-1209</x:v>
      </x:c>
    </x:row>
    <x:row r="215">
      <x:c r="A215" s="176" t="str">
        <x:v>D0211</x:v>
      </x:c>
      <x:c r="B215" s="177" t="n">
        <x:v>46228</x:v>
      </x:c>
      <x:c r="C215" s="178" t="str">
        <x:v>R07</x:v>
      </x:c>
      <x:c r="D215" s="178" t="str">
        <x:v>Aylin Demir</x:v>
      </x:c>
      <x:c r="E215" s="178" t="str">
        <x:v>Enterprise</x:v>
      </x:c>
      <x:c r="F215" s="178" t="str">
        <x:v>East</x:v>
      </x:c>
      <x:c r="G215" s="178" t="str">
        <x:v>Training Pack</x:v>
      </x:c>
      <x:c r="H215" s="178" t="str">
        <x:v>Services</x:v>
      </x:c>
      <x:c r="I215" s="179" t="n">
        <x:v>1821</x:v>
      </x:c>
      <x:c r="J215" s="179" t="n">
        <x:v>0</x:v>
      </x:c>
      <x:c r="K215" s="180" t="n">
        <x:v>1</x:v>
      </x:c>
      <x:c r="L215" s="178" t="str">
        <x:v>No</x:v>
      </x:c>
      <x:c r="M215" s="178" t="str">
        <x:v>Approved</x:v>
      </x:c>
      <x:c r="N215" s="181" t="str">
        <x:v>AC-1210</x:v>
      </x:c>
    </x:row>
    <x:row r="216">
      <x:c r="A216" s="176" t="str">
        <x:v>D0212</x:v>
      </x:c>
      <x:c r="B216" s="177" t="n">
        <x:v>46229</x:v>
      </x:c>
      <x:c r="C216" s="178" t="str">
        <x:v>R08</x:v>
      </x:c>
      <x:c r="D216" s="178" t="str">
        <x:v>Owen Taylor</x:v>
      </x:c>
      <x:c r="E216" s="178" t="str">
        <x:v>Mid-Market</x:v>
      </x:c>
      <x:c r="F216" s="178" t="str">
        <x:v>North</x:v>
      </x:c>
      <x:c r="G216" s="178" t="str">
        <x:v>Analytics Cloud</x:v>
      </x:c>
      <x:c r="H216" s="178" t="str">
        <x:v>Software</x:v>
      </x:c>
      <x:c r="I216" s="179" t="n">
        <x:v>2749</x:v>
      </x:c>
      <x:c r="J216" s="179" t="n">
        <x:v>0</x:v>
      </x:c>
      <x:c r="K216" s="180" t="n">
        <x:v>1</x:v>
      </x:c>
      <x:c r="L216" s="178" t="str">
        <x:v>Yes</x:v>
      </x:c>
      <x:c r="M216" s="178" t="str">
        <x:v>Pending</x:v>
      </x:c>
      <x:c r="N216" s="181" t="str">
        <x:v>AC-1211</x:v>
      </x:c>
    </x:row>
    <x:row r="217">
      <x:c r="A217" s="176" t="str">
        <x:v>D0213</x:v>
      </x:c>
      <x:c r="B217" s="177" t="n">
        <x:v>46230</x:v>
      </x:c>
      <x:c r="C217" s="178" t="str">
        <x:v>R09</x:v>
      </x:c>
      <x:c r="D217" s="178" t="str">
        <x:v>Sara Kim</x:v>
      </x:c>
      <x:c r="E217" s="178" t="str">
        <x:v>SMB</x:v>
      </x:c>
      <x:c r="F217" s="178" t="str">
        <x:v>West</x:v>
      </x:c>
      <x:c r="G217" s="178" t="str">
        <x:v>Implementation</x:v>
      </x:c>
      <x:c r="H217" s="178" t="str">
        <x:v>Services</x:v>
      </x:c>
      <x:c r="I217" s="179" t="n">
        <x:v>3677</x:v>
      </x:c>
      <x:c r="J217" s="179" t="n">
        <x:v>0</x:v>
      </x:c>
      <x:c r="K217" s="180" t="n">
        <x:v>1</x:v>
      </x:c>
      <x:c r="L217" s="178" t="str">
        <x:v>No</x:v>
      </x:c>
      <x:c r="M217" s="178" t="str">
        <x:v>Approved</x:v>
      </x:c>
      <x:c r="N217" s="181" t="str">
        <x:v>AC-1212</x:v>
      </x:c>
    </x:row>
    <x:row r="218">
      <x:c r="A218" s="176" t="str">
        <x:v>D0214</x:v>
      </x:c>
      <x:c r="B218" s="177" t="n">
        <x:v>46231</x:v>
      </x:c>
      <x:c r="C218" s="178" t="str">
        <x:v>R10</x:v>
      </x:c>
      <x:c r="D218" s="178" t="str">
        <x:v>Daniel Ruiz</x:v>
      </x:c>
      <x:c r="E218" s="178" t="str">
        <x:v>Enterprise</x:v>
      </x:c>
      <x:c r="F218" s="178" t="str">
        <x:v>West</x:v>
      </x:c>
      <x:c r="G218" s="178" t="str">
        <x:v>Support Plus</x:v>
      </x:c>
      <x:c r="H218" s="178" t="str">
        <x:v>Support</x:v>
      </x:c>
      <x:c r="I218" s="179" t="n">
        <x:v>4605</x:v>
      </x:c>
      <x:c r="J218" s="179" t="n">
        <x:v>0</x:v>
      </x:c>
      <x:c r="K218" s="180" t="n">
        <x:v>1</x:v>
      </x:c>
      <x:c r="L218" s="178" t="str">
        <x:v>No</x:v>
      </x:c>
      <x:c r="M218" s="178" t="str">
        <x:v>Approved</x:v>
      </x:c>
      <x:c r="N218" s="181" t="str">
        <x:v>AC-1213</x:v>
      </x:c>
    </x:row>
    <x:row r="219">
      <x:c r="A219" s="176" t="str">
        <x:v>D0215</x:v>
      </x:c>
      <x:c r="B219" s="177" t="n">
        <x:v>46232</x:v>
      </x:c>
      <x:c r="C219" s="178" t="str">
        <x:v>R11</x:v>
      </x:c>
      <x:c r="D219" s="178" t="str">
        <x:v>Elif Kaya</x:v>
      </x:c>
      <x:c r="E219" s="178" t="str">
        <x:v>Mid-Market</x:v>
      </x:c>
      <x:c r="F219" s="178" t="str">
        <x:v>South</x:v>
      </x:c>
      <x:c r="G219" s="178" t="str">
        <x:v>Workflow Pro</x:v>
      </x:c>
      <x:c r="H219" s="178" t="str">
        <x:v>Software</x:v>
      </x:c>
      <x:c r="I219" s="179" t="n">
        <x:v>5533</x:v>
      </x:c>
      <x:c r="J219" s="179" t="n">
        <x:v>0</x:v>
      </x:c>
      <x:c r="K219" s="180" t="n">
        <x:v>1</x:v>
      </x:c>
      <x:c r="L219" s="178" t="str">
        <x:v>Yes</x:v>
      </x:c>
      <x:c r="M219" s="178" t="str">
        <x:v>Approved</x:v>
      </x:c>
      <x:c r="N219" s="181" t="str">
        <x:v>AC-1214</x:v>
      </x:c>
    </x:row>
    <x:row r="220">
      <x:c r="A220" s="176" t="str">
        <x:v>D0216</x:v>
      </x:c>
      <x:c r="B220" s="177" t="n">
        <x:v>46233</x:v>
      </x:c>
      <x:c r="C220" s="178" t="str">
        <x:v>R12</x:v>
      </x:c>
      <x:c r="D220" s="178" t="str">
        <x:v>Jon Bell</x:v>
      </x:c>
      <x:c r="E220" s="178" t="str">
        <x:v>SMB</x:v>
      </x:c>
      <x:c r="F220" s="178" t="str">
        <x:v>East</x:v>
      </x:c>
      <x:c r="G220" s="178" t="str">
        <x:v>Training Pack</x:v>
      </x:c>
      <x:c r="H220" s="178" t="str">
        <x:v>Services</x:v>
      </x:c>
      <x:c r="I220" s="179" t="n">
        <x:v>6461</x:v>
      </x:c>
      <x:c r="J220" s="179" t="n">
        <x:v>0</x:v>
      </x:c>
      <x:c r="K220" s="180" t="n">
        <x:v>1</x:v>
      </x:c>
      <x:c r="L220" s="178" t="str">
        <x:v>No</x:v>
      </x:c>
      <x:c r="M220" s="178" t="str">
        <x:v>Approved</x:v>
      </x:c>
      <x:c r="N220" s="181" t="str">
        <x:v>AC-1215</x:v>
      </x:c>
    </x:row>
    <x:row r="221">
      <x:c r="A221" s="176" t="str">
        <x:v>D0217</x:v>
      </x:c>
      <x:c r="B221" s="177" t="n">
        <x:v>46234</x:v>
      </x:c>
      <x:c r="C221" s="178" t="str">
        <x:v>R01</x:v>
      </x:c>
      <x:c r="D221" s="178" t="str">
        <x:v>Maya Chen</x:v>
      </x:c>
      <x:c r="E221" s="178" t="str">
        <x:v>Enterprise</x:v>
      </x:c>
      <x:c r="F221" s="178" t="str">
        <x:v>North</x:v>
      </x:c>
      <x:c r="G221" s="178" t="str">
        <x:v>Analytics Cloud</x:v>
      </x:c>
      <x:c r="H221" s="178" t="str">
        <x:v>Software</x:v>
      </x:c>
      <x:c r="I221" s="179" t="n">
        <x:v>6156</x:v>
      </x:c>
      <x:c r="J221" s="179" t="n">
        <x:v>0</x:v>
      </x:c>
      <x:c r="K221" s="180" t="n">
        <x:v>1</x:v>
      </x:c>
      <x:c r="L221" s="178" t="str">
        <x:v>Yes</x:v>
      </x:c>
      <x:c r="M221" s="178" t="str">
        <x:v>Pending</x:v>
      </x:c>
      <x:c r="N221" s="181" t="str">
        <x:v>AC-1216</x:v>
      </x:c>
    </x:row>
    <x:row r="222">
      <x:c r="A222" s="176" t="str">
        <x:v>D0218</x:v>
      </x:c>
      <x:c r="B222" s="177" t="n">
        <x:v>46204</x:v>
      </x:c>
      <x:c r="C222" s="178" t="str">
        <x:v>R02</x:v>
      </x:c>
      <x:c r="D222" s="178" t="str">
        <x:v>Ethan Brooks</x:v>
      </x:c>
      <x:c r="E222" s="178" t="str">
        <x:v>Enterprise</x:v>
      </x:c>
      <x:c r="F222" s="178" t="str">
        <x:v>South</x:v>
      </x:c>
      <x:c r="G222" s="178" t="str">
        <x:v>Implementation</x:v>
      </x:c>
      <x:c r="H222" s="178" t="str">
        <x:v>Services</x:v>
      </x:c>
      <x:c r="I222" s="179" t="n">
        <x:v>7084</x:v>
      </x:c>
      <x:c r="J222" s="179" t="n">
        <x:v>0</x:v>
      </x:c>
      <x:c r="K222" s="180" t="n">
        <x:v>1</x:v>
      </x:c>
      <x:c r="L222" s="178" t="str">
        <x:v>No</x:v>
      </x:c>
      <x:c r="M222" s="178" t="str">
        <x:v>Approved</x:v>
      </x:c>
      <x:c r="N222" s="181" t="str">
        <x:v>AC-1217</x:v>
      </x:c>
    </x:row>
    <x:row r="223">
      <x:c r="A223" s="176" t="str">
        <x:v>D0219</x:v>
      </x:c>
      <x:c r="B223" s="177" t="n">
        <x:v>46205</x:v>
      </x:c>
      <x:c r="C223" s="178" t="str">
        <x:v>R03</x:v>
      </x:c>
      <x:c r="D223" s="178" t="str">
        <x:v>Sofia Patel</x:v>
      </x:c>
      <x:c r="E223" s="178" t="str">
        <x:v>Mid-Market</x:v>
      </x:c>
      <x:c r="F223" s="178" t="str">
        <x:v>East</x:v>
      </x:c>
      <x:c r="G223" s="178" t="str">
        <x:v>Support Plus</x:v>
      </x:c>
      <x:c r="H223" s="178" t="str">
        <x:v>Support</x:v>
      </x:c>
      <x:c r="I223" s="179" t="n">
        <x:v>8012</x:v>
      </x:c>
      <x:c r="J223" s="179" t="n">
        <x:v>0</x:v>
      </x:c>
      <x:c r="K223" s="180" t="n">
        <x:v>1</x:v>
      </x:c>
      <x:c r="L223" s="178" t="str">
        <x:v>No</x:v>
      </x:c>
      <x:c r="M223" s="178" t="str">
        <x:v>Approved</x:v>
      </x:c>
      <x:c r="N223" s="181" t="str">
        <x:v>AC-1218</x:v>
      </x:c>
    </x:row>
    <x:row r="224">
      <x:c r="A224" s="176" t="str">
        <x:v>D0220</x:v>
      </x:c>
      <x:c r="B224" s="177" t="n">
        <x:v>46206</x:v>
      </x:c>
      <x:c r="C224" s="178" t="str">
        <x:v>R04</x:v>
      </x:c>
      <x:c r="D224" s="178" t="str">
        <x:v>Noah Williams</x:v>
      </x:c>
      <x:c r="E224" s="178" t="str">
        <x:v>Mid-Market</x:v>
      </x:c>
      <x:c r="F224" s="178" t="str">
        <x:v>West</x:v>
      </x:c>
      <x:c r="G224" s="178" t="str">
        <x:v>Workflow Pro</x:v>
      </x:c>
      <x:c r="H224" s="178" t="str">
        <x:v>Software</x:v>
      </x:c>
      <x:c r="I224" s="179" t="n">
        <x:v>1740</x:v>
      </x:c>
      <x:c r="J224" s="179" t="n">
        <x:v>0</x:v>
      </x:c>
      <x:c r="K224" s="180" t="n">
        <x:v>1</x:v>
      </x:c>
      <x:c r="L224" s="178" t="str">
        <x:v>Yes</x:v>
      </x:c>
      <x:c r="M224" s="178" t="str">
        <x:v>Approved</x:v>
      </x:c>
      <x:c r="N224" s="181" t="str">
        <x:v>AC-1219</x:v>
      </x:c>
    </x:row>
    <x:row r="225">
      <x:c r="A225" s="176" t="str">
        <x:v>D0221</x:v>
      </x:c>
      <x:c r="B225" s="177" t="n">
        <x:v>46207</x:v>
      </x:c>
      <x:c r="C225" s="178" t="str">
        <x:v>R05</x:v>
      </x:c>
      <x:c r="D225" s="178" t="str">
        <x:v>Lina Haddad</x:v>
      </x:c>
      <x:c r="E225" s="178" t="str">
        <x:v>SMB</x:v>
      </x:c>
      <x:c r="F225" s="178" t="str">
        <x:v>North</x:v>
      </x:c>
      <x:c r="G225" s="178" t="str">
        <x:v>Training Pack</x:v>
      </x:c>
      <x:c r="H225" s="178" t="str">
        <x:v>Services</x:v>
      </x:c>
      <x:c r="I225" s="179" t="n">
        <x:v>2668</x:v>
      </x:c>
      <x:c r="J225" s="179" t="n">
        <x:v>0</x:v>
      </x:c>
      <x:c r="K225" s="180" t="n">
        <x:v>1</x:v>
      </x:c>
      <x:c r="L225" s="178" t="str">
        <x:v>No</x:v>
      </x:c>
      <x:c r="M225" s="178" t="str">
        <x:v>Approved</x:v>
      </x:c>
      <x:c r="N225" s="181" t="str">
        <x:v>AC-1220</x:v>
      </x:c>
    </x:row>
    <x:row r="226">
      <x:c r="A226" s="176" t="str">
        <x:v>D0222</x:v>
      </x:c>
      <x:c r="B226" s="177" t="n">
        <x:v>46208</x:v>
      </x:c>
      <x:c r="C226" s="178" t="str">
        <x:v>R06</x:v>
      </x:c>
      <x:c r="D226" s="178" t="str">
        <x:v>Lucas Martin</x:v>
      </x:c>
      <x:c r="E226" s="178" t="str">
        <x:v>SMB</x:v>
      </x:c>
      <x:c r="F226" s="178" t="str">
        <x:v>South</x:v>
      </x:c>
      <x:c r="G226" s="178" t="str">
        <x:v>Analytics Cloud</x:v>
      </x:c>
      <x:c r="H226" s="178" t="str">
        <x:v>Software</x:v>
      </x:c>
      <x:c r="I226" s="179" t="n">
        <x:v>3596</x:v>
      </x:c>
      <x:c r="J226" s="179" t="n">
        <x:v>863.04</x:v>
      </x:c>
      <x:c r="K226" s="180" t="n">
        <x:v>1</x:v>
      </x:c>
      <x:c r="L226" s="178" t="str">
        <x:v>Yes</x:v>
      </x:c>
      <x:c r="M226" s="178" t="str">
        <x:v>Pending</x:v>
      </x:c>
      <x:c r="N226" s="181" t="str">
        <x:v>AC-1221</x:v>
      </x:c>
    </x:row>
    <x:row r="227">
      <x:c r="A227" s="176" t="str">
        <x:v>D0223</x:v>
      </x:c>
      <x:c r="B227" s="177" t="n">
        <x:v>46209</x:v>
      </x:c>
      <x:c r="C227" s="178" t="str">
        <x:v>R07</x:v>
      </x:c>
      <x:c r="D227" s="178" t="str">
        <x:v>Aylin Demir</x:v>
      </x:c>
      <x:c r="E227" s="178" t="str">
        <x:v>Enterprise</x:v>
      </x:c>
      <x:c r="F227" s="178" t="str">
        <x:v>East</x:v>
      </x:c>
      <x:c r="G227" s="178" t="str">
        <x:v>Implementation</x:v>
      </x:c>
      <x:c r="H227" s="178" t="str">
        <x:v>Services</x:v>
      </x:c>
      <x:c r="I227" s="179" t="n">
        <x:v>4524</x:v>
      </x:c>
      <x:c r="J227" s="179" t="n">
        <x:v>0</x:v>
      </x:c>
      <x:c r="K227" s="180" t="n">
        <x:v>1</x:v>
      </x:c>
      <x:c r="L227" s="178" t="str">
        <x:v>No</x:v>
      </x:c>
      <x:c r="M227" s="178" t="str">
        <x:v>Approved</x:v>
      </x:c>
      <x:c r="N227" s="181" t="str">
        <x:v>AC-1222</x:v>
      </x:c>
    </x:row>
    <x:row r="228">
      <x:c r="A228" s="176" t="str">
        <x:v>D0224</x:v>
      </x:c>
      <x:c r="B228" s="177" t="n">
        <x:v>46210</x:v>
      </x:c>
      <x:c r="C228" s="178" t="str">
        <x:v>R08</x:v>
      </x:c>
      <x:c r="D228" s="178" t="str">
        <x:v>Owen Taylor</x:v>
      </x:c>
      <x:c r="E228" s="178" t="str">
        <x:v>Mid-Market</x:v>
      </x:c>
      <x:c r="F228" s="178" t="str">
        <x:v>North</x:v>
      </x:c>
      <x:c r="G228" s="178" t="str">
        <x:v>Support Plus</x:v>
      </x:c>
      <x:c r="H228" s="178" t="str">
        <x:v>Support</x:v>
      </x:c>
      <x:c r="I228" s="179" t="n">
        <x:v>5452</x:v>
      </x:c>
      <x:c r="J228" s="179" t="n">
        <x:v>0</x:v>
      </x:c>
      <x:c r="K228" s="180" t="n">
        <x:v>1</x:v>
      </x:c>
      <x:c r="L228" s="178" t="str">
        <x:v>No</x:v>
      </x:c>
      <x:c r="M228" s="178" t="str">
        <x:v>Approved</x:v>
      </x:c>
      <x:c r="N228" s="181" t="str">
        <x:v>AC-1223</x:v>
      </x:c>
    </x:row>
    <x:row r="229">
      <x:c r="A229" s="176" t="str">
        <x:v>D0225</x:v>
      </x:c>
      <x:c r="B229" s="177" t="n">
        <x:v>46211</x:v>
      </x:c>
      <x:c r="C229" s="178" t="str">
        <x:v>R09</x:v>
      </x:c>
      <x:c r="D229" s="178" t="str">
        <x:v>Sara Kim</x:v>
      </x:c>
      <x:c r="E229" s="178" t="str">
        <x:v>SMB</x:v>
      </x:c>
      <x:c r="F229" s="178" t="str">
        <x:v>West</x:v>
      </x:c>
      <x:c r="G229" s="178" t="str">
        <x:v>Workflow Pro</x:v>
      </x:c>
      <x:c r="H229" s="178" t="str">
        <x:v>Software</x:v>
      </x:c>
      <x:c r="I229" s="179" t="n">
        <x:v>6380</x:v>
      </x:c>
      <x:c r="J229" s="179" t="n">
        <x:v>0</x:v>
      </x:c>
      <x:c r="K229" s="180" t="n">
        <x:v>1</x:v>
      </x:c>
      <x:c r="L229" s="178" t="str">
        <x:v>Yes</x:v>
      </x:c>
      <x:c r="M229" s="178" t="str">
        <x:v>Approved</x:v>
      </x:c>
      <x:c r="N229" s="181" t="str">
        <x:v>AC-1224</x:v>
      </x:c>
    </x:row>
    <x:row r="230">
      <x:c r="A230" s="176" t="str">
        <x:v>D0226</x:v>
      </x:c>
      <x:c r="B230" s="177" t="n">
        <x:v>46212</x:v>
      </x:c>
      <x:c r="C230" s="178" t="str">
        <x:v>R10</x:v>
      </x:c>
      <x:c r="D230" s="178" t="str">
        <x:v>Daniel Ruiz</x:v>
      </x:c>
      <x:c r="E230" s="178" t="str">
        <x:v>Enterprise</x:v>
      </x:c>
      <x:c r="F230" s="178" t="str">
        <x:v>West</x:v>
      </x:c>
      <x:c r="G230" s="178" t="str">
        <x:v>Training Pack</x:v>
      </x:c>
      <x:c r="H230" s="178" t="str">
        <x:v>Services</x:v>
      </x:c>
      <x:c r="I230" s="179" t="n">
        <x:v>6075</x:v>
      </x:c>
      <x:c r="J230" s="179" t="n">
        <x:v>0</x:v>
      </x:c>
      <x:c r="K230" s="180" t="n">
        <x:v>1</x:v>
      </x:c>
      <x:c r="L230" s="178" t="str">
        <x:v>No</x:v>
      </x:c>
      <x:c r="M230" s="178" t="str">
        <x:v>Approved</x:v>
      </x:c>
      <x:c r="N230" s="181" t="str">
        <x:v>AC-1225</x:v>
      </x:c>
    </x:row>
    <x:row r="231">
      <x:c r="A231" s="176" t="str">
        <x:v>D0227</x:v>
      </x:c>
      <x:c r="B231" s="177" t="n">
        <x:v>46213</x:v>
      </x:c>
      <x:c r="C231" s="178" t="str">
        <x:v>R11</x:v>
      </x:c>
      <x:c r="D231" s="178" t="str">
        <x:v>Elif Kaya</x:v>
      </x:c>
      <x:c r="E231" s="178" t="str">
        <x:v>Mid-Market</x:v>
      </x:c>
      <x:c r="F231" s="178" t="str">
        <x:v>South</x:v>
      </x:c>
      <x:c r="G231" s="178" t="str">
        <x:v>Analytics Cloud</x:v>
      </x:c>
      <x:c r="H231" s="178" t="str">
        <x:v>Software</x:v>
      </x:c>
      <x:c r="I231" s="179" t="n">
        <x:v>7003</x:v>
      </x:c>
      <x:c r="J231" s="179" t="n">
        <x:v>0</x:v>
      </x:c>
      <x:c r="K231" s="180" t="n">
        <x:v>1</x:v>
      </x:c>
      <x:c r="L231" s="178" t="str">
        <x:v>Yes</x:v>
      </x:c>
      <x:c r="M231" s="178" t="str">
        <x:v>Pending</x:v>
      </x:c>
      <x:c r="N231" s="181" t="str">
        <x:v>AC-1226</x:v>
      </x:c>
    </x:row>
    <x:row r="232">
      <x:c r="A232" s="176" t="str">
        <x:v>D0228</x:v>
      </x:c>
      <x:c r="B232" s="177" t="n">
        <x:v>46214</x:v>
      </x:c>
      <x:c r="C232" s="178" t="str">
        <x:v>R12</x:v>
      </x:c>
      <x:c r="D232" s="178" t="str">
        <x:v>Jon Bell</x:v>
      </x:c>
      <x:c r="E232" s="178" t="str">
        <x:v>SMB</x:v>
      </x:c>
      <x:c r="F232" s="178" t="str">
        <x:v>East</x:v>
      </x:c>
      <x:c r="G232" s="178" t="str">
        <x:v>Implementation</x:v>
      </x:c>
      <x:c r="H232" s="178" t="str">
        <x:v>Services</x:v>
      </x:c>
      <x:c r="I232" s="179" t="n">
        <x:v>7931</x:v>
      </x:c>
      <x:c r="J232" s="179" t="n">
        <x:v>0</x:v>
      </x:c>
      <x:c r="K232" s="180" t="n">
        <x:v>1</x:v>
      </x:c>
      <x:c r="L232" s="178" t="str">
        <x:v>No</x:v>
      </x:c>
      <x:c r="M232" s="178" t="str">
        <x:v>Approved</x:v>
      </x:c>
      <x:c r="N232" s="181" t="str">
        <x:v>AC-1227</x:v>
      </x:c>
    </x:row>
    <x:row r="233">
      <x:c r="A233" s="176" t="str">
        <x:v>D0229</x:v>
      </x:c>
      <x:c r="B233" s="177" t="n">
        <x:v>46215</x:v>
      </x:c>
      <x:c r="C233" s="178" t="str">
        <x:v>R01</x:v>
      </x:c>
      <x:c r="D233" s="178" t="str">
        <x:v>Maya Chen</x:v>
      </x:c>
      <x:c r="E233" s="178" t="str">
        <x:v>Enterprise</x:v>
      </x:c>
      <x:c r="F233" s="178" t="str">
        <x:v>North</x:v>
      </x:c>
      <x:c r="G233" s="178" t="str">
        <x:v>Support Plus</x:v>
      </x:c>
      <x:c r="H233" s="178" t="str">
        <x:v>Support</x:v>
      </x:c>
      <x:c r="I233" s="179" t="n">
        <x:v>1659</x:v>
      </x:c>
      <x:c r="J233" s="179" t="n">
        <x:v>0</x:v>
      </x:c>
      <x:c r="K233" s="180" t="n">
        <x:v>1</x:v>
      </x:c>
      <x:c r="L233" s="178" t="str">
        <x:v>No</x:v>
      </x:c>
      <x:c r="M233" s="178" t="str">
        <x:v>Approved</x:v>
      </x:c>
      <x:c r="N233" s="181" t="str">
        <x:v>AC-1228</x:v>
      </x:c>
    </x:row>
    <x:row r="234">
      <x:c r="A234" s="176" t="str">
        <x:v>D0230</x:v>
      </x:c>
      <x:c r="B234" s="177" t="n">
        <x:v>46216</x:v>
      </x:c>
      <x:c r="C234" s="178" t="str">
        <x:v>R02</x:v>
      </x:c>
      <x:c r="D234" s="178" t="str">
        <x:v>Ethan Brooks</x:v>
      </x:c>
      <x:c r="E234" s="178" t="str">
        <x:v>Enterprise</x:v>
      </x:c>
      <x:c r="F234" s="178" t="str">
        <x:v>South</x:v>
      </x:c>
      <x:c r="G234" s="178" t="str">
        <x:v>Workflow Pro</x:v>
      </x:c>
      <x:c r="H234" s="178" t="str">
        <x:v>Software</x:v>
      </x:c>
      <x:c r="I234" s="179" t="n">
        <x:v>2587</x:v>
      </x:c>
      <x:c r="J234" s="179" t="n">
        <x:v>0</x:v>
      </x:c>
      <x:c r="K234" s="180" t="n">
        <x:v>1</x:v>
      </x:c>
      <x:c r="L234" s="178" t="str">
        <x:v>Yes</x:v>
      </x:c>
      <x:c r="M234" s="178" t="str">
        <x:v>Approved</x:v>
      </x:c>
      <x:c r="N234" s="181" t="str">
        <x:v>AC-1229</x:v>
      </x:c>
    </x:row>
    <x:row r="235">
      <x:c r="A235" s="176" t="str">
        <x:v>D0231</x:v>
      </x:c>
      <x:c r="B235" s="177" t="n">
        <x:v>46217</x:v>
      </x:c>
      <x:c r="C235" s="178" t="str">
        <x:v>R03</x:v>
      </x:c>
      <x:c r="D235" s="178" t="str">
        <x:v>Sofia Patel</x:v>
      </x:c>
      <x:c r="E235" s="178" t="str">
        <x:v>Mid-Market</x:v>
      </x:c>
      <x:c r="F235" s="178" t="str">
        <x:v>East</x:v>
      </x:c>
      <x:c r="G235" s="178" t="str">
        <x:v>Training Pack</x:v>
      </x:c>
      <x:c r="H235" s="178" t="str">
        <x:v>Services</x:v>
      </x:c>
      <x:c r="I235" s="179" t="n">
        <x:v>3515</x:v>
      </x:c>
      <x:c r="J235" s="179" t="n">
        <x:v>0</x:v>
      </x:c>
      <x:c r="K235" s="180" t="n">
        <x:v>0.5</x:v>
      </x:c>
      <x:c r="L235" s="178" t="str">
        <x:v>No</x:v>
      </x:c>
      <x:c r="M235" s="178" t="str">
        <x:v>Approved</x:v>
      </x:c>
      <x:c r="N235" s="181" t="str">
        <x:v>AC-1230</x:v>
      </x:c>
    </x:row>
    <x:row r="236">
      <x:c r="A236" s="176" t="str">
        <x:v>D0232</x:v>
      </x:c>
      <x:c r="B236" s="177" t="n">
        <x:v>46218</x:v>
      </x:c>
      <x:c r="C236" s="178" t="str">
        <x:v>R04</x:v>
      </x:c>
      <x:c r="D236" s="178" t="str">
        <x:v>Noah Williams</x:v>
      </x:c>
      <x:c r="E236" s="178" t="str">
        <x:v>Mid-Market</x:v>
      </x:c>
      <x:c r="F236" s="178" t="str">
        <x:v>West</x:v>
      </x:c>
      <x:c r="G236" s="178" t="str">
        <x:v>Analytics Cloud</x:v>
      </x:c>
      <x:c r="H236" s="178" t="str">
        <x:v>Software</x:v>
      </x:c>
      <x:c r="I236" s="179" t="n">
        <x:v>4443</x:v>
      </x:c>
      <x:c r="J236" s="179" t="n">
        <x:v>0</x:v>
      </x:c>
      <x:c r="K236" s="180" t="n">
        <x:v>1</x:v>
      </x:c>
      <x:c r="L236" s="178" t="str">
        <x:v>Yes</x:v>
      </x:c>
      <x:c r="M236" s="178" t="str">
        <x:v>Pending</x:v>
      </x:c>
      <x:c r="N236" s="181" t="str">
        <x:v>AC-1231</x:v>
      </x:c>
    </x:row>
    <x:row r="237">
      <x:c r="A237" s="176" t="str">
        <x:v>D0233</x:v>
      </x:c>
      <x:c r="B237" s="177" t="n">
        <x:v>46219</x:v>
      </x:c>
      <x:c r="C237" s="178" t="str">
        <x:v>R05</x:v>
      </x:c>
      <x:c r="D237" s="178" t="str">
        <x:v>Lina Haddad</x:v>
      </x:c>
      <x:c r="E237" s="178" t="str">
        <x:v>SMB</x:v>
      </x:c>
      <x:c r="F237" s="178" t="str">
        <x:v>North</x:v>
      </x:c>
      <x:c r="G237" s="178" t="str">
        <x:v>Implementation</x:v>
      </x:c>
      <x:c r="H237" s="178" t="str">
        <x:v>Services</x:v>
      </x:c>
      <x:c r="I237" s="179" t="n">
        <x:v>5371</x:v>
      </x:c>
      <x:c r="J237" s="179" t="n">
        <x:v>0</x:v>
      </x:c>
      <x:c r="K237" s="180" t="n">
        <x:v>0.75</x:v>
      </x:c>
      <x:c r="L237" s="178" t="str">
        <x:v>No</x:v>
      </x:c>
      <x:c r="M237" s="178" t="str">
        <x:v>Approved</x:v>
      </x:c>
      <x:c r="N237" s="181" t="str">
        <x:v>AC-1232</x:v>
      </x:c>
    </x:row>
    <x:row r="238">
      <x:c r="A238" s="176" t="str">
        <x:v>D0234</x:v>
      </x:c>
      <x:c r="B238" s="177" t="n">
        <x:v>46220</x:v>
      </x:c>
      <x:c r="C238" s="178" t="str">
        <x:v>R06</x:v>
      </x:c>
      <x:c r="D238" s="178" t="str">
        <x:v>Lucas Martin</x:v>
      </x:c>
      <x:c r="E238" s="178" t="str">
        <x:v>SMB</x:v>
      </x:c>
      <x:c r="F238" s="178" t="str">
        <x:v>South</x:v>
      </x:c>
      <x:c r="G238" s="178" t="str">
        <x:v>Support Plus</x:v>
      </x:c>
      <x:c r="H238" s="178" t="str">
        <x:v>Support</x:v>
      </x:c>
      <x:c r="I238" s="179" t="n">
        <x:v>6299</x:v>
      </x:c>
      <x:c r="J238" s="179" t="n">
        <x:v>0</x:v>
      </x:c>
      <x:c r="K238" s="180" t="n">
        <x:v>1</x:v>
      </x:c>
      <x:c r="L238" s="178" t="str">
        <x:v>No</x:v>
      </x:c>
      <x:c r="M238" s="178" t="str">
        <x:v>Approved</x:v>
      </x:c>
      <x:c r="N238" s="181" t="str">
        <x:v>AC-1233</x:v>
      </x:c>
    </x:row>
    <x:row r="239">
      <x:c r="A239" s="176" t="str">
        <x:v>D0235</x:v>
      </x:c>
      <x:c r="B239" s="177" t="n">
        <x:v>46221</x:v>
      </x:c>
      <x:c r="C239" s="178" t="str">
        <x:v>R07</x:v>
      </x:c>
      <x:c r="D239" s="178" t="str">
        <x:v>Aylin Demir</x:v>
      </x:c>
      <x:c r="E239" s="178" t="str">
        <x:v>Enterprise</x:v>
      </x:c>
      <x:c r="F239" s="178" t="str">
        <x:v>East</x:v>
      </x:c>
      <x:c r="G239" s="178" t="str">
        <x:v>Workflow Pro</x:v>
      </x:c>
      <x:c r="H239" s="178" t="str">
        <x:v>Software</x:v>
      </x:c>
      <x:c r="I239" s="179" t="n">
        <x:v>5994</x:v>
      </x:c>
      <x:c r="J239" s="179" t="n">
        <x:v>0</x:v>
      </x:c>
      <x:c r="K239" s="180" t="n">
        <x:v>1</x:v>
      </x:c>
      <x:c r="L239" s="178" t="str">
        <x:v>Yes</x:v>
      </x:c>
      <x:c r="M239" s="178" t="str">
        <x:v>Approved</x:v>
      </x:c>
      <x:c r="N239" s="181" t="str">
        <x:v>AC-1234</x:v>
      </x:c>
    </x:row>
    <x:row r="240">
      <x:c r="A240" s="176" t="str">
        <x:v>D0236</x:v>
      </x:c>
      <x:c r="B240" s="177" t="n">
        <x:v>46222</x:v>
      </x:c>
      <x:c r="C240" s="178" t="str">
        <x:v>R08</x:v>
      </x:c>
      <x:c r="D240" s="178" t="str">
        <x:v>Owen Taylor</x:v>
      </x:c>
      <x:c r="E240" s="178" t="str">
        <x:v>Mid-Market</x:v>
      </x:c>
      <x:c r="F240" s="178" t="str">
        <x:v>North</x:v>
      </x:c>
      <x:c r="G240" s="178" t="str">
        <x:v>Training Pack</x:v>
      </x:c>
      <x:c r="H240" s="178" t="str">
        <x:v>Services</x:v>
      </x:c>
      <x:c r="I240" s="179" t="n">
        <x:v>6922</x:v>
      </x:c>
      <x:c r="J240" s="179" t="n">
        <x:v>0</x:v>
      </x:c>
      <x:c r="K240" s="180" t="n">
        <x:v>1</x:v>
      </x:c>
      <x:c r="L240" s="178" t="str">
        <x:v>No</x:v>
      </x:c>
      <x:c r="M240" s="178" t="str">
        <x:v>Approved</x:v>
      </x:c>
      <x:c r="N240" s="181" t="str">
        <x:v>AC-1235</x:v>
      </x:c>
    </x:row>
    <x:row r="241">
      <x:c r="A241" s="176" t="str">
        <x:v>D0237</x:v>
      </x:c>
      <x:c r="B241" s="177" t="n">
        <x:v>46223</x:v>
      </x:c>
      <x:c r="C241" s="178" t="str">
        <x:v>R09</x:v>
      </x:c>
      <x:c r="D241" s="178" t="str">
        <x:v>Sara Kim</x:v>
      </x:c>
      <x:c r="E241" s="178" t="str">
        <x:v>SMB</x:v>
      </x:c>
      <x:c r="F241" s="178" t="str">
        <x:v>West</x:v>
      </x:c>
      <x:c r="G241" s="178" t="str">
        <x:v>Analytics Cloud</x:v>
      </x:c>
      <x:c r="H241" s="178" t="str">
        <x:v>Software</x:v>
      </x:c>
      <x:c r="I241" s="179" t="n">
        <x:v>7850</x:v>
      </x:c>
      <x:c r="J241" s="179" t="n">
        <x:v>0</x:v>
      </x:c>
      <x:c r="K241" s="180" t="n">
        <x:v>1</x:v>
      </x:c>
      <x:c r="L241" s="178" t="str">
        <x:v>Yes</x:v>
      </x:c>
      <x:c r="M241" s="178" t="str">
        <x:v>Pending</x:v>
      </x:c>
      <x:c r="N241" s="181" t="str">
        <x:v>AC-1236</x:v>
      </x:c>
    </x:row>
    <x:row r="242">
      <x:c r="A242" s="176" t="str">
        <x:v>D0238</x:v>
      </x:c>
      <x:c r="B242" s="177" t="n">
        <x:v>46224</x:v>
      </x:c>
      <x:c r="C242" s="178" t="str">
        <x:v>R10</x:v>
      </x:c>
      <x:c r="D242" s="178" t="str">
        <x:v>Daniel Ruiz</x:v>
      </x:c>
      <x:c r="E242" s="178" t="str">
        <x:v>Enterprise</x:v>
      </x:c>
      <x:c r="F242" s="178" t="str">
        <x:v>West</x:v>
      </x:c>
      <x:c r="G242" s="178" t="str">
        <x:v>Implementation</x:v>
      </x:c>
      <x:c r="H242" s="178" t="str">
        <x:v>Services</x:v>
      </x:c>
      <x:c r="I242" s="179" t="n">
        <x:v>1578</x:v>
      </x:c>
      <x:c r="J242" s="179" t="n">
        <x:v>0</x:v>
      </x:c>
      <x:c r="K242" s="180" t="n">
        <x:v>1</x:v>
      </x:c>
      <x:c r="L242" s="178" t="str">
        <x:v>No</x:v>
      </x:c>
      <x:c r="M242" s="178" t="str">
        <x:v>Approved</x:v>
      </x:c>
      <x:c r="N242" s="181" t="str">
        <x:v>AC-1237</x:v>
      </x:c>
    </x:row>
    <x:row r="243">
      <x:c r="A243" s="176" t="str">
        <x:v>D0239</x:v>
      </x:c>
      <x:c r="B243" s="177" t="n">
        <x:v>46225</x:v>
      </x:c>
      <x:c r="C243" s="178" t="str">
        <x:v>R11</x:v>
      </x:c>
      <x:c r="D243" s="178" t="str">
        <x:v>Elif Kaya</x:v>
      </x:c>
      <x:c r="E243" s="178" t="str">
        <x:v>Mid-Market</x:v>
      </x:c>
      <x:c r="F243" s="178" t="str">
        <x:v>South</x:v>
      </x:c>
      <x:c r="G243" s="178" t="str">
        <x:v>Support Plus</x:v>
      </x:c>
      <x:c r="H243" s="178" t="str">
        <x:v>Support</x:v>
      </x:c>
      <x:c r="I243" s="179" t="n">
        <x:v>2506</x:v>
      </x:c>
      <x:c r="J243" s="179" t="n">
        <x:v>451.08</x:v>
      </x:c>
      <x:c r="K243" s="180" t="n">
        <x:v>1</x:v>
      </x:c>
      <x:c r="L243" s="178" t="str">
        <x:v>No</x:v>
      </x:c>
      <x:c r="M243" s="178" t="str">
        <x:v>Approved</x:v>
      </x:c>
      <x:c r="N243" s="181" t="str">
        <x:v>AC-1238</x:v>
      </x:c>
    </x:row>
    <x:row r="244">
      <x:c r="A244" s="182" t="str">
        <x:v>D0240</x:v>
      </x:c>
      <x:c r="B244" s="183" t="n">
        <x:v>46226</x:v>
      </x:c>
      <x:c r="C244" s="184" t="str">
        <x:v>R12</x:v>
      </x:c>
      <x:c r="D244" s="184" t="str">
        <x:v>Jon Bell</x:v>
      </x:c>
      <x:c r="E244" s="184" t="str">
        <x:v>SMB</x:v>
      </x:c>
      <x:c r="F244" s="184" t="str">
        <x:v>East</x:v>
      </x:c>
      <x:c r="G244" s="184" t="str">
        <x:v>Workflow Pro</x:v>
      </x:c>
      <x:c r="H244" s="184" t="str">
        <x:v>Software</x:v>
      </x:c>
      <x:c r="I244" s="185" t="n">
        <x:v>3434</x:v>
      </x:c>
      <x:c r="J244" s="185" t="n">
        <x:v>0</x:v>
      </x:c>
      <x:c r="K244" s="186" t="n">
        <x:v>1</x:v>
      </x:c>
      <x:c r="L244" s="184" t="str">
        <x:v>Yes</x:v>
      </x:c>
      <x:c r="M244" s="184" t="str">
        <x:v>Approved</x:v>
      </x:c>
      <x:c r="N244" s="187" t="str">
        <x:v>AC-1239</x:v>
      </x:c>
    </x:row>
  </x:sheetData>
  <x:mergeCells>
    <x:mergeCell ref="A1:N1"/>
    <x:mergeCell ref="A2:N2"/>
  </x:mergeCells>
  <x:conditionalFormatting sqref="M5:M244">
    <x:cfRule type="containsText" dxfId="0" priority="1" operator="containsText" text="Pending"/>
  </x:conditionalFormatting>
  <x:dataValidations count="2">
    <x:dataValidation type="list" sqref="L5:L244">
      <x:formula1>"Yes,No"</x:formula1>
    </x:dataValidation>
    <x:dataValidation type="list" sqref="M5:M244">
      <x:formula1>"Approved,Pending,Rejected"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5" hidden="0" customWidth="1"/>
    <x:col min="4" max="4" width="13" hidden="0" customWidth="1"/>
    <x:col min="5" max="5" width="16" hidden="0" customWidth="1"/>
  </x:cols>
  <x:sheetData>
    <x:row r="1" ht="34" customHeight="1">
      <x:c r="A1" s="119" t="str">
        <x:v>Rep Master</x:v>
      </x:c>
      <x:c r="B1" s="119"/>
      <x:c r="C1" s="119"/>
      <x:c r="D1" s="119"/>
      <x:c r="E1" s="119"/>
    </x:row>
    <x:row r="2" ht="23" customHeight="1">
      <x:c r="A2" s="120" t="str">
        <x:v>Editable roster and monthly quotas</x:v>
      </x:c>
      <x:c r="B2" s="120"/>
      <x:c r="C2" s="120"/>
      <x:c r="D2" s="120"/>
      <x:c r="E2" s="120"/>
    </x:row>
    <x:row r="3">
      <x:c r="A3" s="121"/>
      <x:c r="B3" s="121"/>
      <x:c r="C3" s="121"/>
      <x:c r="D3" s="121"/>
      <x:c r="E3" s="121"/>
    </x:row>
    <x:row r="4">
      <x:c r="A4" s="153" t="str">
        <x:v>Rep ID</x:v>
      </x:c>
      <x:c r="B4" s="154" t="str">
        <x:v>Rep Name</x:v>
      </x:c>
      <x:c r="C4" s="154" t="str">
        <x:v>Segment</x:v>
      </x:c>
      <x:c r="D4" s="154" t="str">
        <x:v>Region</x:v>
      </x:c>
      <x:c r="E4" s="155" t="str">
        <x:v>Monthly Quota</x:v>
      </x:c>
    </x:row>
    <x:row r="5">
      <x:c r="A5" s="176" t="str">
        <x:v>R01</x:v>
      </x:c>
      <x:c r="B5" s="178" t="str">
        <x:v>Maya Chen</x:v>
      </x:c>
      <x:c r="C5" s="178" t="str">
        <x:v>Enterprise</x:v>
      </x:c>
      <x:c r="D5" s="178" t="str">
        <x:v>North</x:v>
      </x:c>
      <x:c r="E5" s="188" t="n">
        <x:v>90000</x:v>
      </x:c>
    </x:row>
    <x:row r="6">
      <x:c r="A6" s="176" t="str">
        <x:v>R02</x:v>
      </x:c>
      <x:c r="B6" s="178" t="str">
        <x:v>Ethan Brooks</x:v>
      </x:c>
      <x:c r="C6" s="178" t="str">
        <x:v>Enterprise</x:v>
      </x:c>
      <x:c r="D6" s="178" t="str">
        <x:v>South</x:v>
      </x:c>
      <x:c r="E6" s="188" t="n">
        <x:v>85000</x:v>
      </x:c>
    </x:row>
    <x:row r="7">
      <x:c r="A7" s="176" t="str">
        <x:v>R03</x:v>
      </x:c>
      <x:c r="B7" s="178" t="str">
        <x:v>Sofia Patel</x:v>
      </x:c>
      <x:c r="C7" s="178" t="str">
        <x:v>Mid-Market</x:v>
      </x:c>
      <x:c r="D7" s="178" t="str">
        <x:v>East</x:v>
      </x:c>
      <x:c r="E7" s="188" t="n">
        <x:v>80000</x:v>
      </x:c>
    </x:row>
    <x:row r="8">
      <x:c r="A8" s="176" t="str">
        <x:v>R04</x:v>
      </x:c>
      <x:c r="B8" s="178" t="str">
        <x:v>Noah Williams</x:v>
      </x:c>
      <x:c r="C8" s="178" t="str">
        <x:v>Mid-Market</x:v>
      </x:c>
      <x:c r="D8" s="178" t="str">
        <x:v>West</x:v>
      </x:c>
      <x:c r="E8" s="188" t="n">
        <x:v>78000</x:v>
      </x:c>
    </x:row>
    <x:row r="9">
      <x:c r="A9" s="176" t="str">
        <x:v>R05</x:v>
      </x:c>
      <x:c r="B9" s="178" t="str">
        <x:v>Lina Haddad</x:v>
      </x:c>
      <x:c r="C9" s="178" t="str">
        <x:v>SMB</x:v>
      </x:c>
      <x:c r="D9" s="178" t="str">
        <x:v>North</x:v>
      </x:c>
      <x:c r="E9" s="188" t="n">
        <x:v>62000</x:v>
      </x:c>
    </x:row>
    <x:row r="10">
      <x:c r="A10" s="176" t="str">
        <x:v>R06</x:v>
      </x:c>
      <x:c r="B10" s="178" t="str">
        <x:v>Lucas Martin</x:v>
      </x:c>
      <x:c r="C10" s="178" t="str">
        <x:v>SMB</x:v>
      </x:c>
      <x:c r="D10" s="178" t="str">
        <x:v>South</x:v>
      </x:c>
      <x:c r="E10" s="188" t="n">
        <x:v>68000</x:v>
      </x:c>
    </x:row>
    <x:row r="11">
      <x:c r="A11" s="176" t="str">
        <x:v>R07</x:v>
      </x:c>
      <x:c r="B11" s="178" t="str">
        <x:v>Aylin Demir</x:v>
      </x:c>
      <x:c r="C11" s="178" t="str">
        <x:v>Enterprise</x:v>
      </x:c>
      <x:c r="D11" s="178" t="str">
        <x:v>East</x:v>
      </x:c>
      <x:c r="E11" s="188" t="n">
        <x:v>100000</x:v>
      </x:c>
    </x:row>
    <x:row r="12">
      <x:c r="A12" s="176" t="str">
        <x:v>R08</x:v>
      </x:c>
      <x:c r="B12" s="178" t="str">
        <x:v>Owen Taylor</x:v>
      </x:c>
      <x:c r="C12" s="178" t="str">
        <x:v>Mid-Market</x:v>
      </x:c>
      <x:c r="D12" s="178" t="str">
        <x:v>North</x:v>
      </x:c>
      <x:c r="E12" s="188" t="n">
        <x:v>80000</x:v>
      </x:c>
    </x:row>
    <x:row r="13">
      <x:c r="A13" s="176" t="str">
        <x:v>R09</x:v>
      </x:c>
      <x:c r="B13" s="178" t="str">
        <x:v>Sara Kim</x:v>
      </x:c>
      <x:c r="C13" s="178" t="str">
        <x:v>SMB</x:v>
      </x:c>
      <x:c r="D13" s="178" t="str">
        <x:v>West</x:v>
      </x:c>
      <x:c r="E13" s="188" t="n">
        <x:v>70000</x:v>
      </x:c>
    </x:row>
    <x:row r="14">
      <x:c r="A14" s="176" t="str">
        <x:v>R10</x:v>
      </x:c>
      <x:c r="B14" s="178" t="str">
        <x:v>Daniel Ruiz</x:v>
      </x:c>
      <x:c r="C14" s="178" t="str">
        <x:v>Enterprise</x:v>
      </x:c>
      <x:c r="D14" s="178" t="str">
        <x:v>West</x:v>
      </x:c>
      <x:c r="E14" s="188" t="n">
        <x:v>95000</x:v>
      </x:c>
    </x:row>
    <x:row r="15">
      <x:c r="A15" s="176" t="str">
        <x:v>R11</x:v>
      </x:c>
      <x:c r="B15" s="178" t="str">
        <x:v>Elif Kaya</x:v>
      </x:c>
      <x:c r="C15" s="178" t="str">
        <x:v>Mid-Market</x:v>
      </x:c>
      <x:c r="D15" s="178" t="str">
        <x:v>South</x:v>
      </x:c>
      <x:c r="E15" s="188" t="n">
        <x:v>82000</x:v>
      </x:c>
    </x:row>
    <x:row r="16">
      <x:c r="A16" s="182" t="str">
        <x:v>R12</x:v>
      </x:c>
      <x:c r="B16" s="184" t="str">
        <x:v>Jon Bell</x:v>
      </x:c>
      <x:c r="C16" s="184" t="str">
        <x:v>SMB</x:v>
      </x:c>
      <x:c r="D16" s="184" t="str">
        <x:v>East</x:v>
      </x:c>
      <x:c r="E16" s="189" t="n">
        <x:v>65000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42" hidden="0" customWidth="1"/>
  </x:cols>
  <x:sheetData>
    <x:row r="1" ht="34" customHeight="1">
      <x:c r="A1" s="119" t="str">
        <x:v>Commission Rules</x:v>
      </x:c>
      <x:c r="B1" s="119"/>
      <x:c r="C1" s="119"/>
      <x:c r="D1" s="119"/>
    </x:row>
    <x:row r="2" ht="23" customHeight="1">
      <x:c r="A2" s="120" t="str">
        <x:v>Editable payout policy | marginal tiers, bonus, and approval gate</x:v>
      </x:c>
      <x:c r="B2" s="120"/>
      <x:c r="C2" s="120"/>
      <x:c r="D2" s="120"/>
    </x:row>
    <x:row r="3">
      <x:c r="A3" s="121"/>
      <x:c r="B3" s="121"/>
      <x:c r="C3" s="121"/>
      <x:c r="D3" s="121"/>
    </x:row>
    <x:row r="4">
      <x:c r="A4" s="153" t="str">
        <x:v>Rule</x:v>
      </x:c>
      <x:c r="B4" s="154" t="str">
        <x:v>Value</x:v>
      </x:c>
      <x:c r="C4" s="154" t="str">
        <x:v>Unit</x:v>
      </x:c>
      <x:c r="D4" s="155" t="str">
        <x:v>Purpose</x:v>
      </x:c>
    </x:row>
    <x:row r="5">
      <x:c r="A5" s="141" t="str">
        <x:v>Tier 1 threshold</x:v>
      </x:c>
      <x:c r="B5" s="190" t="n">
        <x:v>0.8</x:v>
      </x:c>
      <x:c r="C5" s="156" t="str">
        <x:v>% quota</x:v>
      </x:c>
      <x:c r="D5" s="159" t="str">
        <x:v>End of base tier</x:v>
      </x:c>
    </x:row>
    <x:row r="6">
      <x:c r="A6" s="141" t="str">
        <x:v>Tier 1 rate</x:v>
      </x:c>
      <x:c r="B6" s="190" t="n">
        <x:v>0.03</x:v>
      </x:c>
      <x:c r="C6" s="156" t="str">
        <x:v>% revenue</x:v>
      </x:c>
      <x:c r="D6" s="159" t="str">
        <x:v>Marginal rate through threshold</x:v>
      </x:c>
    </x:row>
    <x:row r="7">
      <x:c r="A7" s="141" t="str">
        <x:v>Tier 2 rate</x:v>
      </x:c>
      <x:c r="B7" s="190" t="n">
        <x:v>0.05</x:v>
      </x:c>
      <x:c r="C7" s="156" t="str">
        <x:v>% revenue</x:v>
      </x:c>
      <x:c r="D7" s="159" t="str">
        <x:v>Marginal rate from threshold to quota</x:v>
      </x:c>
    </x:row>
    <x:row r="8">
      <x:c r="A8" s="141" t="str">
        <x:v>Accelerator rate</x:v>
      </x:c>
      <x:c r="B8" s="190" t="n">
        <x:v>0.08</x:v>
      </x:c>
      <x:c r="C8" s="156" t="str">
        <x:v>% revenue</x:v>
      </x:c>
      <x:c r="D8" s="159" t="str">
        <x:v>Marginal rate above quota</x:v>
      </x:c>
    </x:row>
    <x:row r="9">
      <x:c r="A9" s="141" t="str">
        <x:v>Product bonus rate</x:v>
      </x:c>
      <x:c r="B9" s="190" t="n">
        <x:v>0.01</x:v>
      </x:c>
      <x:c r="C9" s="156" t="str">
        <x:v>% revenue</x:v>
      </x:c>
      <x:c r="D9" s="159" t="str">
        <x:v>Eligible net credited revenue</x:v>
      </x:c>
    </x:row>
    <x:row r="10">
      <x:c r="A10" s="141" t="str">
        <x:v>Payout approval</x:v>
      </x:c>
      <x:c r="B10" s="178" t="str">
        <x:v>Approved</x:v>
      </x:c>
      <x:c r="C10" s="156" t="str">
        <x:v>status</x:v>
      </x:c>
      <x:c r="D10" s="159" t="str">
        <x:v>Only approved transactions enter payout</x:v>
      </x:c>
    </x:row>
    <x:row r="11">
      <x:c r="A11" s="147" t="str">
        <x:v>Period</x:v>
      </x:c>
      <x:c r="B11" s="160" t="str">
        <x:v>July 2026</x:v>
      </x:c>
      <x:c r="C11" s="160" t="str">
        <x:v>month</x:v>
      </x:c>
      <x:c r="D11" s="163" t="str">
        <x:v>Commission statement period</x:v>
      </x:c>
    </x:row>
    <x:row r="12">
      <x:c r="A12" s="121"/>
      <x:c r="B12" s="121"/>
      <x:c r="C12" s="121"/>
      <x:c r="D12" s="121"/>
    </x:row>
    <x:row r="13">
      <x:c r="A13" s="153" t="str">
        <x:v>Control policy</x:v>
      </x:c>
      <x:c r="B13" s="154" t="str">
        <x:v>Treatment</x:v>
      </x:c>
      <x:c r="C13" s="154" t="str">
        <x:v>Owner</x:v>
      </x:c>
      <x:c r="D13" s="155" t="str">
        <x:v>Notes</x:v>
      </x:c>
    </x:row>
    <x:row r="14">
      <x:c r="A14" s="141" t="str">
        <x:v>Split credit</x:v>
      </x:c>
      <x:c r="B14" s="156" t="str">
        <x:v>Multiply revenue and returns by Credit %</x:v>
      </x:c>
      <x:c r="C14" s="156" t="str">
        <x:v>Sales Ops</x:v>
      </x:c>
      <x:c r="D14" s="159" t="str">
        <x:v>Total credit may be less than 100% if partner is outside team</x:v>
      </x:c>
    </x:row>
    <x:row r="15">
      <x:c r="A15" s="141" t="str">
        <x:v>Returns / clawbacks</x:v>
      </x:c>
      <x:c r="B15" s="156" t="str">
        <x:v>Deduct before tier calculation</x:v>
      </x:c>
      <x:c r="C15" s="156" t="str">
        <x:v>Finance</x:v>
      </x:c>
      <x:c r="D15" s="159" t="str">
        <x:v>Reduces commissionable revenue in current period</x:v>
      </x:c>
    </x:row>
    <x:row r="16">
      <x:c r="A16" s="141" t="str">
        <x:v>Pending approval</x:v>
      </x:c>
      <x:c r="B16" s="156" t="str">
        <x:v>Excluded from payout</x:v>
      </x:c>
      <x:c r="C16" s="156" t="str">
        <x:v>Sales Manager</x:v>
      </x:c>
      <x:c r="D16" s="159" t="str">
        <x:v>Appears in exception count</x:v>
      </x:c>
    </x:row>
    <x:row r="17">
      <x:c r="A17" s="147" t="str">
        <x:v>Bonus eligibility</x:v>
      </x:c>
      <x:c r="B17" s="160" t="str">
        <x:v>Product master flag on transaction</x:v>
      </x:c>
      <x:c r="C17" s="160" t="str">
        <x:v>RevOps</x:v>
      </x:c>
      <x:c r="D17" s="163" t="str">
        <x:v>Applied to net credited revenue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2" hidden="0" customWidth="1"/>
  </x:cols>
  <x:sheetData>
    <x:row r="1" ht="34" customHeight="1">
      <x:c r="A1" s="119" t="str">
        <x:v>Checks &amp; Controls</x:v>
      </x:c>
      <x:c r="B1" s="119"/>
      <x:c r="C1" s="119"/>
      <x:c r="D1" s="119"/>
      <x:c r="E1" s="119"/>
      <x:c r="F1" s="119"/>
    </x:row>
    <x:row r="2" ht="23" customHeight="1">
      <x:c r="A2" s="120" t="str">
        <x:v>MODEL STATUS is PASS only when every source, payout, and policy control succeeds</x:v>
      </x:c>
      <x:c r="B2" s="120"/>
      <x:c r="C2" s="120"/>
      <x:c r="D2" s="120"/>
      <x:c r="E2" s="120"/>
      <x:c r="F2" s="120"/>
    </x:row>
    <x:row r="3">
      <x:c r="A3" s="121"/>
      <x:c r="B3" s="121"/>
      <x:c r="C3" s="121"/>
      <x:c r="D3" s="121"/>
      <x:c r="E3" s="121"/>
      <x:c r="F3" s="121"/>
    </x:row>
    <x:row r="4">
      <x:c r="A4" s="153" t="str">
        <x:v>Check</x:v>
      </x:c>
      <x:c r="B4" s="154" t="str">
        <x:v>Expected</x:v>
      </x:c>
      <x:c r="C4" s="154" t="str">
        <x:v>Actual</x:v>
      </x:c>
      <x:c r="D4" s="154" t="str">
        <x:v>Delta</x:v>
      </x:c>
      <x:c r="E4" s="154" t="str">
        <x:v>Status</x:v>
      </x:c>
      <x:c r="F4" s="155" t="str">
        <x:v>Where to fix</x:v>
      </x:c>
    </x:row>
    <x:row r="5">
      <x:c r="A5" s="141" t="str">
        <x:v>Transaction count</x:v>
      </x:c>
      <x:c r="B5" s="191" t="n">
        <x:v>240</x:v>
      </x:c>
      <x:c r="C5" s="191" t="n">
        <x:f>COUNTA('Sales Inputs'!$A$5:$A$244)</x:f>
        <x:v>240</x:v>
      </x:c>
      <x:c r="D5" s="191" t="n">
        <x:f>C5-B5</x:f>
        <x:v>0</x:v>
      </x:c>
      <x:c r="E5" s="156" t="str">
        <x:f>IF(ABS(D5)&lt;0.01,"PASS","FAIL")</x:f>
        <x:v>PASS</x:v>
      </x:c>
      <x:c r="F5" s="159" t="str">
        <x:v>Sales Inputs</x:v>
      </x:c>
    </x:row>
    <x:row r="6">
      <x:c r="A6" s="141" t="str">
        <x:v>Approved deal count</x:v>
      </x:c>
      <x:c r="B6" s="191" t="n">
        <x:v>192</x:v>
      </x:c>
      <x:c r="C6" s="191" t="n">
        <x:f>COUNTIF('Sales Inputs'!$M$5:$M$244,"Approved")</x:f>
        <x:v>192</x:v>
      </x:c>
      <x:c r="D6" s="191" t="n">
        <x:f>C6-B6</x:f>
        <x:v>0</x:v>
      </x:c>
      <x:c r="E6" s="156" t="str">
        <x:f>IF(ABS(D6)&lt;0.01,"PASS","FAIL")</x:f>
        <x:v>PASS</x:v>
      </x:c>
      <x:c r="F6" s="159" t="str">
        <x:v>Sales Inputs</x:v>
      </x:c>
    </x:row>
    <x:row r="7">
      <x:c r="A7" s="141" t="str">
        <x:v>Pending deal count</x:v>
      </x:c>
      <x:c r="B7" s="191" t="n">
        <x:v>48</x:v>
      </x:c>
      <x:c r="C7" s="191" t="n">
        <x:f>COUNTIF('Sales Inputs'!$M$5:$M$244,"Pending")</x:f>
        <x:v>48</x:v>
      </x:c>
      <x:c r="D7" s="191" t="n">
        <x:f>C7-B7</x:f>
        <x:v>0</x:v>
      </x:c>
      <x:c r="E7" s="156" t="str">
        <x:f>IF(ABS(D7)&lt;0.01,"PASS","FAIL")</x:f>
        <x:v>PASS</x:v>
      </x:c>
      <x:c r="F7" s="159" t="str">
        <x:v>Sales Inputs</x:v>
      </x:c>
    </x:row>
    <x:row r="8">
      <x:c r="A8" s="141" t="str">
        <x:v>Approved gross credit</x:v>
      </x:c>
      <x:c r="B8" s="191" t="n">
        <x:v>934939</x:v>
      </x:c>
      <x:c r="C8" s="191" t="n">
        <x:f>SUM('Commission Calc'!$G$5:$G$16)</x:f>
        <x:v>934939</x:v>
      </x:c>
      <x:c r="D8" s="191" t="n">
        <x:f>C8-B8</x:f>
        <x:v>0</x:v>
      </x:c>
      <x:c r="E8" s="156" t="str">
        <x:f>IF(ABS(D8)&lt;0.01,"PASS","FAIL")</x:f>
        <x:v>PASS</x:v>
      </x:c>
      <x:c r="F8" s="159" t="str">
        <x:v>Commission Calc</x:v>
      </x:c>
    </x:row>
    <x:row r="9">
      <x:c r="A9" s="141" t="str">
        <x:v>Approved credited returns</x:v>
      </x:c>
      <x:c r="B9" s="191" t="n">
        <x:v>10463.88</x:v>
      </x:c>
      <x:c r="C9" s="191" t="n">
        <x:f>SUM('Commission Calc'!$H$5:$H$16)</x:f>
        <x:v>10463.88</x:v>
      </x:c>
      <x:c r="D9" s="191" t="n">
        <x:f>C9-B9</x:f>
        <x:v>0</x:v>
      </x:c>
      <x:c r="E9" s="156" t="str">
        <x:f>IF(ABS(D9)&lt;0.01,"PASS","FAIL")</x:f>
        <x:v>PASS</x:v>
      </x:c>
      <x:c r="F9" s="159" t="str">
        <x:v>Commission Calc</x:v>
      </x:c>
    </x:row>
    <x:row r="10">
      <x:c r="A10" s="141" t="str">
        <x:v>Net revenue reconciliation</x:v>
      </x:c>
      <x:c r="B10" s="191" t="n">
        <x:v>924475.12</x:v>
      </x:c>
      <x:c r="C10" s="191" t="n">
        <x:f>SUM('Commission Calc'!$I$5:$I$16)</x:f>
        <x:v>924475.12</x:v>
      </x:c>
      <x:c r="D10" s="191" t="n">
        <x:f>C10-B10</x:f>
        <x:v>0</x:v>
      </x:c>
      <x:c r="E10" s="156" t="str">
        <x:f>IF(ABS(D10)&lt;0.01,"PASS","FAIL")</x:f>
        <x:v>PASS</x:v>
      </x:c>
      <x:c r="F10" s="159" t="str">
        <x:v>Commission Calc</x:v>
      </x:c>
    </x:row>
    <x:row r="11">
      <x:c r="A11" s="141" t="str">
        <x:v>Quota reconciliation</x:v>
      </x:c>
      <x:c r="B11" s="191" t="n">
        <x:v>955000</x:v>
      </x:c>
      <x:c r="C11" s="191" t="n">
        <x:f>SUM('Commission Calc'!$E$5:$E$16)</x:f>
        <x:v>955000</x:v>
      </x:c>
      <x:c r="D11" s="191" t="n">
        <x:f>C11-B11</x:f>
        <x:v>0</x:v>
      </x:c>
      <x:c r="E11" s="156" t="str">
        <x:f>IF(ABS(D11)&lt;0.01,"PASS","FAIL")</x:f>
        <x:v>PASS</x:v>
      </x:c>
      <x:c r="F11" s="159" t="str">
        <x:v>Rep Master</x:v>
      </x:c>
    </x:row>
    <x:row r="12">
      <x:c r="A12" s="141" t="str">
        <x:v>Payout reconciliation</x:v>
      </x:c>
      <x:c r="B12" s="191" t="n">
        <x:v>34682.81</x:v>
      </x:c>
      <x:c r="C12" s="191" t="n">
        <x:f>SUM('Commission Calc'!$P$5:$P$16)</x:f>
        <x:v>34682.8126</x:v>
      </x:c>
      <x:c r="D12" s="191" t="n">
        <x:f>C12-B12</x:f>
        <x:v>0.002599999999802094</x:v>
      </x:c>
      <x:c r="E12" s="156" t="str">
        <x:f>IF(ABS(D12)&lt;0.01,"PASS","FAIL")</x:f>
        <x:v>PASS</x:v>
      </x:c>
      <x:c r="F12" s="159" t="str">
        <x:v>Commission Calc</x:v>
      </x:c>
    </x:row>
    <x:row r="13">
      <x:c r="A13" s="141" t="str">
        <x:v>Accelerator rep count</x:v>
      </x:c>
      <x:c r="B13" s="191" t="n">
        <x:v>5</x:v>
      </x:c>
      <x:c r="C13" s="191" t="n">
        <x:f>COUNTIF('Commission Calc'!$J$5:$J$16,"&gt;=1")</x:f>
        <x:v>5</x:v>
      </x:c>
      <x:c r="D13" s="191" t="n">
        <x:f>C13-B13</x:f>
        <x:v>0</x:v>
      </x:c>
      <x:c r="E13" s="156" t="str">
        <x:f>IF(ABS(D13)&lt;0.01,"PASS","FAIL")</x:f>
        <x:v>PASS</x:v>
      </x:c>
      <x:c r="F13" s="159" t="str">
        <x:v>Commission Calc</x:v>
      </x:c>
    </x:row>
    <x:row r="14">
      <x:c r="A14" s="147" t="str">
        <x:v>Invalid credit percentages</x:v>
      </x:c>
      <x:c r="B14" s="192" t="n">
        <x:v>0</x:v>
      </x:c>
      <x:c r="C14" s="192" t="n">
        <x:f>COUNTIF('Sales Inputs'!$K$5:$K$244,"&gt;1")+COUNTIF('Sales Inputs'!$K$5:$K$244,"&lt;=0")</x:f>
        <x:v>0</x:v>
      </x:c>
      <x:c r="D14" s="192" t="n">
        <x:f>C14-B14</x:f>
        <x:v>0</x:v>
      </x:c>
      <x:c r="E14" s="160" t="str">
        <x:f>IF(ABS(D14)&lt;0.01,"PASS","FAIL")</x:f>
        <x:v>PASS</x:v>
      </x:c>
      <x:c r="F14" s="163" t="str">
        <x:v>Sales Inputs</x:v>
      </x:c>
    </x:row>
    <x:row r="15">
      <x:c r="A15" s="121"/>
      <x:c r="B15" s="121"/>
      <x:c r="C15" s="121"/>
      <x:c r="D15" s="121"/>
      <x:c r="E15" s="121"/>
      <x:c r="F15" s="121"/>
    </x:row>
    <x:row r="16">
      <x:c r="A16" s="193" t="str">
        <x:v>MODEL STATUS</x:v>
      </x:c>
      <x:c r="B16" s="194" t="str">
        <x:f>IF(COUNTIF(E5:E14,"FAIL")=0,"PASS","FAIL")</x:f>
        <x:v>PASS</x:v>
      </x:c>
      <x:c r="C16" s="121"/>
      <x:c r="D16" s="121"/>
      <x:c r="E16" s="121"/>
      <x:c r="F16" s="121"/>
    </x:row>
    <x:row r="17">
      <x:c r="A17" s="195" t="str">
        <x:v>Passed controls</x:v>
      </x:c>
      <x:c r="B17" s="196" t="str">
        <x:f>COUNTIF(E5:E14,"PASS")&amp;" / 10"</x:f>
        <x:v>10 / 10</x:v>
      </x:c>
      <x:c r="C17" s="121"/>
      <x:c r="D17" s="121"/>
      <x:c r="E17" s="121"/>
      <x:c r="F17" s="121"/>
    </x:row>
  </x:sheetData>
  <x:mergeCells>
    <x:mergeCell ref="A1:F1"/>
    <x:mergeCell ref="A2:F2"/>
  </x:mergeCells>
  <x:conditionalFormatting sqref="E5:E14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