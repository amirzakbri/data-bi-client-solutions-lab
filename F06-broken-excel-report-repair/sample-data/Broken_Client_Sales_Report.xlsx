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c4e57c8ff342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Data" sheetId="1" r:id="R1f24265b6c0b4dd2"/>
    <x:sheet xmlns:r="http://schemas.openxmlformats.org/officeDocument/2006/relationships" name="Summary" sheetId="2" r:id="R5a06d0128bca427c"/>
    <x:sheet xmlns:r="http://schemas.openxmlformats.org/officeDocument/2006/relationships" name="Product Lookup" sheetId="3" r:id="R9a918c2d55db49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&quot;$&quot;#,##0.00"/>
    <x:numFmt numFmtId="203" formatCode="0.0%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C84C4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DECEC"/>
      </x:patternFill>
    </x:fill>
  </x:fills>
  <x:borders count="13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17324D"/>
      </x:left>
      <x:right style="thin">
        <x:color rgb="FFE6EBF0"/>
      </x:right>
      <x:top style="thin">
        <x:color rgb="FF17324D"/>
      </x:top>
      <x:bottom style="thin">
        <x:color rgb="FFE6EBF0"/>
      </x:bottom>
    </x:border>
    <x:border>
      <x:left style="thin">
        <x:color rgb="FFE6EBF0"/>
      </x:left>
      <x:right style="thin">
        <x:color rgb="FFE6EBF0"/>
      </x:right>
      <x:top style="thin">
        <x:color rgb="FF17324D"/>
      </x:top>
      <x:bottom style="thin">
        <x:color rgb="FFE6EBF0"/>
      </x:bottom>
    </x:border>
    <x:border>
      <x:left style="thin">
        <x:color rgb="FFE6EBF0"/>
      </x:left>
      <x:top style="thin">
        <x:color rgb="FF17324D"/>
      </x:top>
      <x:bottom style="thin">
        <x:color rgb="FFE6EBF0"/>
      </x:bottom>
    </x:border>
    <x:border>
      <x:left style="thin">
        <x:color rgb="FF17324D"/>
      </x:left>
      <x:right style="thin">
        <x:color rgb="FFE6EBF0"/>
      </x:right>
      <x:top style="thin">
        <x:color rgb="FFE6EBF0"/>
      </x:top>
      <x:bottom style="thin">
        <x:color rgb="FFE6EBF0"/>
      </x:bottom>
    </x:border>
    <x:border>
      <x:left style="thin">
        <x:color rgb="FFE6EBF0"/>
      </x:left>
      <x:right style="thin">
        <x:color rgb="FFE6EBF0"/>
      </x:right>
      <x:top style="thin">
        <x:color rgb="FFE6EBF0"/>
      </x:top>
      <x:bottom style="thin">
        <x:color rgb="FFE6EBF0"/>
      </x:bottom>
    </x:border>
    <x:border>
      <x:left style="thin">
        <x:color rgb="FFE6EBF0"/>
      </x:left>
      <x:top style="thin">
        <x:color rgb="FFE6EBF0"/>
      </x:top>
      <x:bottom style="thin">
        <x:color rgb="FFE6EBF0"/>
      </x:bottom>
    </x:border>
    <x:border>
      <x:left style="thin">
        <x:color rgb="FF17324D"/>
      </x:left>
      <x:right style="thin">
        <x:color rgb="FFE6EBF0"/>
      </x:right>
      <x:top style="thin">
        <x:color rgb="FFE6EBF0"/>
      </x:top>
      <x:bottom style="thin">
        <x:color rgb="FF17324D"/>
      </x:bottom>
    </x:border>
    <x:border>
      <x:left style="thin">
        <x:color rgb="FFE6EBF0"/>
      </x:left>
      <x:right style="thin">
        <x:color rgb="FFE6EBF0"/>
      </x:right>
      <x:top style="thin">
        <x:color rgb="FFE6EBF0"/>
      </x:top>
      <x:bottom style="thin">
        <x:color rgb="FF17324D"/>
      </x:bottom>
    </x:border>
    <x:border>
      <x:left style="thin">
        <x:color rgb="FFE6EBF0"/>
      </x:left>
      <x:top style="thin">
        <x:color rgb="FFE6EBF0"/>
      </x:top>
      <x:bottom style="thin">
        <x:color rgb="FF17324D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202" fontId="0" fillId="0" borderId="9" xfId="0" applyNumberFormat="1" applyFont="1" applyFill="1" applyBorder="1"/>
    <x:xf numFmtId="0" fontId="0" fillId="0" borderId="10" xfId="0" applyNumberFormat="1" applyFont="1" applyFill="1" applyBorder="1"/>
    <x:xf numFmtId="200" fontId="0" fillId="0" borderId="11" xfId="0" applyNumberFormat="1" applyFont="1" applyFill="1" applyBorder="1"/>
    <x:xf numFmtId="0" fontId="0" fillId="0" borderId="11" xfId="0" applyNumberFormat="1" applyFont="1" applyFill="1" applyBorder="1"/>
    <x:xf numFmtId="201" fontId="0" fillId="0" borderId="11" xfId="0" applyNumberFormat="1" applyFont="1" applyFill="1" applyBorder="1"/>
    <x:xf numFmtId="202" fontId="0" fillId="0" borderId="11" xfId="0" applyNumberFormat="1" applyFont="1" applyFill="1" applyBorder="1"/>
    <x:xf numFmtId="203" fontId="0" fillId="0" borderId="11" xfId="0" applyNumberFormat="1" applyFont="1" applyFill="1" applyBorder="1"/>
    <x:xf numFmtId="202" fontId="0" fillId="0" borderId="12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a42288fb244abf" /><Relationship Type="http://schemas.openxmlformats.org/officeDocument/2006/relationships/theme" Target="/xl/theme/theme1.xml" Id="R137cbf271c424519" /><Relationship Type="http://schemas.openxmlformats.org/officeDocument/2006/relationships/sharedStrings" Target="/xl/sharedStrings.xml" Id="R9b39a98fffc8421c" /><Relationship Type="http://schemas.openxmlformats.org/officeDocument/2006/relationships/worksheet" Target="/xl/worksheets/sheet1.xml" Id="R1f24265b6c0b4dd2" /><Relationship Type="http://schemas.openxmlformats.org/officeDocument/2006/relationships/worksheet" Target="/xl/worksheets/sheet2.xml" Id="R5a06d0128bca427c" /><Relationship Type="http://schemas.openxmlformats.org/officeDocument/2006/relationships/worksheet" Target="/xl/worksheets/sheet3.xml" Id="R9a918c2d55db493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c3bb8704c134aa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Trend (wrong range)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Jan</c:v>
          </c:tx>
          <c:marker>
            <c:symbol val="none"/>
          </c:marker>
          <c:cat>
            <c:strRef>
              <c:f>'Summary'!$A$12</c:f>
              <c:strCache>
                <c:ptCount val="0"/>
              </c:strCache>
            </c:strRef>
          </c:cat>
          <c:val>
            <c:numRef>
              <c:f>'Summary'!$B$12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Feb</c:v>
          </c:tx>
          <c:marker>
            <c:symbol val="none"/>
          </c:marker>
          <c:cat>
            <c:strRef>
              <c:f>'Summary'!$A$12</c:f>
              <c:strCache>
                <c:ptCount val="0"/>
              </c:strCache>
            </c:strRef>
          </c:cat>
          <c:val>
            <c:numRef>
              <c:f>'Summary'!$C$12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Mar</c:v>
          </c:tx>
          <c:marker>
            <c:symbol val="none"/>
          </c:marker>
          <c:cat>
            <c:strRef>
              <c:f>'Summary'!$A$12</c:f>
              <c:strCache>
                <c:ptCount val="0"/>
              </c:strCache>
            </c:strRef>
          </c:cat>
          <c:val>
            <c:numRef>
              <c:f>'Summary'!$D$12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Apr</c:v>
          </c:tx>
          <c:marker>
            <c:symbol val="none"/>
          </c:marker>
          <c:cat>
            <c:strRef>
              <c:f>'Summary'!$A$12</c:f>
              <c:strCache>
                <c:ptCount val="0"/>
              </c:strCache>
            </c:strRef>
          </c:cat>
          <c:val>
            <c:numRef>
              <c:f>'Summary'!$E$12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3bb8704c134aa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b8d1ef229d341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1" hidden="0" customWidth="1"/>
    <x:col min="4" max="4" width="18" hidden="0" customWidth="1"/>
    <x:col min="5" max="5" width="12" hidden="0" customWidth="1"/>
    <x:col min="6" max="6" width="22" hidden="0" customWidth="1"/>
    <x:col min="7" max="7" width="15" hidden="0" customWidth="1"/>
    <x:col min="8" max="8" width="10" hidden="0" customWidth="1"/>
    <x:col min="9" max="9" width="12" hidden="0" customWidth="1"/>
    <x:col min="10" max="10" width="11" hidden="0" customWidth="1"/>
    <x:col min="11" max="11" width="14" hidden="0" customWidth="1"/>
  </x:cols>
  <x:sheetData>
    <x:row r="1">
      <x:c r="A1" s="3" t="str">
        <x:v>BROKEN CLIENT SALES REPORT — ORIGINAL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21" t="str">
        <x:v>Order ID</x:v>
      </x:c>
      <x:c r="B3" s="22" t="str">
        <x:v>Order Date</x:v>
      </x:c>
      <x:c r="C3" s="22" t="str">
        <x:v>Region</x:v>
      </x:c>
      <x:c r="D3" s="22" t="str">
        <x:v>Sales Rep</x:v>
      </x:c>
      <x:c r="E3" s="22" t="str">
        <x:v>Product ID</x:v>
      </x:c>
      <x:c r="F3" s="22" t="str">
        <x:v>Product</x:v>
      </x:c>
      <x:c r="G3" s="22" t="str">
        <x:v>Category</x:v>
      </x:c>
      <x:c r="H3" s="22" t="str">
        <x:v>Quantity</x:v>
      </x:c>
      <x:c r="I3" s="22" t="str">
        <x:v>Unit Price</x:v>
      </x:c>
      <x:c r="J3" s="22" t="str">
        <x:v>Discount</x:v>
      </x:c>
      <x:c r="K3" s="23" t="str">
        <x:v>Net Sales</x:v>
      </x:c>
    </x:row>
    <x:row r="4">
      <x:c r="A4" s="24" t="str">
        <x:v>ORD-1001</x:v>
      </x:c>
      <x:c r="B4" s="25" t="n">
        <x:v>46023</x:v>
      </x:c>
      <x:c r="C4" s="26" t="str">
        <x:v>North</x:v>
      </x:c>
      <x:c r="D4" s="26" t="str">
        <x:v>Daniel Reed</x:v>
      </x:c>
      <x:c r="E4" s="26" t="str">
        <x:v>P-104</x:v>
      </x:c>
      <x:c r="F4" s="26" t="str">
        <x:v>Paper Cup Pack</x:v>
      </x:c>
      <x:c r="G4" s="26" t="str">
        <x:v>Supplies</x:v>
      </x:c>
      <x:c r="H4" s="27" t="n">
        <x:v>1</x:v>
      </x:c>
      <x:c r="I4" s="28" t="n">
        <x:v>38</x:v>
      </x:c>
      <x:c r="J4" s="29" t="n">
        <x:v>0</x:v>
      </x:c>
      <x:c r="K4" s="30" t="n">
        <x:f>H4*I4*(1-J4)</x:f>
        <x:v>38</x:v>
      </x:c>
    </x:row>
    <x:row r="5">
      <x:c r="A5" s="24" t="str">
        <x:v>ORD-1002</x:v>
      </x:c>
      <x:c r="B5" s="25" t="n">
        <x:v>46065</x:v>
      </x:c>
      <x:c r="C5" s="26" t="str">
        <x:v>West</x:v>
      </x:c>
      <x:c r="D5" s="26" t="str">
        <x:v>Omar Haddad</x:v>
      </x:c>
      <x:c r="E5" s="26" t="str">
        <x:v>P-103</x:v>
      </x:c>
      <x:c r="F5" s="26" t="str">
        <x:v>Premium Beans 5kg</x:v>
      </x:c>
      <x:c r="G5" s="26" t="str">
        <x:v>Supplies</x:v>
      </x:c>
      <x:c r="H5" s="27" t="n">
        <x:v>8</x:v>
      </x:c>
      <x:c r="I5" s="28" t="n">
        <x:v>92</x:v>
      </x:c>
      <x:c r="J5" s="29" t="n">
        <x:v>0.1</x:v>
      </x:c>
      <x:c r="K5" s="30" t="n">
        <x:f>H5*I5*(1-J5)</x:f>
        <x:v>662.4</x:v>
      </x:c>
    </x:row>
    <x:row r="6">
      <x:c r="A6" s="24" t="str">
        <x:v>ORD-1003</x:v>
      </x:c>
      <x:c r="B6" s="25" t="n">
        <x:v>46104</x:v>
      </x:c>
      <x:c r="C6" s="26" t="str">
        <x:v>East</x:v>
      </x:c>
      <x:c r="D6" s="26" t="str">
        <x:v>Aylin Kaya</x:v>
      </x:c>
      <x:c r="E6" s="26" t="str">
        <x:v>P-102</x:v>
      </x:c>
      <x:c r="F6" s="26" t="str">
        <x:v>Coffee Grinder</x:v>
      </x:c>
      <x:c r="G6" s="26" t="str">
        <x:v>Equipment</x:v>
      </x:c>
      <x:c r="H6" s="27" t="n">
        <x:v>7</x:v>
      </x:c>
      <x:c r="I6" s="28" t="n">
        <x:v>185</x:v>
      </x:c>
      <x:c r="J6" s="29" t="n">
        <x:v>0</x:v>
      </x:c>
      <x:c r="K6" s="30" t="n">
        <x:f>H6*I6*(1-J6)</x:f>
        <x:v>1295</x:v>
      </x:c>
    </x:row>
    <x:row r="7">
      <x:c r="A7" s="24" t="str">
        <x:v>ORD-1004</x:v>
      </x:c>
      <x:c r="B7" s="25" t="n">
        <x:v>46119</x:v>
      </x:c>
      <x:c r="C7" s="26" t="str">
        <x:v>South</x:v>
      </x:c>
      <x:c r="D7" s="26" t="str">
        <x:v>Maya Chen</x:v>
      </x:c>
      <x:c r="E7" s="26" t="str">
        <x:v>P-101</x:v>
      </x:c>
      <x:c r="F7" s="26" t="str">
        <x:v>Espresso Machine</x:v>
      </x:c>
      <x:c r="G7" s="26" t="str">
        <x:v>Equipment</x:v>
      </x:c>
      <x:c r="H7" s="27" t="n">
        <x:v>6</x:v>
      </x:c>
      <x:c r="I7" s="28" t="n">
        <x:v>420</x:v>
      </x:c>
      <x:c r="J7" s="29" t="n">
        <x:v>0.15</x:v>
      </x:c>
      <x:c r="K7" s="30" t="n">
        <x:f>H7*I7*(1-J7)</x:f>
        <x:v>2142</x:v>
      </x:c>
    </x:row>
    <x:row r="8">
      <x:c r="A8" s="24" t="str">
        <x:v>ORD-1005</x:v>
      </x:c>
      <x:c r="B8" s="25" t="n">
        <x:v>46160</x:v>
      </x:c>
      <x:c r="C8" s="26" t="str">
        <x:v>North</x:v>
      </x:c>
      <x:c r="D8" s="26" t="str">
        <x:v>Sofia Rossi</x:v>
      </x:c>
      <x:c r="E8" s="26" t="str">
        <x:v>P-106</x:v>
      </x:c>
      <x:c r="F8" s="26" t="str">
        <x:v>Milk Frother</x:v>
      </x:c>
      <x:c r="G8" s="26" t="str">
        <x:v>Equipment</x:v>
      </x:c>
      <x:c r="H8" s="27" t="n">
        <x:v>5</x:v>
      </x:c>
      <x:c r="I8" s="28" t="n">
        <x:v>74</x:v>
      </x:c>
      <x:c r="J8" s="29" t="n">
        <x:v>0.05</x:v>
      </x:c>
      <x:c r="K8" s="30" t="n">
        <x:f>H8*I8*(1-J8)</x:f>
        <x:v>351.5</x:v>
      </x:c>
    </x:row>
    <x:row r="9">
      <x:c r="A9" s="24" t="str">
        <x:v>ORD-1006</x:v>
      </x:c>
      <x:c r="B9" s="25" t="n">
        <x:v>46175</x:v>
      </x:c>
      <x:c r="C9" s="26" t="str">
        <x:v>West</x:v>
      </x:c>
      <x:c r="D9" s="26" t="str">
        <x:v>Daniel Reed</x:v>
      </x:c>
      <x:c r="E9" s="26" t="str">
        <x:v>P-105</x:v>
      </x:c>
      <x:c r="F9" s="26" t="str">
        <x:v>POS Tablet</x:v>
      </x:c>
      <x:c r="G9" s="26" t="str">
        <x:v>Technology</x:v>
      </x:c>
      <x:c r="H9" s="27" t="n">
        <x:v>4</x:v>
      </x:c>
      <x:c r="I9" s="28" t="n">
        <x:v>310</x:v>
      </x:c>
      <x:c r="J9" s="29" t="n">
        <x:v>0</x:v>
      </x:c>
      <x:c r="K9" s="30" t="n">
        <x:f>H9*I9*(1-J9)</x:f>
        <x:v>1240</x:v>
      </x:c>
    </x:row>
    <x:row r="10">
      <x:c r="A10" s="24" t="str">
        <x:v>ORD-1007</x:v>
      </x:c>
      <x:c r="B10" s="25" t="n">
        <x:v>46035</x:v>
      </x:c>
      <x:c r="C10" s="26" t="str">
        <x:v>East</x:v>
      </x:c>
      <x:c r="D10" s="26" t="str">
        <x:v>Omar Haddad</x:v>
      </x:c>
      <x:c r="E10" s="26" t="str">
        <x:v>P-104</x:v>
      </x:c>
      <x:c r="F10" s="26" t="str">
        <x:v>Paper Cup Pack</x:v>
      </x:c>
      <x:c r="G10" s="26" t="str">
        <x:v>Supplies</x:v>
      </x:c>
      <x:c r="H10" s="27" t="n">
        <x:v>3</x:v>
      </x:c>
      <x:c r="I10" s="28" t="n">
        <x:v>38</x:v>
      </x:c>
      <x:c r="J10" s="29" t="n">
        <x:v>0.1</x:v>
      </x:c>
      <x:c r="K10" s="30" t="n">
        <x:f>H10*I10*(1-J10)</x:f>
        <x:v>102.60000000000001</x:v>
      </x:c>
    </x:row>
    <x:row r="11">
      <x:c r="A11" s="24" t="str">
        <x:v>ORD-1008</x:v>
      </x:c>
      <x:c r="B11" s="25" t="n">
        <x:v>46077</x:v>
      </x:c>
      <x:c r="C11" s="26" t="str">
        <x:v>South</x:v>
      </x:c>
      <x:c r="D11" s="26" t="str">
        <x:v>Aylin Kaya</x:v>
      </x:c>
      <x:c r="E11" s="26" t="str">
        <x:v>P-103</x:v>
      </x:c>
      <x:c r="F11" s="26" t="str">
        <x:v>Premium Beans 5kg</x:v>
      </x:c>
      <x:c r="G11" s="26" t="str">
        <x:v>Supplies</x:v>
      </x:c>
      <x:c r="H11" s="27" t="n">
        <x:v>2</x:v>
      </x:c>
      <x:c r="I11" s="28" t="n">
        <x:v>92</x:v>
      </x:c>
      <x:c r="J11" s="29" t="n">
        <x:v>0</x:v>
      </x:c>
      <x:c r="K11" s="30" t="n">
        <x:f>H11*I11*(1-J11)</x:f>
        <x:v>184</x:v>
      </x:c>
    </x:row>
    <x:row r="12">
      <x:c r="A12" s="24" t="str">
        <x:v>ORD-1009</x:v>
      </x:c>
      <x:c r="B12" s="25" t="n">
        <x:v>46089</x:v>
      </x:c>
      <x:c r="C12" s="26" t="str">
        <x:v>North</x:v>
      </x:c>
      <x:c r="D12" s="26" t="str">
        <x:v>Maya Chen</x:v>
      </x:c>
      <x:c r="E12" s="26" t="str">
        <x:v>P-102</x:v>
      </x:c>
      <x:c r="F12" s="26" t="str">
        <x:v>Coffee Grinder</x:v>
      </x:c>
      <x:c r="G12" s="26" t="str">
        <x:v>Equipment</x:v>
      </x:c>
      <x:c r="H12" s="27" t="n">
        <x:v>1</x:v>
      </x:c>
      <x:c r="I12" s="28" t="n">
        <x:v>185</x:v>
      </x:c>
      <x:c r="J12" s="29" t="n">
        <x:v>0.15</x:v>
      </x:c>
      <x:c r="K12" s="30" t="n">
        <x:f>H12*I12*(1-J12)</x:f>
        <x:v>157.25</x:v>
      </x:c>
    </x:row>
    <x:row r="13">
      <x:c r="A13" s="24" t="str">
        <x:v>ORD-1010</x:v>
      </x:c>
      <x:c r="B13" s="25" t="n">
        <x:v>46131</x:v>
      </x:c>
      <x:c r="C13" s="26" t="str">
        <x:v>West</x:v>
      </x:c>
      <x:c r="D13" s="26" t="str">
        <x:v>Sofia Rossi</x:v>
      </x:c>
      <x:c r="E13" s="26" t="str">
        <x:v>P-101</x:v>
      </x:c>
      <x:c r="F13" s="26" t="str">
        <x:v>Espresso Machine</x:v>
      </x:c>
      <x:c r="G13" s="26" t="str">
        <x:v>Equipment</x:v>
      </x:c>
      <x:c r="H13" s="27" t="n">
        <x:v>8</x:v>
      </x:c>
      <x:c r="I13" s="28" t="n">
        <x:v>420</x:v>
      </x:c>
      <x:c r="J13" s="29" t="n">
        <x:v>0.05</x:v>
      </x:c>
      <x:c r="K13" s="30" t="n">
        <x:f>H13*I13*(1-J13)</x:f>
        <x:v>3192</x:v>
      </x:c>
    </x:row>
    <x:row r="14">
      <x:c r="A14" s="24" t="str">
        <x:v>ORD-1011</x:v>
      </x:c>
      <x:c r="B14" s="25" t="n">
        <x:v>46145</x:v>
      </x:c>
      <x:c r="C14" s="26" t="str">
        <x:v>East</x:v>
      </x:c>
      <x:c r="D14" s="26" t="str">
        <x:v>Daniel Reed</x:v>
      </x:c>
      <x:c r="E14" s="26" t="str">
        <x:v>P-106</x:v>
      </x:c>
      <x:c r="F14" s="26" t="str">
        <x:v>Milk Frother</x:v>
      </x:c>
      <x:c r="G14" s="26" t="str">
        <x:v>Equipment</x:v>
      </x:c>
      <x:c r="H14" s="27" t="n">
        <x:v>7</x:v>
      </x:c>
      <x:c r="I14" s="28" t="n">
        <x:v>74</x:v>
      </x:c>
      <x:c r="J14" s="29" t="n">
        <x:v>0</x:v>
      </x:c>
      <x:c r="K14" s="30" t="n">
        <x:f>H14*I14*(1-J14)</x:f>
        <x:v>518</x:v>
      </x:c>
    </x:row>
    <x:row r="15">
      <x:c r="A15" s="24" t="str">
        <x:v>ORD-1012</x:v>
      </x:c>
      <x:c r="B15" s="25" t="n">
        <x:v>46187</x:v>
      </x:c>
      <x:c r="C15" s="26" t="str">
        <x:v>South</x:v>
      </x:c>
      <x:c r="D15" s="26" t="str">
        <x:v>Omar Haddad</x:v>
      </x:c>
      <x:c r="E15" s="26" t="str">
        <x:v>P-105</x:v>
      </x:c>
      <x:c r="F15" s="26" t="str">
        <x:v>POS Tablet</x:v>
      </x:c>
      <x:c r="G15" s="26" t="str">
        <x:v>Technology</x:v>
      </x:c>
      <x:c r="H15" s="27" t="n">
        <x:v>6</x:v>
      </x:c>
      <x:c r="I15" s="28" t="n">
        <x:v>310</x:v>
      </x:c>
      <x:c r="J15" s="29" t="n">
        <x:v>0.1</x:v>
      </x:c>
      <x:c r="K15" s="30" t="n">
        <x:f>H15*I15*(1-J15)</x:f>
        <x:v>1674</x:v>
      </x:c>
    </x:row>
    <x:row r="16">
      <x:c r="A16" s="24" t="str">
        <x:v>ORD-1013</x:v>
      </x:c>
      <x:c r="B16" s="25" t="n">
        <x:v>46047</x:v>
      </x:c>
      <x:c r="C16" s="26" t="str">
        <x:v>North</x:v>
      </x:c>
      <x:c r="D16" s="26" t="str">
        <x:v>Aylin Kaya</x:v>
      </x:c>
      <x:c r="E16" s="26" t="str">
        <x:v>P-104</x:v>
      </x:c>
      <x:c r="F16" s="26" t="str">
        <x:v>Paper Cup Pack</x:v>
      </x:c>
      <x:c r="G16" s="26" t="str">
        <x:v>Supplies</x:v>
      </x:c>
      <x:c r="H16" s="27" t="n">
        <x:v>5</x:v>
      </x:c>
      <x:c r="I16" s="28" t="n">
        <x:v>38</x:v>
      </x:c>
      <x:c r="J16" s="29" t="n">
        <x:v>0</x:v>
      </x:c>
      <x:c r="K16" s="30" t="n">
        <x:f>H16*I16*(1-J16)</x:f>
        <x:v>190</x:v>
      </x:c>
    </x:row>
    <x:row r="17">
      <x:c r="A17" s="24" t="str">
        <x:v>ORD-1014</x:v>
      </x:c>
      <x:c r="B17" s="25" t="n">
        <x:v>46062</x:v>
      </x:c>
      <x:c r="C17" s="26" t="str">
        <x:v>West</x:v>
      </x:c>
      <x:c r="D17" s="26" t="str">
        <x:v>Maya Chen</x:v>
      </x:c>
      <x:c r="E17" s="26" t="str">
        <x:v>P-103</x:v>
      </x:c>
      <x:c r="F17" s="26" t="str">
        <x:v>Premium Beans 5kg</x:v>
      </x:c>
      <x:c r="G17" s="26" t="str">
        <x:v>Supplies</x:v>
      </x:c>
      <x:c r="H17" s="27" t="n">
        <x:v>4</x:v>
      </x:c>
      <x:c r="I17" s="28" t="n">
        <x:v>92</x:v>
      </x:c>
      <x:c r="J17" s="29" t="n">
        <x:v>0.15</x:v>
      </x:c>
      <x:c r="K17" s="30" t="n">
        <x:f>H17*I17*(1-J17)</x:f>
        <x:v>312.8</x:v>
      </x:c>
    </x:row>
    <x:row r="18">
      <x:c r="A18" s="24" t="str">
        <x:v>ORD-1015</x:v>
      </x:c>
      <x:c r="B18" s="25" t="n">
        <x:v>46101</x:v>
      </x:c>
      <x:c r="C18" s="26" t="str">
        <x:v>East</x:v>
      </x:c>
      <x:c r="D18" s="26" t="str">
        <x:v>Sofia Rossi</x:v>
      </x:c>
      <x:c r="E18" s="26" t="str">
        <x:v>P-102</x:v>
      </x:c>
      <x:c r="F18" s="26" t="str">
        <x:v>Coffee Grinder</x:v>
      </x:c>
      <x:c r="G18" s="26" t="str">
        <x:v>Equipment</x:v>
      </x:c>
      <x:c r="H18" s="27" t="n">
        <x:v>3</x:v>
      </x:c>
      <x:c r="I18" s="28" t="n">
        <x:v>185</x:v>
      </x:c>
      <x:c r="J18" s="29" t="n">
        <x:v>0.05</x:v>
      </x:c>
      <x:c r="K18" s="30" t="n">
        <x:f>H18*I18*(1-J18)</x:f>
        <x:v>527.25</x:v>
      </x:c>
    </x:row>
    <x:row r="19">
      <x:c r="A19" s="24" t="str">
        <x:v>ORD-1016</x:v>
      </x:c>
      <x:c r="B19" s="25" t="n">
        <x:v>46116</x:v>
      </x:c>
      <x:c r="C19" s="26" t="str">
        <x:v>South</x:v>
      </x:c>
      <x:c r="D19" s="26" t="str">
        <x:v>Daniel Reed</x:v>
      </x:c>
      <x:c r="E19" s="26" t="str">
        <x:v>P-101</x:v>
      </x:c>
      <x:c r="F19" s="26" t="str">
        <x:v>Espresso Machine</x:v>
      </x:c>
      <x:c r="G19" s="26" t="str">
        <x:v>Equipment</x:v>
      </x:c>
      <x:c r="H19" s="27" t="n">
        <x:v>2</x:v>
      </x:c>
      <x:c r="I19" s="28" t="n">
        <x:v>420</x:v>
      </x:c>
      <x:c r="J19" s="29" t="n">
        <x:v>0</x:v>
      </x:c>
      <x:c r="K19" s="30" t="n">
        <x:f>H19*I19*(1-J19)</x:f>
        <x:v>840</x:v>
      </x:c>
    </x:row>
    <x:row r="20">
      <x:c r="A20" s="24" t="str">
        <x:v>ORD-1017</x:v>
      </x:c>
      <x:c r="B20" s="25" t="n">
        <x:v>46157</x:v>
      </x:c>
      <x:c r="C20" s="26" t="str">
        <x:v>North</x:v>
      </x:c>
      <x:c r="D20" s="26" t="str">
        <x:v>Omar Haddad</x:v>
      </x:c>
      <x:c r="E20" s="26" t="str">
        <x:v>P-106</x:v>
      </x:c>
      <x:c r="F20" s="26" t="str">
        <x:v>Milk Frother</x:v>
      </x:c>
      <x:c r="G20" s="26" t="str">
        <x:v>Equipment</x:v>
      </x:c>
      <x:c r="H20" s="27" t="n">
        <x:v>1</x:v>
      </x:c>
      <x:c r="I20" s="28" t="n">
        <x:v>74</x:v>
      </x:c>
      <x:c r="J20" s="29" t="n">
        <x:v>0.1</x:v>
      </x:c>
      <x:c r="K20" s="30" t="n">
        <x:f>H20*I20*(1-J20)</x:f>
        <x:v>66.60000000000001</x:v>
      </x:c>
    </x:row>
    <x:row r="21">
      <x:c r="A21" s="24" t="str">
        <x:v>ORD-1018</x:v>
      </x:c>
      <x:c r="B21" s="25" t="n">
        <x:v>46199</x:v>
      </x:c>
      <x:c r="C21" s="26" t="str">
        <x:v>West</x:v>
      </x:c>
      <x:c r="D21" s="26" t="str">
        <x:v>Aylin Kaya</x:v>
      </x:c>
      <x:c r="E21" s="26" t="str">
        <x:v>P-105</x:v>
      </x:c>
      <x:c r="F21" s="26" t="str">
        <x:v>POS Tablet</x:v>
      </x:c>
      <x:c r="G21" s="26" t="str">
        <x:v>Technology</x:v>
      </x:c>
      <x:c r="H21" s="27" t="n">
        <x:v>8</x:v>
      </x:c>
      <x:c r="I21" s="28" t="n">
        <x:v>310</x:v>
      </x:c>
      <x:c r="J21" s="29" t="n">
        <x:v>0</x:v>
      </x:c>
      <x:c r="K21" s="30" t="n">
        <x:f>H21*I21*(1-J21)</x:f>
        <x:v>2480</x:v>
      </x:c>
    </x:row>
    <x:row r="22">
      <x:c r="A22" s="24" t="str">
        <x:v>ORD-1019</x:v>
      </x:c>
      <x:c r="B22" s="25" t="n">
        <x:v>46032</x:v>
      </x:c>
      <x:c r="C22" s="26" t="str">
        <x:v>East</x:v>
      </x:c>
      <x:c r="D22" s="26" t="str">
        <x:v>Maya Chen</x:v>
      </x:c>
      <x:c r="E22" s="26" t="str">
        <x:v>P-104</x:v>
      </x:c>
      <x:c r="F22" s="26" t="str">
        <x:v>Paper Cup Pack</x:v>
      </x:c>
      <x:c r="G22" s="26" t="str">
        <x:v>Supplies</x:v>
      </x:c>
      <x:c r="H22" s="27" t="n">
        <x:v>7</x:v>
      </x:c>
      <x:c r="I22" s="28" t="n">
        <x:v>38</x:v>
      </x:c>
      <x:c r="J22" s="29" t="n">
        <x:v>0.15</x:v>
      </x:c>
      <x:c r="K22" s="30" t="n">
        <x:f>H22*I22*(1-J22)</x:f>
        <x:v>226.1</x:v>
      </x:c>
    </x:row>
    <x:row r="23">
      <x:c r="A23" s="24" t="str">
        <x:v>ORD-1020</x:v>
      </x:c>
      <x:c r="B23" s="25" t="str">
        <x:v>02/31/2026</x:v>
      </x:c>
      <x:c r="C23" s="26" t="str">
        <x:v>South</x:v>
      </x:c>
      <x:c r="D23" s="26" t="str">
        <x:v>Sofia Rossi</x:v>
      </x:c>
      <x:c r="E23" s="26" t="str">
        <x:v>P-103</x:v>
      </x:c>
      <x:c r="F23" s="26" t="str">
        <x:v>Premium Beans 5kg</x:v>
      </x:c>
      <x:c r="G23" s="26" t="str">
        <x:v>Supplies</x:v>
      </x:c>
      <x:c r="H23" s="27" t="n">
        <x:v>6</x:v>
      </x:c>
      <x:c r="I23" s="28" t="n">
        <x:v>92</x:v>
      </x:c>
      <x:c r="J23" s="29" t="n">
        <x:v>0.05</x:v>
      </x:c>
      <x:c r="K23" s="30" t="n">
        <x:f>H23*I23*(1-J23)</x:f>
        <x:v>524.4</x:v>
      </x:c>
    </x:row>
    <x:row r="24">
      <x:c r="A24" s="24" t="str">
        <x:v>ORD-1021</x:v>
      </x:c>
      <x:c r="B24" s="25" t="n">
        <x:v>46086</x:v>
      </x:c>
      <x:c r="C24" s="26" t="str">
        <x:v>North</x:v>
      </x:c>
      <x:c r="D24" s="26" t="str">
        <x:v>Daniel Reed</x:v>
      </x:c>
      <x:c r="E24" s="26" t="str">
        <x:v>P-102</x:v>
      </x:c>
      <x:c r="F24" s="26" t="str">
        <x:v>Coffee Grinder</x:v>
      </x:c>
      <x:c r="G24" s="26" t="str">
        <x:v>Equipment</x:v>
      </x:c>
      <x:c r="H24" s="27" t="n">
        <x:v>5</x:v>
      </x:c>
      <x:c r="I24" s="28" t="n">
        <x:v>185</x:v>
      </x:c>
      <x:c r="J24" s="29" t="n">
        <x:v>0</x:v>
      </x:c>
      <x:c r="K24" s="30" t="e">
        <x:f>#REF!*I24</x:f>
        <x:v>#REF!</x:v>
      </x:c>
    </x:row>
    <x:row r="25">
      <x:c r="A25" s="24" t="str">
        <x:v>ORD-1022</x:v>
      </x:c>
      <x:c r="B25" s="25" t="n">
        <x:v>46128</x:v>
      </x:c>
      <x:c r="C25" s="26" t="str">
        <x:v>West</x:v>
      </x:c>
      <x:c r="D25" s="26" t="str">
        <x:v>Omar Haddad</x:v>
      </x:c>
      <x:c r="E25" s="26" t="str">
        <x:v>P-101</x:v>
      </x:c>
      <x:c r="F25" s="26" t="str">
        <x:v>Espresso Machine</x:v>
      </x:c>
      <x:c r="G25" s="26" t="str">
        <x:v>Equipment</x:v>
      </x:c>
      <x:c r="H25" s="27" t="n">
        <x:v>4</x:v>
      </x:c>
      <x:c r="I25" s="28" t="n">
        <x:v>420</x:v>
      </x:c>
      <x:c r="J25" s="29" t="n">
        <x:v>0.1</x:v>
      </x:c>
      <x:c r="K25" s="30" t="n">
        <x:f>H25*I25*(1-J25)</x:f>
        <x:v>1512</x:v>
      </x:c>
    </x:row>
    <x:row r="26">
      <x:c r="A26" s="24" t="str">
        <x:v>ORD-1023</x:v>
      </x:c>
      <x:c r="B26" s="25" t="n">
        <x:v>46169</x:v>
      </x:c>
      <x:c r="C26" s="26" t="str">
        <x:v>East</x:v>
      </x:c>
      <x:c r="D26" s="26" t="str">
        <x:v>Aylin Kaya</x:v>
      </x:c>
      <x:c r="E26" s="26" t="str">
        <x:v>P-106</x:v>
      </x:c>
      <x:c r="F26" s="26" t="str">
        <x:v>Milk Frother</x:v>
      </x:c>
      <x:c r="G26" s="26" t="str">
        <x:v>Equipment</x:v>
      </x:c>
      <x:c r="H26" s="27" t="n">
        <x:v>3</x:v>
      </x:c>
      <x:c r="I26" s="28" t="n">
        <x:v>74</x:v>
      </x:c>
      <x:c r="J26" s="29" t="n">
        <x:v>0</x:v>
      </x:c>
      <x:c r="K26" s="30" t="n">
        <x:f>H26*I26*(1-J26)</x:f>
        <x:v>222</x:v>
      </x:c>
    </x:row>
    <x:row r="27">
      <x:c r="A27" s="24" t="str">
        <x:v>ORD-1024</x:v>
      </x:c>
      <x:c r="B27" s="25" t="n">
        <x:v>46184</x:v>
      </x:c>
      <x:c r="C27" s="26" t="str">
        <x:v>South</x:v>
      </x:c>
      <x:c r="D27" s="26" t="str">
        <x:v>Maya Chen</x:v>
      </x:c>
      <x:c r="E27" s="26" t="str">
        <x:v>P-105</x:v>
      </x:c>
      <x:c r="F27" s="26" t="str">
        <x:v>POS Tablet</x:v>
      </x:c>
      <x:c r="G27" s="26" t="str">
        <x:v>Technology</x:v>
      </x:c>
      <x:c r="H27" s="27" t="n">
        <x:v>2</x:v>
      </x:c>
      <x:c r="I27" s="28" t="n">
        <x:v>310</x:v>
      </x:c>
      <x:c r="J27" s="29" t="n">
        <x:v>0.15</x:v>
      </x:c>
      <x:c r="K27" s="30" t="n">
        <x:f>H27*I27*(1-J27)</x:f>
        <x:v>527</x:v>
      </x:c>
    </x:row>
    <x:row r="28">
      <x:c r="A28" s="24" t="str">
        <x:v>ORD-1025</x:v>
      </x:c>
      <x:c r="B28" s="25" t="n">
        <x:v>46044</x:v>
      </x:c>
      <x:c r="C28" s="26" t="str">
        <x:v>North</x:v>
      </x:c>
      <x:c r="D28" s="26" t="str">
        <x:v>Sofia Rossi</x:v>
      </x:c>
      <x:c r="E28" s="26" t="str">
        <x:v>P-104</x:v>
      </x:c>
      <x:c r="F28" s="26" t="str">
        <x:v>Paper Cup Pack</x:v>
      </x:c>
      <x:c r="G28" s="26" t="str">
        <x:v>Supplies</x:v>
      </x:c>
      <x:c r="H28" s="27" t="n">
        <x:v>1</x:v>
      </x:c>
      <x:c r="I28" s="28" t="n">
        <x:v>38</x:v>
      </x:c>
      <x:c r="J28" s="29" t="n">
        <x:v>0.05</x:v>
      </x:c>
      <x:c r="K28" s="30" t="n">
        <x:f>H28*I28*(1-J28)</x:f>
        <x:v>36.1</x:v>
      </x:c>
    </x:row>
    <x:row r="29">
      <x:c r="A29" s="24" t="str">
        <x:v>ORD-1026</x:v>
      </x:c>
      <x:c r="B29" s="25" t="n">
        <x:v>46059</x:v>
      </x:c>
      <x:c r="C29" s="26" t="str">
        <x:v>West</x:v>
      </x:c>
      <x:c r="D29" s="26" t="str">
        <x:v>Daniel Reed</x:v>
      </x:c>
      <x:c r="E29" s="26" t="str">
        <x:v>P-103</x:v>
      </x:c>
      <x:c r="F29" s="26" t="str">
        <x:v>Premium Beans 5kg</x:v>
      </x:c>
      <x:c r="G29" s="26" t="str">
        <x:v>Supplies</x:v>
      </x:c>
      <x:c r="H29" s="27" t="n">
        <x:v>8</x:v>
      </x:c>
      <x:c r="I29" s="28" t="n">
        <x:v>92</x:v>
      </x:c>
      <x:c r="J29" s="29" t="n">
        <x:v>0</x:v>
      </x:c>
      <x:c r="K29" s="30" t="n">
        <x:f>H29*I29*(1-J29)</x:f>
        <x:v>736</x:v>
      </x:c>
    </x:row>
    <x:row r="30">
      <x:c r="A30" s="24" t="str">
        <x:v>ORD-1027</x:v>
      </x:c>
      <x:c r="B30" s="25" t="n">
        <x:v>46098</x:v>
      </x:c>
      <x:c r="C30" s="26" t="str">
        <x:v>East</x:v>
      </x:c>
      <x:c r="D30" s="26" t="str">
        <x:v>Omar Haddad</x:v>
      </x:c>
      <x:c r="E30" s="26" t="str">
        <x:v>P-102</x:v>
      </x:c>
      <x:c r="F30" s="26" t="str">
        <x:v>Coffee Grinder</x:v>
      </x:c>
      <x:c r="G30" s="26" t="str">
        <x:v>Equipment</x:v>
      </x:c>
      <x:c r="H30" s="27" t="n">
        <x:v>7</x:v>
      </x:c>
      <x:c r="I30" s="28" t="n">
        <x:v>185</x:v>
      </x:c>
      <x:c r="J30" s="29" t="n">
        <x:v>0.1</x:v>
      </x:c>
      <x:c r="K30" s="30" t="n">
        <x:f>H30*I30*(1-J30)</x:f>
        <x:v>1165.5</x:v>
      </x:c>
    </x:row>
    <x:row r="31">
      <x:c r="A31" s="24" t="str">
        <x:v>ORD-1028</x:v>
      </x:c>
      <x:c r="B31" s="25" t="n">
        <x:v>46113</x:v>
      </x:c>
      <x:c r="C31" s="26" t="str">
        <x:v>South</x:v>
      </x:c>
      <x:c r="D31" s="26" t="str">
        <x:v>Aylin Kaya</x:v>
      </x:c>
      <x:c r="E31" s="26" t="str">
        <x:v>P-101</x:v>
      </x:c>
      <x:c r="F31" s="26" t="str">
        <x:v>Espresso Machine</x:v>
      </x:c>
      <x:c r="G31" s="26" t="str">
        <x:v>Equipment</x:v>
      </x:c>
      <x:c r="H31" s="27" t="n">
        <x:v>6</x:v>
      </x:c>
      <x:c r="I31" s="28" t="n">
        <x:v>420</x:v>
      </x:c>
      <x:c r="J31" s="29" t="n">
        <x:v>0</x:v>
      </x:c>
      <x:c r="K31" s="30" t="n">
        <x:f>H31*I31*(1-J31)</x:f>
        <x:v>2520</x:v>
      </x:c>
    </x:row>
    <x:row r="32">
      <x:c r="A32" s="24" t="str">
        <x:v>ORD-1029</x:v>
      </x:c>
      <x:c r="B32" s="25" t="n">
        <x:v>46154</x:v>
      </x:c>
      <x:c r="C32" s="26" t="str">
        <x:v>North</x:v>
      </x:c>
      <x:c r="D32" s="26" t="str">
        <x:v>Maya Chen</x:v>
      </x:c>
      <x:c r="E32" s="26" t="str">
        <x:v>P-106</x:v>
      </x:c>
      <x:c r="F32" s="26" t="str">
        <x:v>Milk Frother</x:v>
      </x:c>
      <x:c r="G32" s="26" t="str">
        <x:v>Equipment</x:v>
      </x:c>
      <x:c r="H32" s="27" t="n">
        <x:v>5</x:v>
      </x:c>
      <x:c r="I32" s="28" t="n">
        <x:v>74</x:v>
      </x:c>
      <x:c r="J32" s="29" t="n">
        <x:v>0.15</x:v>
      </x:c>
      <x:c r="K32" s="30" t="n">
        <x:f>H32*I32*(1-J32)</x:f>
        <x:v>314.5</x:v>
      </x:c>
    </x:row>
    <x:row r="33">
      <x:c r="A33" s="24" t="str">
        <x:v>ORD-1030</x:v>
      </x:c>
      <x:c r="B33" s="25" t="n">
        <x:v>46196</x:v>
      </x:c>
      <x:c r="C33" s="26" t="str">
        <x:v>West</x:v>
      </x:c>
      <x:c r="D33" s="26" t="str">
        <x:v>Sofia Rossi</x:v>
      </x:c>
      <x:c r="E33" s="26" t="str">
        <x:v>P-105</x:v>
      </x:c>
      <x:c r="F33" s="26" t="str">
        <x:v>POS Tablet</x:v>
      </x:c>
      <x:c r="G33" s="26" t="str">
        <x:v>Technology</x:v>
      </x:c>
      <x:c r="H33" s="27" t="n">
        <x:v>4</x:v>
      </x:c>
      <x:c r="I33" s="28" t="n">
        <x:v>310</x:v>
      </x:c>
      <x:c r="J33" s="29" t="n">
        <x:v>0.05</x:v>
      </x:c>
      <x:c r="K33" s="30" t="n">
        <x:f>H33*I33*(1-J33)</x:f>
        <x:v>1178</x:v>
      </x:c>
    </x:row>
    <x:row r="34">
      <x:c r="A34" s="24" t="str">
        <x:v>ORD-1031</x:v>
      </x:c>
      <x:c r="B34" s="25" t="n">
        <x:v>46029</x:v>
      </x:c>
      <x:c r="C34" s="26" t="str">
        <x:v>East</x:v>
      </x:c>
      <x:c r="D34" s="26" t="str">
        <x:v>Daniel Reed</x:v>
      </x:c>
      <x:c r="E34" s="26" t="str">
        <x:v>P-104</x:v>
      </x:c>
      <x:c r="F34" s="26" t="str">
        <x:v>Paper Cup Pack</x:v>
      </x:c>
      <x:c r="G34" s="26" t="str">
        <x:v>Supplies</x:v>
      </x:c>
      <x:c r="H34" s="27" t="n">
        <x:v>3</x:v>
      </x:c>
      <x:c r="I34" s="28" t="n">
        <x:v>38</x:v>
      </x:c>
      <x:c r="J34" s="29" t="n">
        <x:v>0</x:v>
      </x:c>
      <x:c r="K34" s="30" t="n">
        <x:f>H34*I34*(1-J34)</x:f>
        <x:v>114</x:v>
      </x:c>
    </x:row>
    <x:row r="35">
      <x:c r="A35" s="24" t="str">
        <x:v>ORD-1032</x:v>
      </x:c>
      <x:c r="B35" s="25" t="n">
        <x:v>46071</x:v>
      </x:c>
      <x:c r="C35" s="26" t="str">
        <x:v>NORTH </x:v>
      </x:c>
      <x:c r="D35" s="26" t="str">
        <x:v>Omar Haddad</x:v>
      </x:c>
      <x:c r="E35" s="26" t="str">
        <x:v>P-103</x:v>
      </x:c>
      <x:c r="F35" s="26" t="str">
        <x:v>Premium Beans 5kg</x:v>
      </x:c>
      <x:c r="G35" s="26" t="str">
        <x:v>Supplies</x:v>
      </x:c>
      <x:c r="H35" s="27" t="n">
        <x:v>2</x:v>
      </x:c>
      <x:c r="I35" s="28" t="n">
        <x:v>92</x:v>
      </x:c>
      <x:c r="J35" s="29" t="n">
        <x:v>0.1</x:v>
      </x:c>
      <x:c r="K35" s="30" t="n">
        <x:f>H35*I35*(1-J35)</x:f>
        <x:v>165.6</x:v>
      </x:c>
    </x:row>
    <x:row r="36">
      <x:c r="A36" s="24" t="str">
        <x:v>ORD-1033</x:v>
      </x:c>
      <x:c r="B36" s="25" t="n">
        <x:v>46083</x:v>
      </x:c>
      <x:c r="C36" s="26" t="str">
        <x:v>North</x:v>
      </x:c>
      <x:c r="D36" s="26" t="str">
        <x:v>Aylin Kaya</x:v>
      </x:c>
      <x:c r="E36" s="26" t="str">
        <x:v>P-102</x:v>
      </x:c>
      <x:c r="F36" s="26" t="str">
        <x:v>Coffee Grinder</x:v>
      </x:c>
      <x:c r="G36" s="26" t="str">
        <x:v>Equipment</x:v>
      </x:c>
      <x:c r="H36" s="27" t="n">
        <x:v>1</x:v>
      </x:c>
      <x:c r="I36" s="28" t="n">
        <x:v>185</x:v>
      </x:c>
      <x:c r="J36" s="29" t="n">
        <x:v>0</x:v>
      </x:c>
      <x:c r="K36" s="30" t="n">
        <x:f>H36*I36*(1-J36)</x:f>
        <x:v>185</x:v>
      </x:c>
    </x:row>
    <x:row r="37">
      <x:c r="A37" s="24" t="str">
        <x:v>ORD-1034</x:v>
      </x:c>
      <x:c r="B37" s="25" t="n">
        <x:v>46125</x:v>
      </x:c>
      <x:c r="C37" s="26" t="str">
        <x:v>West</x:v>
      </x:c>
      <x:c r="D37" s="26" t="str">
        <x:v>Maya Chen</x:v>
      </x:c>
      <x:c r="E37" s="26" t="str">
        <x:v>P-101</x:v>
      </x:c>
      <x:c r="F37" s="26" t="str">
        <x:v>Espresso Machine</x:v>
      </x:c>
      <x:c r="G37" s="26" t="str">
        <x:v>Equipment</x:v>
      </x:c>
      <x:c r="H37" s="27" t="n">
        <x:v>8</x:v>
      </x:c>
      <x:c r="I37" s="28" t="n">
        <x:v>420</x:v>
      </x:c>
      <x:c r="J37" s="29" t="n">
        <x:v>0.15</x:v>
      </x:c>
      <x:c r="K37" s="30" t="n">
        <x:f>H37*I37*(1-J37)</x:f>
        <x:v>2856</x:v>
      </x:c>
    </x:row>
    <x:row r="38">
      <x:c r="A38" s="24" t="str">
        <x:v>ORD-1035</x:v>
      </x:c>
      <x:c r="B38" s="25" t="n">
        <x:v>46166</x:v>
      </x:c>
      <x:c r="C38" s="26" t="str">
        <x:v>East</x:v>
      </x:c>
      <x:c r="D38" s="26" t="str">
        <x:v>Sofia Rossi</x:v>
      </x:c>
      <x:c r="E38" s="26" t="str">
        <x:v>P-106</x:v>
      </x:c>
      <x:c r="F38" s="26" t="str">
        <x:v>Milk Frother</x:v>
      </x:c>
      <x:c r="G38" s="26" t="str">
        <x:v>Equipment</x:v>
      </x:c>
      <x:c r="H38" s="27" t="n">
        <x:v>7</x:v>
      </x:c>
      <x:c r="I38" s="28" t="n">
        <x:v>74</x:v>
      </x:c>
      <x:c r="J38" s="29" t="n">
        <x:v>0.05</x:v>
      </x:c>
      <x:c r="K38" s="30" t="n">
        <x:f>H38*I38*(1-J38)</x:f>
        <x:v>492.09999999999997</x:v>
      </x:c>
    </x:row>
    <x:row r="39">
      <x:c r="A39" s="24" t="str">
        <x:v>ORD-1036</x:v>
      </x:c>
      <x:c r="B39" s="25" t="n">
        <x:v>46181</x:v>
      </x:c>
      <x:c r="C39" s="26" t="str">
        <x:v>South</x:v>
      </x:c>
      <x:c r="D39" s="26" t="str">
        <x:v>Daniel Reed</x:v>
      </x:c>
      <x:c r="E39" s="26" t="str">
        <x:v>P-105</x:v>
      </x:c>
      <x:c r="F39" s="26" t="str">
        <x:v>POS Tablet</x:v>
      </x:c>
      <x:c r="G39" s="26" t="str">
        <x:v>Technology</x:v>
      </x:c>
      <x:c r="H39" s="27" t="n">
        <x:v>6</x:v>
      </x:c>
      <x:c r="I39" s="28" t="n">
        <x:v>310</x:v>
      </x:c>
      <x:c r="J39" s="29" t="n">
        <x:v>0</x:v>
      </x:c>
      <x:c r="K39" s="30" t="n">
        <x:f>H39*I39*(1-J39)</x:f>
        <x:v>1860</x:v>
      </x:c>
    </x:row>
    <x:row r="40">
      <x:c r="A40" s="24" t="str">
        <x:v>ORD-1037</x:v>
      </x:c>
      <x:c r="B40" s="25" t="n">
        <x:v>46041</x:v>
      </x:c>
      <x:c r="C40" s="26" t="str">
        <x:v>North</x:v>
      </x:c>
      <x:c r="D40" s="26" t="str">
        <x:v>Omar Haddad</x:v>
      </x:c>
      <x:c r="E40" s="26" t="str">
        <x:v>P-104</x:v>
      </x:c>
      <x:c r="F40" s="26" t="str">
        <x:v>Paper Cup Pack</x:v>
      </x:c>
      <x:c r="G40" s="26" t="str">
        <x:v>Supplies</x:v>
      </x:c>
      <x:c r="H40" s="27" t="n">
        <x:v>5</x:v>
      </x:c>
      <x:c r="I40" s="28" t="n">
        <x:v>38</x:v>
      </x:c>
      <x:c r="J40" s="29" t="n">
        <x:v>0.1</x:v>
      </x:c>
      <x:c r="K40" s="30" t="n">
        <x:f>H40*I40*(1-J40)</x:f>
        <x:v>171</x:v>
      </x:c>
    </x:row>
    <x:row r="41">
      <x:c r="A41" s="24" t="str">
        <x:v>ORD-1038</x:v>
      </x:c>
      <x:c r="B41" s="25" t="n">
        <x:v>46056</x:v>
      </x:c>
      <x:c r="C41" s="26" t="str">
        <x:v>West</x:v>
      </x:c>
      <x:c r="D41" s="26" t="str">
        <x:v>Aylin Kaya</x:v>
      </x:c>
      <x:c r="E41" s="26" t="str">
        <x:v>P-103</x:v>
      </x:c>
      <x:c r="F41" s="26" t="str">
        <x:v>Premium Beans 5kg</x:v>
      </x:c>
      <x:c r="G41" s="26" t="str">
        <x:v>Supplies</x:v>
      </x:c>
      <x:c r="H41" s="27" t="n">
        <x:v>4</x:v>
      </x:c>
      <x:c r="I41" s="28" t="n">
        <x:v>92</x:v>
      </x:c>
      <x:c r="J41" s="29" t="n">
        <x:v>0</x:v>
      </x:c>
      <x:c r="K41" s="30" t="n">
        <x:f>H41*I41*(1-J41)</x:f>
        <x:v>368</x:v>
      </x:c>
    </x:row>
    <x:row r="42">
      <x:c r="A42" s="24" t="str">
        <x:v>ORD-1039</x:v>
      </x:c>
      <x:c r="B42" s="25" t="n">
        <x:v>46095</x:v>
      </x:c>
      <x:c r="C42" s="26" t="str">
        <x:v>East</x:v>
      </x:c>
      <x:c r="D42" s="26" t="str">
        <x:v>Maya Chen</x:v>
      </x:c>
      <x:c r="E42" s="26" t="str">
        <x:v>P-102</x:v>
      </x:c>
      <x:c r="F42" s="26" t="str">
        <x:v>Coffee Grinder</x:v>
      </x:c>
      <x:c r="G42" s="26" t="str">
        <x:v>Equipment</x:v>
      </x:c>
      <x:c r="H42" s="27" t="n">
        <x:v>3</x:v>
      </x:c>
      <x:c r="I42" s="28" t="n">
        <x:v>185</x:v>
      </x:c>
      <x:c r="J42" s="29" t="n">
        <x:v>0.15</x:v>
      </x:c>
      <x:c r="K42" s="30" t="n">
        <x:f>H42*I42*(1-J42)</x:f>
        <x:v>471.75</x:v>
      </x:c>
    </x:row>
    <x:row r="43">
      <x:c r="A43" s="24" t="str">
        <x:v>ORD-1040</x:v>
      </x:c>
      <x:c r="B43" s="25" t="n">
        <x:v>46137</x:v>
      </x:c>
      <x:c r="C43" s="26" t="str">
        <x:v>South</x:v>
      </x:c>
      <x:c r="D43" s="26" t="str">
        <x:v>Sofia Rossi</x:v>
      </x:c>
      <x:c r="E43" s="26" t="str">
        <x:v>P-101</x:v>
      </x:c>
      <x:c r="F43" s="26" t="str">
        <x:v>Espresso Machine</x:v>
      </x:c>
      <x:c r="G43" s="26" t="str">
        <x:v>Equipment</x:v>
      </x:c>
      <x:c r="H43" s="27" t="n">
        <x:v>2</x:v>
      </x:c>
      <x:c r="I43" s="28" t="n">
        <x:v>420</x:v>
      </x:c>
      <x:c r="J43" s="29" t="n">
        <x:v>0.05</x:v>
      </x:c>
      <x:c r="K43" s="30" t="n">
        <x:f>H43*I43*(1-J43)</x:f>
        <x:v>798</x:v>
      </x:c>
    </x:row>
    <x:row r="44">
      <x:c r="A44" s="24" t="str">
        <x:v>ORD-1041</x:v>
      </x:c>
      <x:c r="B44" s="25" t="n">
        <x:v>46151</x:v>
      </x:c>
      <x:c r="C44" s="26" t="str">
        <x:v>North</x:v>
      </x:c>
      <x:c r="D44" s="26" t="str">
        <x:v>Daniel Reed</x:v>
      </x:c>
      <x:c r="E44" s="26" t="str">
        <x:v>P-106</x:v>
      </x:c>
      <x:c r="F44" s="26" t="str">
        <x:v>Milk Frother</x:v>
      </x:c>
      <x:c r="G44" s="26" t="str">
        <x:v>Equipment</x:v>
      </x:c>
      <x:c r="H44" s="27" t="n">
        <x:v>1</x:v>
      </x:c>
      <x:c r="I44" s="28" t="n">
        <x:v>74</x:v>
      </x:c>
      <x:c r="J44" s="29" t="n">
        <x:v>0</x:v>
      </x:c>
      <x:c r="K44" s="30" t="n">
        <x:f>H44*I44*(1-J44)</x:f>
        <x:v>74</x:v>
      </x:c>
    </x:row>
    <x:row r="45">
      <x:c r="A45" s="24" t="str">
        <x:v>ORD-1042</x:v>
      </x:c>
      <x:c r="B45" s="25" t="n">
        <x:v>46193</x:v>
      </x:c>
      <x:c r="C45" s="26" t="str">
        <x:v>West</x:v>
      </x:c>
      <x:c r="D45" s="26" t="str">
        <x:v>Omar Haddad</x:v>
      </x:c>
      <x:c r="E45" s="26" t="str">
        <x:v>P-105</x:v>
      </x:c>
      <x:c r="F45" s="26" t="str">
        <x:v>POS Tablet</x:v>
      </x:c>
      <x:c r="G45" s="26" t="str">
        <x:v>Technology</x:v>
      </x:c>
      <x:c r="H45" s="27" t="n">
        <x:v>8</x:v>
      </x:c>
      <x:c r="I45" s="28" t="n">
        <x:v>310</x:v>
      </x:c>
      <x:c r="J45" s="29" t="n">
        <x:v>0.1</x:v>
      </x:c>
      <x:c r="K45" s="30" t="n">
        <x:f>H45*I45*(1-J45)</x:f>
        <x:v>2232</x:v>
      </x:c>
    </x:row>
    <x:row r="46">
      <x:c r="A46" s="24" t="str">
        <x:v>ORD-1043</x:v>
      </x:c>
      <x:c r="B46" s="25" t="n">
        <x:v>46026</x:v>
      </x:c>
      <x:c r="C46" s="26" t="str">
        <x:v>East</x:v>
      </x:c>
      <x:c r="D46" s="26" t="str">
        <x:v>Aylin Kaya</x:v>
      </x:c>
      <x:c r="E46" s="26" t="str">
        <x:v>P-104</x:v>
      </x:c>
      <x:c r="F46" s="26" t="str">
        <x:v>Paper Cup Pack</x:v>
      </x:c>
      <x:c r="G46" s="26" t="str">
        <x:v>Supplies</x:v>
      </x:c>
      <x:c r="H46" s="27" t="n">
        <x:v>7</x:v>
      </x:c>
      <x:c r="I46" s="28" t="n">
        <x:v>38</x:v>
      </x:c>
      <x:c r="J46" s="29" t="n">
        <x:v>0</x:v>
      </x:c>
      <x:c r="K46" s="30" t="n">
        <x:f>H46*I46*(1-J46)</x:f>
        <x:v>266</x:v>
      </x:c>
    </x:row>
    <x:row r="47">
      <x:c r="A47" s="24" t="str">
        <x:v>ORD-1044</x:v>
      </x:c>
      <x:c r="B47" s="25" t="n">
        <x:v>46068</x:v>
      </x:c>
      <x:c r="C47" s="26" t="str">
        <x:v>South</x:v>
      </x:c>
      <x:c r="D47" s="26" t="str">
        <x:v>Maya Chen</x:v>
      </x:c>
      <x:c r="E47" s="26" t="str">
        <x:v>P-103</x:v>
      </x:c>
      <x:c r="F47" s="26" t="str">
        <x:v>Premium Beans 5kg</x:v>
      </x:c>
      <x:c r="G47" s="26" t="str">
        <x:v>Supplies</x:v>
      </x:c>
      <x:c r="H47" s="27" t="n">
        <x:v>6</x:v>
      </x:c>
      <x:c r="I47" s="28" t="n">
        <x:v>92</x:v>
      </x:c>
      <x:c r="J47" s="29" t="n">
        <x:v>0.15</x:v>
      </x:c>
      <x:c r="K47" s="30" t="n">
        <x:f>H47*I47*(1-J47)</x:f>
        <x:v>469.2</x:v>
      </x:c>
    </x:row>
    <x:row r="48">
      <x:c r="A48" s="24" t="str">
        <x:v>ORD-1045</x:v>
      </x:c>
      <x:c r="B48" s="25" t="n">
        <x:v>46107</x:v>
      </x:c>
      <x:c r="C48" s="26" t="str">
        <x:v>North</x:v>
      </x:c>
      <x:c r="D48" s="26" t="str">
        <x:v>Sofia Rossi</x:v>
      </x:c>
      <x:c r="E48" s="26" t="str">
        <x:v>P-102</x:v>
      </x:c>
      <x:c r="F48" s="26" t="str">
        <x:v>Coffee Grinder</x:v>
      </x:c>
      <x:c r="G48" s="26" t="str">
        <x:v>Equipment</x:v>
      </x:c>
      <x:c r="H48" s="27" t="n">
        <x:v>5</x:v>
      </x:c>
      <x:c r="I48" s="28" t="n">
        <x:v>185</x:v>
      </x:c>
      <x:c r="J48" s="29" t="n">
        <x:v>0.05</x:v>
      </x:c>
      <x:c r="K48" s="30" t="n">
        <x:f>H48*I48*(1-J48)</x:f>
        <x:v>878.75</x:v>
      </x:c>
    </x:row>
    <x:row r="49">
      <x:c r="A49" s="24" t="str">
        <x:v>ORD-1046</x:v>
      </x:c>
      <x:c r="B49" s="25" t="n">
        <x:v>46122</x:v>
      </x:c>
      <x:c r="C49" s="26" t="str">
        <x:v>West</x:v>
      </x:c>
      <x:c r="D49" s="26" t="str">
        <x:v>Daniel Reed</x:v>
      </x:c>
      <x:c r="E49" s="26" t="str">
        <x:v>P-101</x:v>
      </x:c>
      <x:c r="F49" s="26" t="str">
        <x:v>Espresso Machine</x:v>
      </x:c>
      <x:c r="G49" s="26" t="str">
        <x:v>Equipment</x:v>
      </x:c>
      <x:c r="H49" s="27" t="n">
        <x:v>4</x:v>
      </x:c>
      <x:c r="I49" s="28" t="n">
        <x:v>420</x:v>
      </x:c>
      <x:c r="J49" s="29" t="n">
        <x:v>0</x:v>
      </x:c>
      <x:c r="K49" s="30" t="n">
        <x:f>H49*I49*(1-J49)</x:f>
        <x:v>1680</x:v>
      </x:c>
    </x:row>
    <x:row r="50">
      <x:c r="A50" s="24" t="str">
        <x:v>ORD-1047</x:v>
      </x:c>
      <x:c r="B50" s="25" t="n">
        <x:v>46163</x:v>
      </x:c>
      <x:c r="C50" s="26" t="str">
        <x:v>East</x:v>
      </x:c>
      <x:c r="D50" s="26" t="str">
        <x:v>Omar Haddad</x:v>
      </x:c>
      <x:c r="E50" s="26" t="str">
        <x:v>P-106</x:v>
      </x:c>
      <x:c r="F50" s="26" t="str">
        <x:v>Milk Frother</x:v>
      </x:c>
      <x:c r="G50" s="26" t="str">
        <x:v>Equipment</x:v>
      </x:c>
      <x:c r="H50" s="27" t="n">
        <x:v>3</x:v>
      </x:c>
      <x:c r="I50" s="28" t="n">
        <x:v>74</x:v>
      </x:c>
      <x:c r="J50" s="29" t="n">
        <x:v>0.1</x:v>
      </x:c>
      <x:c r="K50" s="30" t="n">
        <x:f>H50*I50*(1-J50)</x:f>
        <x:v>199.8</x:v>
      </x:c>
    </x:row>
    <x:row r="51">
      <x:c r="A51" s="24" t="str">
        <x:v>ORD-1048</x:v>
      </x:c>
      <x:c r="B51" s="25" t="n">
        <x:v>46178</x:v>
      </x:c>
      <x:c r="C51" s="26" t="str">
        <x:v>South</x:v>
      </x:c>
      <x:c r="D51" s="26" t="str">
        <x:v>Aylin Kaya</x:v>
      </x:c>
      <x:c r="E51" s="26" t="str">
        <x:v>P-105</x:v>
      </x:c>
      <x:c r="F51" s="26" t="str">
        <x:v>POS Tablet</x:v>
      </x:c>
      <x:c r="G51" s="26" t="str">
        <x:v>Technology</x:v>
      </x:c>
      <x:c r="H51" s="27" t="n">
        <x:v>2</x:v>
      </x:c>
      <x:c r="I51" s="28" t="n">
        <x:v>310</x:v>
      </x:c>
      <x:c r="J51" s="29" t="n">
        <x:v>0</x:v>
      </x:c>
      <x:c r="K51" s="30" t="n">
        <x:f>H51*I51*(1-J51)</x:f>
        <x:v>620</x:v>
      </x:c>
    </x:row>
    <x:row r="52">
      <x:c r="A52" s="24" t="str">
        <x:v>ORD-1049</x:v>
      </x:c>
      <x:c r="B52" s="25" t="n">
        <x:v>46038</x:v>
      </x:c>
      <x:c r="C52" s="26" t="str">
        <x:v>North</x:v>
      </x:c>
      <x:c r="D52" s="26" t="str">
        <x:v>Maya Chen</x:v>
      </x:c>
      <x:c r="E52" s="26" t="str">
        <x:v>P-104</x:v>
      </x:c>
      <x:c r="F52" s="26" t="str">
        <x:v>Paper Cup Pack</x:v>
      </x:c>
      <x:c r="G52" s="26" t="str">
        <x:v>Supplies</x:v>
      </x:c>
      <x:c r="H52" s="27" t="n">
        <x:v>1</x:v>
      </x:c>
      <x:c r="I52" s="28" t="n">
        <x:v>38</x:v>
      </x:c>
      <x:c r="J52" s="29" t="n">
        <x:v>0.15</x:v>
      </x:c>
      <x:c r="K52" s="30" t="n">
        <x:f>H52*I52*(1-J52)</x:f>
        <x:v>32.3</x:v>
      </x:c>
    </x:row>
    <x:row r="53">
      <x:c r="A53" s="24" t="str">
        <x:v>ORD-1050</x:v>
      </x:c>
      <x:c r="B53" s="25" t="n">
        <x:v>46080</x:v>
      </x:c>
      <x:c r="C53" s="26" t="str">
        <x:v>West</x:v>
      </x:c>
      <x:c r="D53" s="26" t="str">
        <x:v>Sofia Rossi</x:v>
      </x:c>
      <x:c r="E53" s="26" t="str">
        <x:v>P-103</x:v>
      </x:c>
      <x:c r="F53" s="26" t="str">
        <x:v>Premium Beans 5kg</x:v>
      </x:c>
      <x:c r="G53" s="26" t="str">
        <x:v>Supplies</x:v>
      </x:c>
      <x:c r="H53" s="27" t="n">
        <x:v>8</x:v>
      </x:c>
      <x:c r="I53" s="28" t="n">
        <x:v>92</x:v>
      </x:c>
      <x:c r="J53" s="29" t="n">
        <x:v>0.05</x:v>
      </x:c>
      <x:c r="K53" s="30" t="n">
        <x:f>H53*I53*(1-J53)</x:f>
        <x:v>699.1999999999999</x:v>
      </x:c>
    </x:row>
    <x:row r="54">
      <x:c r="A54" s="24" t="str">
        <x:v>ORD-1051</x:v>
      </x:c>
      <x:c r="B54" s="25" t="n">
        <x:v>46092</x:v>
      </x:c>
      <x:c r="C54" s="26" t="str">
        <x:v>East</x:v>
      </x:c>
      <x:c r="D54" s="26" t="str">
        <x:v>Daniel Reed</x:v>
      </x:c>
      <x:c r="E54" s="26" t="str">
        <x:v>P-102</x:v>
      </x:c>
      <x:c r="F54" s="26" t="str">
        <x:v>Coffee Grinder</x:v>
      </x:c>
      <x:c r="G54" s="26" t="str">
        <x:v>Equipment</x:v>
      </x:c>
      <x:c r="H54" s="27" t="n">
        <x:v>7</x:v>
      </x:c>
      <x:c r="I54" s="28" t="n">
        <x:v>185</x:v>
      </x:c>
      <x:c r="J54" s="29" t="n">
        <x:v>0</x:v>
      </x:c>
      <x:c r="K54" s="30" t="n">
        <x:f>H54*I54*(1-J54)</x:f>
        <x:v>1295</x:v>
      </x:c>
    </x:row>
    <x:row r="55">
      <x:c r="A55" s="24" t="str">
        <x:v>ORD-1052</x:v>
      </x:c>
      <x:c r="B55" s="25" t="n">
        <x:v>46134</x:v>
      </x:c>
      <x:c r="C55" s="26" t="str">
        <x:v>South</x:v>
      </x:c>
      <x:c r="D55" s="26" t="str">
        <x:v>Omar Haddad</x:v>
      </x:c>
      <x:c r="E55" s="26" t="str">
        <x:v>P-101</x:v>
      </x:c>
      <x:c r="F55" s="26" t="str">
        <x:v>Espresso Machine</x:v>
      </x:c>
      <x:c r="G55" s="26" t="str">
        <x:v>Equipment</x:v>
      </x:c>
      <x:c r="H55" s="27" t="n">
        <x:v>6</x:v>
      </x:c>
      <x:c r="I55" s="28" t="n">
        <x:v>420</x:v>
      </x:c>
      <x:c r="J55" s="29" t="n">
        <x:v>0.1</x:v>
      </x:c>
      <x:c r="K55" s="30" t="n">
        <x:f>H55*I55*(1-J55)</x:f>
        <x:v>2268</x:v>
      </x:c>
    </x:row>
    <x:row r="56">
      <x:c r="A56" s="24" t="str">
        <x:v>ORD-1053</x:v>
      </x:c>
      <x:c r="B56" s="25" t="n">
        <x:v>46148</x:v>
      </x:c>
      <x:c r="C56" s="26" t="str">
        <x:v>North</x:v>
      </x:c>
      <x:c r="D56" s="26" t="str">
        <x:v>Aylin Kaya</x:v>
      </x:c>
      <x:c r="E56" s="26" t="str">
        <x:v>P-106</x:v>
      </x:c>
      <x:c r="F56" s="26" t="str">
        <x:v>Milk Frother</x:v>
      </x:c>
      <x:c r="G56" s="26" t="str">
        <x:v>Equipment</x:v>
      </x:c>
      <x:c r="H56" s="27" t="n">
        <x:v>5</x:v>
      </x:c>
      <x:c r="I56" s="28" t="n">
        <x:v>74</x:v>
      </x:c>
      <x:c r="J56" s="29" t="n">
        <x:v>0</x:v>
      </x:c>
      <x:c r="K56" s="30" t="n">
        <x:f>H56*I56*(1-J56)</x:f>
        <x:v>370</x:v>
      </x:c>
    </x:row>
    <x:row r="57">
      <x:c r="A57" s="24" t="str">
        <x:v>ORD-1054</x:v>
      </x:c>
      <x:c r="B57" s="25" t="n">
        <x:v>46190</x:v>
      </x:c>
      <x:c r="C57" s="26" t="str">
        <x:v>West</x:v>
      </x:c>
      <x:c r="D57" s="26" t="str">
        <x:v>Maya Chen</x:v>
      </x:c>
      <x:c r="E57" s="26" t="str">
        <x:v>P-105</x:v>
      </x:c>
      <x:c r="F57" s="26" t="str">
        <x:v>POS Tablet</x:v>
      </x:c>
      <x:c r="G57" s="26" t="str">
        <x:v>Technology</x:v>
      </x:c>
      <x:c r="H57" s="27" t="n">
        <x:v>4</x:v>
      </x:c>
      <x:c r="I57" s="28" t="n">
        <x:v>310</x:v>
      </x:c>
      <x:c r="J57" s="29" t="n">
        <x:v>0.15</x:v>
      </x:c>
      <x:c r="K57" s="30" t="n">
        <x:f>H57*I57*(1-J57)</x:f>
        <x:v>1054</x:v>
      </x:c>
    </x:row>
    <x:row r="58">
      <x:c r="A58" s="24" t="str">
        <x:v>ORD-1055</x:v>
      </x:c>
      <x:c r="B58" s="25" t="n">
        <x:v>46023</x:v>
      </x:c>
      <x:c r="C58" s="26" t="str">
        <x:v>East</x:v>
      </x:c>
      <x:c r="D58" s="26" t="str">
        <x:v>Sofia Rossi</x:v>
      </x:c>
      <x:c r="E58" s="26" t="str">
        <x:v>P-104</x:v>
      </x:c>
      <x:c r="F58" s="26" t="str">
        <x:v>Paper Cup Pack</x:v>
      </x:c>
      <x:c r="G58" s="26" t="str">
        <x:v>Supplies</x:v>
      </x:c>
      <x:c r="H58" s="27" t="n">
        <x:v>3</x:v>
      </x:c>
      <x:c r="I58" s="28" t="n">
        <x:v>38</x:v>
      </x:c>
      <x:c r="J58" s="29" t="n">
        <x:v>0.05</x:v>
      </x:c>
      <x:c r="K58" s="30" t="n">
        <x:f>H58*I58*(1-J58)</x:f>
        <x:v>108.3</x:v>
      </x:c>
    </x:row>
    <x:row r="59">
      <x:c r="A59" s="24" t="str">
        <x:v>ORD-1056</x:v>
      </x:c>
      <x:c r="B59" s="25" t="n">
        <x:v>46065</x:v>
      </x:c>
      <x:c r="C59" s="26" t="str">
        <x:v>South</x:v>
      </x:c>
      <x:c r="D59" s="26" t="str">
        <x:v>Daniel Reed</x:v>
      </x:c>
      <x:c r="E59" s="26" t="str">
        <x:v>P-999</x:v>
      </x:c>
      <x:c r="F59" s="26" t="str">
        <x:v>Premium Beans 5kg</x:v>
      </x:c>
      <x:c r="G59" s="26" t="str">
        <x:v>Supplies</x:v>
      </x:c>
      <x:c r="H59" s="27" t="n">
        <x:v>2</x:v>
      </x:c>
      <x:c r="I59" s="28" t="n">
        <x:v>92</x:v>
      </x:c>
      <x:c r="J59" s="29" t="n">
        <x:v>0</x:v>
      </x:c>
      <x:c r="K59" s="30" t="n">
        <x:f>H59*I59*(1-J59)</x:f>
        <x:v>184</x:v>
      </x:c>
    </x:row>
    <x:row r="60">
      <x:c r="A60" s="24" t="str">
        <x:v>ORD-1057</x:v>
      </x:c>
      <x:c r="B60" s="25" t="n">
        <x:v>46104</x:v>
      </x:c>
      <x:c r="C60" s="26" t="str">
        <x:v>North</x:v>
      </x:c>
      <x:c r="D60" s="26" t="str">
        <x:v>Omar Haddad</x:v>
      </x:c>
      <x:c r="E60" s="26" t="str">
        <x:v>P-102</x:v>
      </x:c>
      <x:c r="F60" s="26" t="str">
        <x:v>Coffee Grinder</x:v>
      </x:c>
      <x:c r="G60" s="26" t="str">
        <x:v>Equipment</x:v>
      </x:c>
      <x:c r="H60" s="27" t="n">
        <x:v>1</x:v>
      </x:c>
      <x:c r="I60" s="28" t="n">
        <x:v>185</x:v>
      </x:c>
      <x:c r="J60" s="29" t="n">
        <x:v>0.1</x:v>
      </x:c>
      <x:c r="K60" s="30" t="n">
        <x:f>H60*I60*(1-J60)</x:f>
        <x:v>166.5</x:v>
      </x:c>
    </x:row>
    <x:row r="61">
      <x:c r="A61" s="24" t="str">
        <x:v>ORD-1058</x:v>
      </x:c>
      <x:c r="B61" s="25" t="n">
        <x:v>46119</x:v>
      </x:c>
      <x:c r="C61" s="26" t="str">
        <x:v>West</x:v>
      </x:c>
      <x:c r="D61" s="26" t="str">
        <x:v>Aylin Kaya</x:v>
      </x:c>
      <x:c r="E61" s="26" t="str">
        <x:v>P-101</x:v>
      </x:c>
      <x:c r="F61" s="26" t="str">
        <x:v>Espresso Machine</x:v>
      </x:c>
      <x:c r="G61" s="26" t="str">
        <x:v>Equipment</x:v>
      </x:c>
      <x:c r="H61" s="27" t="n">
        <x:v>8</x:v>
      </x:c>
      <x:c r="I61" s="28" t="n">
        <x:v>420</x:v>
      </x:c>
      <x:c r="J61" s="29" t="n">
        <x:v>0</x:v>
      </x:c>
      <x:c r="K61" s="30" t="n">
        <x:v>9999</x:v>
      </x:c>
    </x:row>
    <x:row r="62">
      <x:c r="A62" s="24" t="str">
        <x:v>ORD-1059</x:v>
      </x:c>
      <x:c r="B62" s="25" t="n">
        <x:v>46160</x:v>
      </x:c>
      <x:c r="C62" s="26" t="str">
        <x:v>East</x:v>
      </x:c>
      <x:c r="D62" s="26" t="str">
        <x:v>Maya Chen</x:v>
      </x:c>
      <x:c r="E62" s="26" t="str">
        <x:v>P-106</x:v>
      </x:c>
      <x:c r="F62" s="26" t="str">
        <x:v>Milk Frother</x:v>
      </x:c>
      <x:c r="G62" s="26" t="str">
        <x:v>Equipment</x:v>
      </x:c>
      <x:c r="H62" s="27" t="n">
        <x:v>7</x:v>
      </x:c>
      <x:c r="I62" s="28" t="n">
        <x:v>74</x:v>
      </x:c>
      <x:c r="J62" s="29" t="n">
        <x:v>0.15</x:v>
      </x:c>
      <x:c r="K62" s="30" t="n">
        <x:f>H62*I62*(1-J62)</x:f>
        <x:v>440.3</x:v>
      </x:c>
    </x:row>
    <x:row r="63">
      <x:c r="A63" s="24" t="str">
        <x:v>ORD-1060</x:v>
      </x:c>
      <x:c r="B63" s="25" t="n">
        <x:v>46175</x:v>
      </x:c>
      <x:c r="C63" s="26" t="str">
        <x:v>South</x:v>
      </x:c>
      <x:c r="D63" s="26" t="str">
        <x:v>Sofia Rossi</x:v>
      </x:c>
      <x:c r="E63" s="26" t="str">
        <x:v>P-105</x:v>
      </x:c>
      <x:c r="F63" s="26" t="str">
        <x:v>POS Tablet</x:v>
      </x:c>
      <x:c r="G63" s="26" t="str">
        <x:v>Technology</x:v>
      </x:c>
      <x:c r="H63" s="27" t="n">
        <x:v>6</x:v>
      </x:c>
      <x:c r="I63" s="28" t="n">
        <x:v>310</x:v>
      </x:c>
      <x:c r="J63" s="29" t="n">
        <x:v>0.05</x:v>
      </x:c>
      <x:c r="K63" s="30" t="n">
        <x:f>H63*I63*(1-J63)</x:f>
        <x:v>1767</x:v>
      </x:c>
    </x:row>
    <x:row r="64">
      <x:c r="A64" s="24" t="str">
        <x:v>ORD-1061</x:v>
      </x:c>
      <x:c r="B64" s="25" t="n">
        <x:v>46035</x:v>
      </x:c>
      <x:c r="C64" s="26" t="str">
        <x:v>North</x:v>
      </x:c>
      <x:c r="D64" s="26" t="str">
        <x:v>Daniel Reed</x:v>
      </x:c>
      <x:c r="E64" s="26" t="str">
        <x:v>P-104</x:v>
      </x:c>
      <x:c r="F64" s="26" t="str">
        <x:v>Paper Cup Pack</x:v>
      </x:c>
      <x:c r="G64" s="26" t="str">
        <x:v>Supplies</x:v>
      </x:c>
      <x:c r="H64" s="27" t="n">
        <x:v>5</x:v>
      </x:c>
      <x:c r="I64" s="28" t="n">
        <x:v>38</x:v>
      </x:c>
      <x:c r="J64" s="29" t="n">
        <x:v>0</x:v>
      </x:c>
      <x:c r="K64" s="30" t="n">
        <x:f>H64*I64*(1-J64)</x:f>
        <x:v>190</x:v>
      </x:c>
    </x:row>
    <x:row r="65">
      <x:c r="A65" s="24" t="str">
        <x:v>ORD-1062</x:v>
      </x:c>
      <x:c r="B65" s="25" t="n">
        <x:v>46077</x:v>
      </x:c>
      <x:c r="C65" s="26" t="str">
        <x:v>West</x:v>
      </x:c>
      <x:c r="D65" s="26" t="str">
        <x:v>Omar Haddad</x:v>
      </x:c>
      <x:c r="E65" s="26" t="str">
        <x:v>P-103</x:v>
      </x:c>
      <x:c r="F65" s="26" t="str">
        <x:v>Premium Beans 5kg</x:v>
      </x:c>
      <x:c r="G65" s="26" t="str">
        <x:v>Supplies</x:v>
      </x:c>
      <x:c r="H65" s="27" t="n">
        <x:v>4</x:v>
      </x:c>
      <x:c r="I65" s="28" t="n">
        <x:v>92</x:v>
      </x:c>
      <x:c r="J65" s="29" t="n">
        <x:v>0.1</x:v>
      </x:c>
      <x:c r="K65" s="30" t="n">
        <x:f>H65*I65*(1-J65)</x:f>
        <x:v>331.2</x:v>
      </x:c>
    </x:row>
    <x:row r="66">
      <x:c r="A66" s="24" t="str">
        <x:v>ORD-1063</x:v>
      </x:c>
      <x:c r="B66" s="25" t="n">
        <x:v>46089</x:v>
      </x:c>
      <x:c r="C66" s="26" t="str">
        <x:v>East</x:v>
      </x:c>
      <x:c r="D66" s="26" t="str">
        <x:v>Aylin Kaya</x:v>
      </x:c>
      <x:c r="E66" s="26" t="str">
        <x:v>P-102</x:v>
      </x:c>
      <x:c r="F66" s="26" t="str">
        <x:v>Coffee Grinder</x:v>
      </x:c>
      <x:c r="G66" s="26" t="str">
        <x:v>Equipment</x:v>
      </x:c>
      <x:c r="H66" s="27" t="n">
        <x:v>3</x:v>
      </x:c>
      <x:c r="I66" s="28" t="n">
        <x:v>185</x:v>
      </x:c>
      <x:c r="J66" s="29" t="n">
        <x:v>0</x:v>
      </x:c>
      <x:c r="K66" s="30" t="n">
        <x:f>H66*I66*(1-J66)</x:f>
        <x:v>555</x:v>
      </x:c>
    </x:row>
    <x:row r="67">
      <x:c r="A67" s="24" t="str">
        <x:v>ORD-1064</x:v>
      </x:c>
      <x:c r="B67" s="25" t="n">
        <x:v>46131</x:v>
      </x:c>
      <x:c r="C67" s="26" t="str">
        <x:v>South</x:v>
      </x:c>
      <x:c r="D67" s="26" t="str">
        <x:v>Maya Chen</x:v>
      </x:c>
      <x:c r="E67" s="26" t="str">
        <x:v>P-101</x:v>
      </x:c>
      <x:c r="F67" s="26" t="str">
        <x:v>Espresso Machine</x:v>
      </x:c>
      <x:c r="G67" s="26" t="str">
        <x:v>Equipment</x:v>
      </x:c>
      <x:c r="H67" s="27" t="n">
        <x:v>2</x:v>
      </x:c>
      <x:c r="I67" s="28" t="n">
        <x:v>420</x:v>
      </x:c>
      <x:c r="J67" s="29" t="n">
        <x:v>0.15</x:v>
      </x:c>
      <x:c r="K67" s="30" t="n">
        <x:f>H67*I67*(1-J67)</x:f>
        <x:v>714</x:v>
      </x:c>
    </x:row>
    <x:row r="68">
      <x:c r="A68" s="24" t="str">
        <x:v>ORD-1065</x:v>
      </x:c>
      <x:c r="B68" s="25" t="n">
        <x:v>46145</x:v>
      </x:c>
      <x:c r="C68" s="26" t="str">
        <x:v>North</x:v>
      </x:c>
      <x:c r="D68" s="26" t="str">
        <x:v>Sofia Rossi</x:v>
      </x:c>
      <x:c r="E68" s="26" t="str">
        <x:v>P-106</x:v>
      </x:c>
      <x:c r="F68" s="26" t="str">
        <x:v>Milk Frother</x:v>
      </x:c>
      <x:c r="G68" s="26" t="str">
        <x:v>Equipment</x:v>
      </x:c>
      <x:c r="H68" s="27" t="n">
        <x:v>1</x:v>
      </x:c>
      <x:c r="I68" s="28" t="n">
        <x:v>74</x:v>
      </x:c>
      <x:c r="J68" s="29" t="n">
        <x:v>0.05</x:v>
      </x:c>
      <x:c r="K68" s="30" t="n">
        <x:f>H68*I68*(1-J68)</x:f>
        <x:v>70.3</x:v>
      </x:c>
    </x:row>
    <x:row r="69">
      <x:c r="A69" s="24" t="str">
        <x:v>ORD-1066</x:v>
      </x:c>
      <x:c r="B69" s="25" t="n">
        <x:v>46187</x:v>
      </x:c>
      <x:c r="C69" s="26" t="str">
        <x:v>West</x:v>
      </x:c>
      <x:c r="D69" s="26" t="str">
        <x:v>Daniel Reed</x:v>
      </x:c>
      <x:c r="E69" s="26" t="str">
        <x:v>P-105</x:v>
      </x:c>
      <x:c r="F69" s="26" t="str">
        <x:v>POS Tablet</x:v>
      </x:c>
      <x:c r="G69" s="26" t="str">
        <x:v>Technology</x:v>
      </x:c>
      <x:c r="H69" s="27" t="n">
        <x:v>8</x:v>
      </x:c>
      <x:c r="I69" s="28" t="n">
        <x:v>310</x:v>
      </x:c>
      <x:c r="J69" s="29" t="n">
        <x:v>0</x:v>
      </x:c>
      <x:c r="K69" s="30" t="n">
        <x:f>H69*I69*(1-J69)</x:f>
        <x:v>2480</x:v>
      </x:c>
    </x:row>
    <x:row r="70">
      <x:c r="A70" s="24" t="str">
        <x:v>ORD-1067</x:v>
      </x:c>
      <x:c r="B70" s="25" t="n">
        <x:v>46047</x:v>
      </x:c>
      <x:c r="C70" s="26" t="str">
        <x:v>East</x:v>
      </x:c>
      <x:c r="D70" s="26" t="str">
        <x:v>Omar Haddad</x:v>
      </x:c>
      <x:c r="E70" s="26" t="str">
        <x:v>P-104</x:v>
      </x:c>
      <x:c r="F70" s="26" t="str">
        <x:v>Paper Cup Pack</x:v>
      </x:c>
      <x:c r="G70" s="26" t="str">
        <x:v>Supplies</x:v>
      </x:c>
      <x:c r="H70" s="27" t="n">
        <x:v>7</x:v>
      </x:c>
      <x:c r="I70" s="28" t="n">
        <x:v>38</x:v>
      </x:c>
      <x:c r="J70" s="29" t="n">
        <x:v>0.1</x:v>
      </x:c>
      <x:c r="K70" s="30" t="n">
        <x:f>H70*I70*(1-J70)</x:f>
        <x:v>239.4</x:v>
      </x:c>
    </x:row>
    <x:row r="71">
      <x:c r="A71" s="24" t="str">
        <x:v>ORD-1068</x:v>
      </x:c>
      <x:c r="B71" s="25" t="n">
        <x:v>46062</x:v>
      </x:c>
      <x:c r="C71" s="26" t="str">
        <x:v>South</x:v>
      </x:c>
      <x:c r="D71" s="26" t="str">
        <x:v>Aylin Kaya</x:v>
      </x:c>
      <x:c r="E71" s="26" t="str">
        <x:v>P-103</x:v>
      </x:c>
      <x:c r="F71" s="26" t="str">
        <x:v>Premium Beans 5kg</x:v>
      </x:c>
      <x:c r="G71" s="26" t="str">
        <x:v>Supplies</x:v>
      </x:c>
      <x:c r="H71" s="27" t="n">
        <x:v>6</x:v>
      </x:c>
      <x:c r="I71" s="28" t="n">
        <x:v>92</x:v>
      </x:c>
      <x:c r="J71" s="29" t="n">
        <x:v>0</x:v>
      </x:c>
      <x:c r="K71" s="30" t="n">
        <x:f>H71*I71*(1-J71)</x:f>
        <x:v>552</x:v>
      </x:c>
    </x:row>
    <x:row r="72">
      <x:c r="A72" s="24" t="str">
        <x:v>ORD-1069</x:v>
      </x:c>
      <x:c r="B72" s="25" t="n">
        <x:v>46101</x:v>
      </x:c>
      <x:c r="C72" s="26" t="str">
        <x:v>North</x:v>
      </x:c>
      <x:c r="D72" s="26" t="str">
        <x:v>Maya Chen</x:v>
      </x:c>
      <x:c r="E72" s="26" t="str">
        <x:v>P-102</x:v>
      </x:c>
      <x:c r="F72" s="26" t="str">
        <x:v>Coffee Grinder</x:v>
      </x:c>
      <x:c r="G72" s="26" t="str">
        <x:v>Equipment</x:v>
      </x:c>
      <x:c r="H72" s="27" t="n">
        <x:v>5</x:v>
      </x:c>
      <x:c r="I72" s="28" t="n">
        <x:v>185</x:v>
      </x:c>
      <x:c r="J72" s="29" t="n">
        <x:v>0.15</x:v>
      </x:c>
      <x:c r="K72" s="30" t="n">
        <x:f>H72*I72*(1-J72)</x:f>
        <x:v>786.25</x:v>
      </x:c>
    </x:row>
    <x:row r="73">
      <x:c r="A73" s="24" t="str">
        <x:v>ORD-1070</x:v>
      </x:c>
      <x:c r="B73" s="25" t="n">
        <x:v>46116</x:v>
      </x:c>
      <x:c r="C73" s="26" t="str">
        <x:v>West</x:v>
      </x:c>
      <x:c r="D73" s="26" t="str">
        <x:v>Sofia Rossi</x:v>
      </x:c>
      <x:c r="E73" s="26" t="str">
        <x:v>P-101</x:v>
      </x:c>
      <x:c r="F73" s="26" t="str">
        <x:v>Espresso Machine</x:v>
      </x:c>
      <x:c r="G73" s="26" t="str">
        <x:v>Equipment</x:v>
      </x:c>
      <x:c r="H73" s="27" t="n">
        <x:v>4</x:v>
      </x:c>
      <x:c r="I73" s="28" t="n">
        <x:v>420</x:v>
      </x:c>
      <x:c r="J73" s="29" t="n">
        <x:v>0.05</x:v>
      </x:c>
      <x:c r="K73" s="30" t="n">
        <x:f>H73*I73*(1-J73)</x:f>
        <x:v>1596</x:v>
      </x:c>
    </x:row>
    <x:row r="74">
      <x:c r="A74" s="24" t="str">
        <x:v>ORD-1071</x:v>
      </x:c>
      <x:c r="B74" s="25" t="n">
        <x:v>46157</x:v>
      </x:c>
      <x:c r="C74" s="26" t="str">
        <x:v>East</x:v>
      </x:c>
      <x:c r="D74" s="26" t="str">
        <x:v>Daniel Reed</x:v>
      </x:c>
      <x:c r="E74" s="26" t="str">
        <x:v>P-106</x:v>
      </x:c>
      <x:c r="F74" s="26" t="str">
        <x:v>Milk Frother</x:v>
      </x:c>
      <x:c r="G74" s="26" t="str">
        <x:v>Equipment</x:v>
      </x:c>
      <x:c r="H74" s="27" t="n">
        <x:v>3</x:v>
      </x:c>
      <x:c r="I74" s="28" t="n">
        <x:v>74</x:v>
      </x:c>
      <x:c r="J74" s="29" t="n">
        <x:v>0</x:v>
      </x:c>
      <x:c r="K74" s="30" t="n">
        <x:f>H74*I74*(1-J74)</x:f>
        <x:v>222</x:v>
      </x:c>
    </x:row>
    <x:row r="75">
      <x:c r="A75" s="24" t="str">
        <x:v>ORD-1072</x:v>
      </x:c>
      <x:c r="B75" s="25" t="n">
        <x:v>46199</x:v>
      </x:c>
      <x:c r="C75" s="26" t="str">
        <x:v>South</x:v>
      </x:c>
      <x:c r="D75" s="26" t="str">
        <x:v>Omar Haddad</x:v>
      </x:c>
      <x:c r="E75" s="26" t="str">
        <x:v>P-105</x:v>
      </x:c>
      <x:c r="F75" s="26" t="str">
        <x:v>POS Tablet</x:v>
      </x:c>
      <x:c r="G75" s="26" t="str">
        <x:v>Technology</x:v>
      </x:c>
      <x:c r="H75" s="27" t="n">
        <x:v>2</x:v>
      </x:c>
      <x:c r="I75" s="28" t="n">
        <x:v>310</x:v>
      </x:c>
      <x:c r="J75" s="29" t="n">
        <x:v>0.1</x:v>
      </x:c>
      <x:c r="K75" s="30" t="n">
        <x:f>H75*I75*(1-J75)</x:f>
        <x:v>558</x:v>
      </x:c>
    </x:row>
    <x:row r="76">
      <x:c r="A76" s="24" t="str">
        <x:v>ORD-1073</x:v>
      </x:c>
      <x:c r="B76" s="25" t="n">
        <x:v>46032</x:v>
      </x:c>
      <x:c r="C76" s="26" t="str">
        <x:v>south</x:v>
      </x:c>
      <x:c r="D76" s="26" t="str">
        <x:v>Aylin Kaya</x:v>
      </x:c>
      <x:c r="E76" s="26" t="str">
        <x:v>P-104</x:v>
      </x:c>
      <x:c r="F76" s="26" t="str">
        <x:v>Paper Cup Pack</x:v>
      </x:c>
      <x:c r="G76" s="26" t="str">
        <x:v>Supplies</x:v>
      </x:c>
      <x:c r="H76" s="27" t="n">
        <x:v>1</x:v>
      </x:c>
      <x:c r="I76" s="28" t="n">
        <x:v>38</x:v>
      </x:c>
      <x:c r="J76" s="29" t="n">
        <x:v>0</x:v>
      </x:c>
      <x:c r="K76" s="30" t="n">
        <x:f>H76*I76*(1-J76)</x:f>
        <x:v>38</x:v>
      </x:c>
    </x:row>
    <x:row r="77">
      <x:c r="A77" s="24" t="str">
        <x:v>ORD-1074</x:v>
      </x:c>
      <x:c r="B77" s="25" t="n">
        <x:v>46074</x:v>
      </x:c>
      <x:c r="C77" s="26" t="str">
        <x:v>West</x:v>
      </x:c>
      <x:c r="D77" s="26" t="str">
        <x:v>Maya Chen</x:v>
      </x:c>
      <x:c r="E77" s="26" t="str">
        <x:v>P-103</x:v>
      </x:c>
      <x:c r="F77" s="26" t="str">
        <x:v>Premium Beans 5kg</x:v>
      </x:c>
      <x:c r="G77" s="26" t="str">
        <x:v>Supplies</x:v>
      </x:c>
      <x:c r="H77" s="27" t="n">
        <x:v>8</x:v>
      </x:c>
      <x:c r="I77" s="28" t="n">
        <x:v>92</x:v>
      </x:c>
      <x:c r="J77" s="29" t="n">
        <x:v>0.15</x:v>
      </x:c>
      <x:c r="K77" s="30" t="n">
        <x:f>H77*I77*(1-J77)</x:f>
        <x:v>625.6</x:v>
      </x:c>
    </x:row>
    <x:row r="78">
      <x:c r="A78" s="24" t="str">
        <x:v>ORD-1075</x:v>
      </x:c>
      <x:c r="B78" s="25" t="n">
        <x:v>46086</x:v>
      </x:c>
      <x:c r="C78" s="26" t="str">
        <x:v>East</x:v>
      </x:c>
      <x:c r="D78" s="26" t="str">
        <x:v>Sofia Rossi</x:v>
      </x:c>
      <x:c r="E78" s="26" t="str">
        <x:v>P-102</x:v>
      </x:c>
      <x:c r="F78" s="26" t="str">
        <x:v>Coffee Grinder</x:v>
      </x:c>
      <x:c r="G78" s="26" t="str">
        <x:v>Equipment</x:v>
      </x:c>
      <x:c r="H78" s="27" t="n">
        <x:v>7</x:v>
      </x:c>
      <x:c r="I78" s="28" t="n">
        <x:v>185</x:v>
      </x:c>
      <x:c r="J78" s="29" t="n">
        <x:v>0.05</x:v>
      </x:c>
      <x:c r="K78" s="30" t="n">
        <x:f>H78*I78*(1-J78)</x:f>
        <x:v>1230.25</x:v>
      </x:c>
    </x:row>
    <x:row r="79">
      <x:c r="A79" s="24" t="str">
        <x:v>ORD-1076</x:v>
      </x:c>
      <x:c r="B79" s="25" t="n">
        <x:v>46128</x:v>
      </x:c>
      <x:c r="C79" s="26" t="str">
        <x:v>South</x:v>
      </x:c>
      <x:c r="D79" s="26" t="str">
        <x:v>Daniel Reed</x:v>
      </x:c>
      <x:c r="E79" s="26" t="str">
        <x:v>P-101</x:v>
      </x:c>
      <x:c r="F79" s="26" t="str">
        <x:v>Espresso Machine</x:v>
      </x:c>
      <x:c r="G79" s="26" t="str">
        <x:v>Equipment</x:v>
      </x:c>
      <x:c r="H79" s="27" t="n">
        <x:v>6</x:v>
      </x:c>
      <x:c r="I79" s="28" t="n">
        <x:v>420</x:v>
      </x:c>
      <x:c r="J79" s="29" t="n">
        <x:v>0</x:v>
      </x:c>
      <x:c r="K79" s="30" t="n">
        <x:f>H79*I79*(1-J79)</x:f>
        <x:v>2520</x:v>
      </x:c>
    </x:row>
    <x:row r="80">
      <x:c r="A80" s="24" t="str">
        <x:v>ORD-1077</x:v>
      </x:c>
      <x:c r="B80" s="25" t="n">
        <x:v>46169</x:v>
      </x:c>
      <x:c r="C80" s="26" t="str">
        <x:v>North</x:v>
      </x:c>
      <x:c r="D80" s="26" t="str">
        <x:v>Omar Haddad</x:v>
      </x:c>
      <x:c r="E80" s="26" t="str">
        <x:v>P-106</x:v>
      </x:c>
      <x:c r="F80" s="26" t="str">
        <x:v>Milk Frother</x:v>
      </x:c>
      <x:c r="G80" s="26" t="str">
        <x:v>Equipment</x:v>
      </x:c>
      <x:c r="H80" s="27" t="n">
        <x:v>5</x:v>
      </x:c>
      <x:c r="I80" s="28" t="n">
        <x:v>74</x:v>
      </x:c>
      <x:c r="J80" s="29" t="n">
        <x:v>0.1</x:v>
      </x:c>
      <x:c r="K80" s="30" t="n">
        <x:f>H80*I80*(1-J80)</x:f>
        <x:v>333</x:v>
      </x:c>
    </x:row>
    <x:row r="81">
      <x:c r="A81" s="24" t="str">
        <x:v>ORD-1078</x:v>
      </x:c>
      <x:c r="B81" s="25" t="n">
        <x:v>46184</x:v>
      </x:c>
      <x:c r="C81" s="26" t="str">
        <x:v>West</x:v>
      </x:c>
      <x:c r="D81" s="26" t="str">
        <x:v>Aylin Kaya</x:v>
      </x:c>
      <x:c r="E81" s="26" t="str">
        <x:v>P-105</x:v>
      </x:c>
      <x:c r="F81" s="26" t="str">
        <x:v>POS Tablet</x:v>
      </x:c>
      <x:c r="G81" s="26" t="str">
        <x:v>Technology</x:v>
      </x:c>
      <x:c r="H81" s="27" t="n">
        <x:v>4</x:v>
      </x:c>
      <x:c r="I81" s="28" t="n">
        <x:v>310</x:v>
      </x:c>
      <x:c r="J81" s="29" t="n">
        <x:v>0</x:v>
      </x:c>
      <x:c r="K81" s="30" t="n">
        <x:f>H81*I81*(1-J81)</x:f>
        <x:v>1240</x:v>
      </x:c>
    </x:row>
    <x:row r="82">
      <x:c r="A82" s="24" t="str">
        <x:v>ORD-1079</x:v>
      </x:c>
      <x:c r="B82" s="25" t="n">
        <x:v>46044</x:v>
      </x:c>
      <x:c r="C82" s="26" t="str">
        <x:v>East</x:v>
      </x:c>
      <x:c r="D82" s="26" t="str">
        <x:v>Maya Chen</x:v>
      </x:c>
      <x:c r="E82" s="26" t="str">
        <x:v>P-104</x:v>
      </x:c>
      <x:c r="F82" s="26" t="str">
        <x:v>Paper Cup Pack</x:v>
      </x:c>
      <x:c r="G82" s="26" t="str">
        <x:v>Supplies</x:v>
      </x:c>
      <x:c r="H82" s="27" t="n">
        <x:v>3</x:v>
      </x:c>
      <x:c r="I82" s="28" t="n">
        <x:v>38</x:v>
      </x:c>
      <x:c r="J82" s="29" t="n">
        <x:v>0.15</x:v>
      </x:c>
      <x:c r="K82" s="30" t="n">
        <x:f>H82*I82*(1-J82)</x:f>
        <x:v>96.89999999999999</x:v>
      </x:c>
    </x:row>
    <x:row r="83">
      <x:c r="A83" s="24" t="str">
        <x:v>ORD-1080</x:v>
      </x:c>
      <x:c r="B83" s="25" t="n">
        <x:v>46059</x:v>
      </x:c>
      <x:c r="C83" s="26" t="str">
        <x:v>South</x:v>
      </x:c>
      <x:c r="D83" s="26" t="str">
        <x:v>Sofia Rossi</x:v>
      </x:c>
      <x:c r="E83" s="26" t="str">
        <x:v>P-103</x:v>
      </x:c>
      <x:c r="F83" s="26" t="str">
        <x:v>Premium Beans 5kg</x:v>
      </x:c>
      <x:c r="G83" s="26" t="str">
        <x:v>Supplies</x:v>
      </x:c>
      <x:c r="H83" s="27" t="n">
        <x:v>2</x:v>
      </x:c>
      <x:c r="I83" s="28" t="n">
        <x:v>92</x:v>
      </x:c>
      <x:c r="J83" s="29" t="n">
        <x:v>0.05</x:v>
      </x:c>
      <x:c r="K83" s="30" t="n">
        <x:f>H83*I83*(1-J83)</x:f>
        <x:v>174.79999999999998</x:v>
      </x:c>
    </x:row>
    <x:row r="84">
      <x:c r="A84" s="24" t="str">
        <x:v>ORD-1081</x:v>
      </x:c>
      <x:c r="B84" s="25" t="n">
        <x:v>46098</x:v>
      </x:c>
      <x:c r="C84" s="26" t="str">
        <x:v>North</x:v>
      </x:c>
      <x:c r="D84" s="26" t="str">
        <x:v>Daniel Reed</x:v>
      </x:c>
      <x:c r="E84" s="26" t="str">
        <x:v>P-102</x:v>
      </x:c>
      <x:c r="F84" s="26" t="str">
        <x:v>Coffee Grinder</x:v>
      </x:c>
      <x:c r="G84" s="26" t="str">
        <x:v>Equipment</x:v>
      </x:c>
      <x:c r="H84" s="27" t="n">
        <x:v>1</x:v>
      </x:c>
      <x:c r="I84" s="28" t="n">
        <x:v>185</x:v>
      </x:c>
      <x:c r="J84" s="29" t="n">
        <x:v>0</x:v>
      </x:c>
      <x:c r="K84" s="30" t="n">
        <x:f>H84*I84*(1-J84)</x:f>
        <x:v>185</x:v>
      </x:c>
    </x:row>
    <x:row r="85">
      <x:c r="A85" s="24" t="str">
        <x:v>ORD-1082</x:v>
      </x:c>
      <x:c r="B85" s="25" t="n">
        <x:v>46113</x:v>
      </x:c>
      <x:c r="C85" s="26" t="str">
        <x:v>West</x:v>
      </x:c>
      <x:c r="D85" s="26" t="str">
        <x:v>Omar Haddad</x:v>
      </x:c>
      <x:c r="E85" s="26" t="str">
        <x:v>P-101</x:v>
      </x:c>
      <x:c r="F85" s="26" t="str">
        <x:v>Espresso Machine</x:v>
      </x:c>
      <x:c r="G85" s="26" t="str">
        <x:v>Equipment</x:v>
      </x:c>
      <x:c r="H85" s="27" t="n">
        <x:v>8</x:v>
      </x:c>
      <x:c r="I85" s="28" t="n">
        <x:v>420</x:v>
      </x:c>
      <x:c r="J85" s="29" t="n">
        <x:v>0.1</x:v>
      </x:c>
      <x:c r="K85" s="30" t="n">
        <x:f>H85*I85*(1-J85)</x:f>
        <x:v>3024</x:v>
      </x:c>
    </x:row>
    <x:row r="86">
      <x:c r="A86" s="24" t="str">
        <x:v>ORD-1083</x:v>
      </x:c>
      <x:c r="B86" s="25" t="n">
        <x:v>46154</x:v>
      </x:c>
      <x:c r="C86" s="26" t="str">
        <x:v>East</x:v>
      </x:c>
      <x:c r="D86" s="26" t="str">
        <x:v>Aylin Kaya</x:v>
      </x:c>
      <x:c r="E86" s="26" t="str">
        <x:v>P-106</x:v>
      </x:c>
      <x:c r="F86" s="26" t="str">
        <x:v>Milk Frother</x:v>
      </x:c>
      <x:c r="G86" s="26" t="str">
        <x:v>Equipment</x:v>
      </x:c>
      <x:c r="H86" s="27" t="n">
        <x:v>7</x:v>
      </x:c>
      <x:c r="I86" s="28" t="n">
        <x:v>74</x:v>
      </x:c>
      <x:c r="J86" s="29" t="n">
        <x:v>0</x:v>
      </x:c>
      <x:c r="K86" s="30" t="n">
        <x:f>H86*I86*(1-J86)</x:f>
        <x:v>518</x:v>
      </x:c>
    </x:row>
    <x:row r="87">
      <x:c r="A87" s="24" t="str">
        <x:v>ORD-1084</x:v>
      </x:c>
      <x:c r="B87" s="25" t="n">
        <x:v>46196</x:v>
      </x:c>
      <x:c r="C87" s="26" t="str">
        <x:v>South</x:v>
      </x:c>
      <x:c r="D87" s="26" t="str">
        <x:v>Maya Chen</x:v>
      </x:c>
      <x:c r="E87" s="26" t="str">
        <x:v>P-105</x:v>
      </x:c>
      <x:c r="F87" s="26" t="str">
        <x:v>POS Tablet</x:v>
      </x:c>
      <x:c r="G87" s="26" t="str">
        <x:v>Technology</x:v>
      </x:c>
      <x:c r="H87" s="27" t="n">
        <x:v>6</x:v>
      </x:c>
      <x:c r="I87" s="28" t="n">
        <x:v>310</x:v>
      </x:c>
      <x:c r="J87" s="29" t="n">
        <x:v>0.15</x:v>
      </x:c>
      <x:c r="K87" s="30" t="n">
        <x:f>H87*I87*(1-J87)</x:f>
        <x:v>1581</x:v>
      </x:c>
    </x:row>
    <x:row r="88">
      <x:c r="A88" s="24" t="str">
        <x:v>ORD-1085</x:v>
      </x:c>
      <x:c r="B88" s="25" t="n">
        <x:v>46029</x:v>
      </x:c>
      <x:c r="C88" s="26" t="str">
        <x:v>North</x:v>
      </x:c>
      <x:c r="D88" s="26" t="str">
        <x:v>Sofia Rossi</x:v>
      </x:c>
      <x:c r="E88" s="26" t="str">
        <x:v>P-104</x:v>
      </x:c>
      <x:c r="F88" s="26" t="str">
        <x:v>Paper Cup Pack</x:v>
      </x:c>
      <x:c r="G88" s="26" t="str">
        <x:v>Supplies</x:v>
      </x:c>
      <x:c r="H88" s="27" t="n">
        <x:v>5</x:v>
      </x:c>
      <x:c r="I88" s="28" t="n">
        <x:v>38</x:v>
      </x:c>
      <x:c r="J88" s="29" t="n">
        <x:v>0.05</x:v>
      </x:c>
      <x:c r="K88" s="30" t="n">
        <x:f>H88*I88*(1-J88)</x:f>
        <x:v>180.5</x:v>
      </x:c>
    </x:row>
    <x:row r="89">
      <x:c r="A89" s="24" t="str">
        <x:v>ORD-1086</x:v>
      </x:c>
      <x:c r="B89" s="25" t="n">
        <x:v>46071</x:v>
      </x:c>
      <x:c r="C89" s="26" t="str">
        <x:v>West</x:v>
      </x:c>
      <x:c r="D89" s="26" t="str">
        <x:v>Daniel Reed</x:v>
      </x:c>
      <x:c r="E89" s="26" t="str">
        <x:v>P-103</x:v>
      </x:c>
      <x:c r="F89" s="26" t="str">
        <x:v>Premium Beans 5kg</x:v>
      </x:c>
      <x:c r="G89" s="26" t="str">
        <x:v>Supplies</x:v>
      </x:c>
      <x:c r="H89" s="27" t="n">
        <x:v>4</x:v>
      </x:c>
      <x:c r="I89" s="28" t="n">
        <x:v>92</x:v>
      </x:c>
      <x:c r="J89" s="29" t="n">
        <x:v>0</x:v>
      </x:c>
      <x:c r="K89" s="30" t="n">
        <x:f>H89*I89*(1-J89)</x:f>
        <x:v>368</x:v>
      </x:c>
    </x:row>
    <x:row r="90">
      <x:c r="A90" s="24" t="str">
        <x:v>ORD-1087</x:v>
      </x:c>
      <x:c r="B90" s="25" t="n">
        <x:v>46083</x:v>
      </x:c>
      <x:c r="C90" s="26" t="str">
        <x:v>East</x:v>
      </x:c>
      <x:c r="D90" s="26" t="str">
        <x:v>Omar Haddad</x:v>
      </x:c>
      <x:c r="E90" s="26" t="str">
        <x:v>P-102</x:v>
      </x:c>
      <x:c r="F90" s="26" t="str">
        <x:v>Coffee Grinder</x:v>
      </x:c>
      <x:c r="G90" s="26" t="str">
        <x:v>Equipment</x:v>
      </x:c>
      <x:c r="H90" s="27" t="n">
        <x:v>3</x:v>
      </x:c>
      <x:c r="I90" s="28" t="n">
        <x:v>185</x:v>
      </x:c>
      <x:c r="J90" s="29" t="n">
        <x:v>0.1</x:v>
      </x:c>
      <x:c r="K90" s="30" t="n">
        <x:f>H90*I90*(1-J90)</x:f>
        <x:v>499.5</x:v>
      </x:c>
    </x:row>
    <x:row r="91">
      <x:c r="A91" s="24" t="str">
        <x:v>ORD-1088</x:v>
      </x:c>
      <x:c r="B91" s="25" t="str">
        <x:v>not a date</x:v>
      </x:c>
      <x:c r="C91" s="26" t="str">
        <x:v>South</x:v>
      </x:c>
      <x:c r="D91" s="26" t="str">
        <x:v>Aylin Kaya</x:v>
      </x:c>
      <x:c r="E91" s="26" t="str">
        <x:v>P-101</x:v>
      </x:c>
      <x:c r="F91" s="26" t="str">
        <x:v>Espresso Machine</x:v>
      </x:c>
      <x:c r="G91" s="26" t="str">
        <x:v>Equipment</x:v>
      </x:c>
      <x:c r="H91" s="27" t="n">
        <x:v>2</x:v>
      </x:c>
      <x:c r="I91" s="28" t="n">
        <x:v>420</x:v>
      </x:c>
      <x:c r="J91" s="29" t="n">
        <x:v>0</x:v>
      </x:c>
      <x:c r="K91" s="30" t="n">
        <x:f>H91*I91*(1-J91)</x:f>
        <x:v>840</x:v>
      </x:c>
    </x:row>
    <x:row r="92">
      <x:c r="A92" s="24" t="str">
        <x:v>ORD-1089</x:v>
      </x:c>
      <x:c r="B92" s="25" t="n">
        <x:v>46166</x:v>
      </x:c>
      <x:c r="C92" s="26" t="str">
        <x:v>North</x:v>
      </x:c>
      <x:c r="D92" s="26" t="str">
        <x:v>Maya Chen</x:v>
      </x:c>
      <x:c r="E92" s="26" t="str">
        <x:v>P-106</x:v>
      </x:c>
      <x:c r="F92" s="26" t="str">
        <x:v>Milk Frother</x:v>
      </x:c>
      <x:c r="G92" s="26" t="str">
        <x:v>Equipment</x:v>
      </x:c>
      <x:c r="H92" s="27" t="n">
        <x:v>1</x:v>
      </x:c>
      <x:c r="I92" s="28" t="n">
        <x:v>74</x:v>
      </x:c>
      <x:c r="J92" s="29" t="n">
        <x:v>0.15</x:v>
      </x:c>
      <x:c r="K92" s="30" t="n">
        <x:f>H92*I92</x:f>
        <x:v>74</x:v>
      </x:c>
    </x:row>
    <x:row r="93">
      <x:c r="A93" s="24" t="str">
        <x:v>ORD-1090</x:v>
      </x:c>
      <x:c r="B93" s="25" t="n">
        <x:v>46181</x:v>
      </x:c>
      <x:c r="C93" s="26" t="str">
        <x:v>West</x:v>
      </x:c>
      <x:c r="D93" s="26" t="str">
        <x:v>Sofia Rossi</x:v>
      </x:c>
      <x:c r="E93" s="26" t="str">
        <x:v>P-105</x:v>
      </x:c>
      <x:c r="F93" s="26" t="str">
        <x:v>POS Tablet</x:v>
      </x:c>
      <x:c r="G93" s="26" t="str">
        <x:v>Technology</x:v>
      </x:c>
      <x:c r="H93" s="27" t="n">
        <x:v>8</x:v>
      </x:c>
      <x:c r="I93" s="28" t="n">
        <x:v>310</x:v>
      </x:c>
      <x:c r="J93" s="29" t="n">
        <x:v>0.05</x:v>
      </x:c>
      <x:c r="K93" s="30" t="n">
        <x:f>H93*I93*(1-J93)</x:f>
        <x:v>2356</x:v>
      </x:c>
    </x:row>
    <x:row r="94">
      <x:c r="A94" s="24" t="str">
        <x:v>ORD-1091</x:v>
      </x:c>
      <x:c r="B94" s="25" t="n">
        <x:v>46041</x:v>
      </x:c>
      <x:c r="C94" s="26" t="str">
        <x:v>East</x:v>
      </x:c>
      <x:c r="D94" s="26" t="str">
        <x:v>Daniel Reed</x:v>
      </x:c>
      <x:c r="E94" s="26" t="str">
        <x:v>P-104</x:v>
      </x:c>
      <x:c r="F94" s="26" t="str">
        <x:v>Paper Cup Pack</x:v>
      </x:c>
      <x:c r="G94" s="26" t="str">
        <x:v>Supplies</x:v>
      </x:c>
      <x:c r="H94" s="27" t="n">
        <x:v>7</x:v>
      </x:c>
      <x:c r="I94" s="28" t="n">
        <x:v>38</x:v>
      </x:c>
      <x:c r="J94" s="29" t="n">
        <x:v>0</x:v>
      </x:c>
      <x:c r="K94" s="30" t="n">
        <x:f>H94*I94*(1-J94)</x:f>
        <x:v>266</x:v>
      </x:c>
    </x:row>
    <x:row r="95">
      <x:c r="A95" s="24" t="str">
        <x:v>ORD-1092</x:v>
      </x:c>
      <x:c r="B95" s="25" t="n">
        <x:v>46056</x:v>
      </x:c>
      <x:c r="C95" s="26" t="str">
        <x:v>South</x:v>
      </x:c>
      <x:c r="D95" s="26" t="str">
        <x:v>Omar Haddad</x:v>
      </x:c>
      <x:c r="E95" s="26" t="str">
        <x:v>P-103</x:v>
      </x:c>
      <x:c r="F95" s="26" t="str">
        <x:v>Premium Beans 5kg</x:v>
      </x:c>
      <x:c r="G95" s="26" t="str">
        <x:v>Supplies</x:v>
      </x:c>
      <x:c r="H95" s="27" t="n">
        <x:v>6</x:v>
      </x:c>
      <x:c r="I95" s="28" t="n">
        <x:v>92</x:v>
      </x:c>
      <x:c r="J95" s="29" t="n">
        <x:v>0.1</x:v>
      </x:c>
      <x:c r="K95" s="30" t="n">
        <x:f>H95*I95*(1-J95)</x:f>
        <x:v>496.8</x:v>
      </x:c>
    </x:row>
    <x:row r="96">
      <x:c r="A96" s="24" t="str">
        <x:v>ORD-1093</x:v>
      </x:c>
      <x:c r="B96" s="25" t="n">
        <x:v>46095</x:v>
      </x:c>
      <x:c r="C96" s="26" t="str">
        <x:v>North</x:v>
      </x:c>
      <x:c r="D96" s="26" t="str">
        <x:v>Aylin Kaya</x:v>
      </x:c>
      <x:c r="E96" s="26" t="str">
        <x:v>P-102</x:v>
      </x:c>
      <x:c r="F96" s="26" t="str">
        <x:v>Coffee Grinder</x:v>
      </x:c>
      <x:c r="G96" s="26" t="str">
        <x:v>Equipment</x:v>
      </x:c>
      <x:c r="H96" s="27" t="n">
        <x:v>5</x:v>
      </x:c>
      <x:c r="I96" s="28" t="n">
        <x:v>185</x:v>
      </x:c>
      <x:c r="J96" s="29" t="n">
        <x:v>0</x:v>
      </x:c>
      <x:c r="K96" s="30" t="n">
        <x:f>H96*I96*(1-J96)</x:f>
        <x:v>925</x:v>
      </x:c>
    </x:row>
    <x:row r="97">
      <x:c r="A97" s="24" t="str">
        <x:v>ORD-1094</x:v>
      </x:c>
      <x:c r="B97" s="25" t="n">
        <x:v>46137</x:v>
      </x:c>
      <x:c r="C97" s="26" t="str">
        <x:v>West</x:v>
      </x:c>
      <x:c r="D97" s="26" t="str">
        <x:v>Maya Chen</x:v>
      </x:c>
      <x:c r="E97" s="26" t="str">
        <x:v>P-101</x:v>
      </x:c>
      <x:c r="F97" s="26" t="str">
        <x:v>Espresso Machine</x:v>
      </x:c>
      <x:c r="G97" s="26" t="str">
        <x:v>Equipment</x:v>
      </x:c>
      <x:c r="H97" s="27" t="n">
        <x:v>4</x:v>
      </x:c>
      <x:c r="I97" s="28" t="n">
        <x:v>420</x:v>
      </x:c>
      <x:c r="J97" s="29" t="n">
        <x:v>0.15</x:v>
      </x:c>
      <x:c r="K97" s="30" t="n">
        <x:f>H97*I97*(1-J97)</x:f>
        <x:v>1428</x:v>
      </x:c>
    </x:row>
    <x:row r="98">
      <x:c r="A98" s="24" t="str">
        <x:v>ORD-1095</x:v>
      </x:c>
      <x:c r="B98" s="25" t="n">
        <x:v>46151</x:v>
      </x:c>
      <x:c r="C98" s="26" t="str">
        <x:v>East</x:v>
      </x:c>
      <x:c r="D98" s="26" t="str">
        <x:v>Sofia Rossi</x:v>
      </x:c>
      <x:c r="E98" s="26" t="str">
        <x:v>P-106</x:v>
      </x:c>
      <x:c r="F98" s="26" t="str">
        <x:v>Milk Frother</x:v>
      </x:c>
      <x:c r="G98" s="26" t="str">
        <x:v>Equipment</x:v>
      </x:c>
      <x:c r="H98" s="27" t="n">
        <x:v>3</x:v>
      </x:c>
      <x:c r="I98" s="28" t="n">
        <x:v>74</x:v>
      </x:c>
      <x:c r="J98" s="29" t="n">
        <x:v>0.05</x:v>
      </x:c>
      <x:c r="K98" s="30" t="n">
        <x:f>H98*I98*(1-J98)</x:f>
        <x:v>210.89999999999998</x:v>
      </x:c>
    </x:row>
    <x:row r="99">
      <x:c r="A99" s="24" t="str">
        <x:v>ORD-1096</x:v>
      </x:c>
      <x:c r="B99" s="25" t="n">
        <x:v>46193</x:v>
      </x:c>
      <x:c r="C99" s="26" t="str">
        <x:v>South</x:v>
      </x:c>
      <x:c r="D99" s="26" t="str">
        <x:v>Daniel Reed</x:v>
      </x:c>
      <x:c r="E99" s="26" t="str">
        <x:v>P-105</x:v>
      </x:c>
      <x:c r="F99" s="26" t="str">
        <x:v>POS Tablet</x:v>
      </x:c>
      <x:c r="G99" s="26" t="str">
        <x:v>Technology</x:v>
      </x:c>
      <x:c r="H99" s="27" t="n">
        <x:v>2</x:v>
      </x:c>
      <x:c r="I99" s="28" t="n">
        <x:v>310</x:v>
      </x:c>
      <x:c r="J99" s="29" t="n">
        <x:v>0</x:v>
      </x:c>
      <x:c r="K99" s="30" t="n">
        <x:f>H99*I99*(1-J99)</x:f>
        <x:v>620</x:v>
      </x:c>
    </x:row>
    <x:row r="100">
      <x:c r="A100" s="24" t="str">
        <x:v>ORD-1097</x:v>
      </x:c>
      <x:c r="B100" s="25" t="n">
        <x:v>46026</x:v>
      </x:c>
      <x:c r="C100" s="26" t="str">
        <x:v>North</x:v>
      </x:c>
      <x:c r="D100" s="26" t="str">
        <x:v>Omar Haddad</x:v>
      </x:c>
      <x:c r="E100" s="26" t="str">
        <x:v>P-104</x:v>
      </x:c>
      <x:c r="F100" s="26" t="str">
        <x:v>Paper Cup Pack</x:v>
      </x:c>
      <x:c r="G100" s="26" t="str">
        <x:v>Supplies</x:v>
      </x:c>
      <x:c r="H100" s="27" t="n">
        <x:v>1</x:v>
      </x:c>
      <x:c r="I100" s="28" t="n">
        <x:v>38</x:v>
      </x:c>
      <x:c r="J100" s="29" t="n">
        <x:v>0.1</x:v>
      </x:c>
      <x:c r="K100" s="30" t="n">
        <x:f>H100*I100*(1-J100)</x:f>
        <x:v>34.2</x:v>
      </x:c>
    </x:row>
    <x:row r="101">
      <x:c r="A101" s="24" t="str">
        <x:v>ORD-1098</x:v>
      </x:c>
      <x:c r="B101" s="25" t="n">
        <x:v>46068</x:v>
      </x:c>
      <x:c r="C101" s="26" t="str">
        <x:v>West</x:v>
      </x:c>
      <x:c r="D101" s="26" t="str">
        <x:v>Aylin Kaya</x:v>
      </x:c>
      <x:c r="E101" s="26" t="str">
        <x:v>P-103</x:v>
      </x:c>
      <x:c r="F101" s="26" t="str">
        <x:v>Premium Beans 5kg</x:v>
      </x:c>
      <x:c r="G101" s="26" t="str">
        <x:v>Supplies</x:v>
      </x:c>
      <x:c r="H101" s="27" t="n">
        <x:v>8</x:v>
      </x:c>
      <x:c r="I101" s="28" t="n">
        <x:v>92</x:v>
      </x:c>
      <x:c r="J101" s="29" t="n">
        <x:v>0</x:v>
      </x:c>
      <x:c r="K101" s="30" t="n">
        <x:f>H101*I101*(1-J101)</x:f>
        <x:v>736</x:v>
      </x:c>
    </x:row>
    <x:row r="102">
      <x:c r="A102" s="24" t="str">
        <x:v>ORD-1099</x:v>
      </x:c>
      <x:c r="B102" s="25" t="n">
        <x:v>46107</x:v>
      </x:c>
      <x:c r="C102" s="26" t="str">
        <x:v>East</x:v>
      </x:c>
      <x:c r="D102" s="26" t="str">
        <x:v>Maya Chen</x:v>
      </x:c>
      <x:c r="E102" s="26" t="str">
        <x:v>P-102</x:v>
      </x:c>
      <x:c r="F102" s="26" t="str">
        <x:v>Coffee Grinder</x:v>
      </x:c>
      <x:c r="G102" s="26" t="str">
        <x:v>Equipment</x:v>
      </x:c>
      <x:c r="H102" s="27" t="n">
        <x:v>7</x:v>
      </x:c>
      <x:c r="I102" s="28" t="n">
        <x:v>185</x:v>
      </x:c>
      <x:c r="J102" s="29" t="n">
        <x:v>0.15</x:v>
      </x:c>
      <x:c r="K102" s="30" t="n">
        <x:f>H102*I102*(1-J102)</x:f>
        <x:v>1100.75</x:v>
      </x:c>
    </x:row>
    <x:row r="103">
      <x:c r="A103" s="24" t="str">
        <x:v>ORD-1100</x:v>
      </x:c>
      <x:c r="B103" s="25" t="n">
        <x:v>46122</x:v>
      </x:c>
      <x:c r="C103" s="26" t="str">
        <x:v>South</x:v>
      </x:c>
      <x:c r="D103" s="26" t="str">
        <x:v>Sofia Rossi</x:v>
      </x:c>
      <x:c r="E103" s="26" t="str">
        <x:v>P-101</x:v>
      </x:c>
      <x:c r="F103" s="26" t="str">
        <x:v>Espresso Machine</x:v>
      </x:c>
      <x:c r="G103" s="26" t="str">
        <x:v>Equipment</x:v>
      </x:c>
      <x:c r="H103" s="27" t="n">
        <x:v>6</x:v>
      </x:c>
      <x:c r="I103" s="28" t="n">
        <x:v>420</x:v>
      </x:c>
      <x:c r="J103" s="29" t="n">
        <x:v>0.05</x:v>
      </x:c>
      <x:c r="K103" s="30" t="n">
        <x:f>H103*I103*(1-J103)</x:f>
        <x:v>2394</x:v>
      </x:c>
    </x:row>
    <x:row r="104">
      <x:c r="A104" s="24" t="str">
        <x:v>ORD-1101</x:v>
      </x:c>
      <x:c r="B104" s="25" t="n">
        <x:v>46163</x:v>
      </x:c>
      <x:c r="C104" s="26" t="str">
        <x:v>North</x:v>
      </x:c>
      <x:c r="D104" s="26" t="str">
        <x:v>Daniel Reed</x:v>
      </x:c>
      <x:c r="E104" s="26" t="str">
        <x:v>P-106</x:v>
      </x:c>
      <x:c r="F104" s="26" t="str">
        <x:v>Milk Frother</x:v>
      </x:c>
      <x:c r="G104" s="26" t="str">
        <x:v>Equipment</x:v>
      </x:c>
      <x:c r="H104" s="27" t="n">
        <x:v>5</x:v>
      </x:c>
      <x:c r="I104" s="28" t="n">
        <x:v>74</x:v>
      </x:c>
      <x:c r="J104" s="29" t="n">
        <x:v>0</x:v>
      </x:c>
      <x:c r="K104" s="30" t="n">
        <x:f>H104*I104*(1-J104)</x:f>
        <x:v>370</x:v>
      </x:c>
    </x:row>
    <x:row r="105">
      <x:c r="A105" s="24" t="str">
        <x:v>ORD-1102</x:v>
      </x:c>
      <x:c r="B105" s="25" t="n">
        <x:v>46178</x:v>
      </x:c>
      <x:c r="C105" s="26" t="str">
        <x:v>West</x:v>
      </x:c>
      <x:c r="D105" s="26" t="str">
        <x:v>Omar Haddad</x:v>
      </x:c>
      <x:c r="E105" s="26" t="str">
        <x:v>P-105</x:v>
      </x:c>
      <x:c r="F105" s="26" t="str">
        <x:v>POS Tablet</x:v>
      </x:c>
      <x:c r="G105" s="26" t="str">
        <x:v>Technology</x:v>
      </x:c>
      <x:c r="H105" s="27" t="n">
        <x:v>4</x:v>
      </x:c>
      <x:c r="I105" s="28" t="n">
        <x:v>310</x:v>
      </x:c>
      <x:c r="J105" s="29" t="n">
        <x:v>0.1</x:v>
      </x:c>
      <x:c r="K105" s="30" t="n">
        <x:f>H105*I105*(1-J105)</x:f>
        <x:v>1116</x:v>
      </x:c>
    </x:row>
    <x:row r="106">
      <x:c r="A106" s="24" t="str">
        <x:v>ORD-1103</x:v>
      </x:c>
      <x:c r="B106" s="25" t="n">
        <x:v>46038</x:v>
      </x:c>
      <x:c r="C106" s="26" t="str">
        <x:v>East</x:v>
      </x:c>
      <x:c r="D106" s="26" t="str">
        <x:v>Aylin Kaya</x:v>
      </x:c>
      <x:c r="E106" s="26" t="str">
        <x:v>P-104</x:v>
      </x:c>
      <x:c r="F106" s="26" t="str">
        <x:v>Paper Cup Pack</x:v>
      </x:c>
      <x:c r="G106" s="26" t="str">
        <x:v>Supplies</x:v>
      </x:c>
      <x:c r="H106" s="27" t="n">
        <x:v>3</x:v>
      </x:c>
      <x:c r="I106" s="28" t="n">
        <x:v>38</x:v>
      </x:c>
      <x:c r="J106" s="29" t="n">
        <x:v>0</x:v>
      </x:c>
      <x:c r="K106" s="30" t="n">
        <x:f>H106*I106*(1-J106)</x:f>
        <x:v>114</x:v>
      </x:c>
    </x:row>
    <x:row r="107">
      <x:c r="A107" s="24" t="str">
        <x:v>ORD-1104</x:v>
      </x:c>
      <x:c r="B107" s="25" t="n">
        <x:v>46080</x:v>
      </x:c>
      <x:c r="C107" s="26" t="str">
        <x:v>South</x:v>
      </x:c>
      <x:c r="D107" s="26" t="str">
        <x:v>Maya Chen</x:v>
      </x:c>
      <x:c r="E107" s="26" t="str">
        <x:v>P-103</x:v>
      </x:c>
      <x:c r="F107" s="26" t="str">
        <x:v>Premium Beans 5kg</x:v>
      </x:c>
      <x:c r="G107" s="26" t="str">
        <x:v>Supplies</x:v>
      </x:c>
      <x:c r="H107" s="27" t="n">
        <x:v>2</x:v>
      </x:c>
      <x:c r="I107" s="28" t="n">
        <x:v>92</x:v>
      </x:c>
      <x:c r="J107" s="29" t="n">
        <x:v>0.15</x:v>
      </x:c>
      <x:c r="K107" s="30" t="n">
        <x:f>H107*I107*(1-J107)</x:f>
        <x:v>156.4</x:v>
      </x:c>
    </x:row>
    <x:row r="108">
      <x:c r="A108" s="24" t="str">
        <x:v>ORD-1105</x:v>
      </x:c>
      <x:c r="B108" s="25" t="n">
        <x:v>46092</x:v>
      </x:c>
      <x:c r="C108" s="26" t="str">
        <x:v>North</x:v>
      </x:c>
      <x:c r="D108" s="26" t="str">
        <x:v>Sofia Rossi</x:v>
      </x:c>
      <x:c r="E108" s="26" t="str">
        <x:v>P-102</x:v>
      </x:c>
      <x:c r="F108" s="26" t="str">
        <x:v>Coffee Grinder</x:v>
      </x:c>
      <x:c r="G108" s="26" t="str">
        <x:v>Equipment</x:v>
      </x:c>
      <x:c r="H108" s="27" t="n">
        <x:v>1</x:v>
      </x:c>
      <x:c r="I108" s="28" t="n">
        <x:v>185</x:v>
      </x:c>
      <x:c r="J108" s="29" t="n">
        <x:v>0.05</x:v>
      </x:c>
      <x:c r="K108" s="30" t="n">
        <x:f>H108*I108*(1-J108)</x:f>
        <x:v>175.75</x:v>
      </x:c>
    </x:row>
    <x:row r="109">
      <x:c r="A109" s="24" t="str">
        <x:v>ORD-1106</x:v>
      </x:c>
      <x:c r="B109" s="25" t="n">
        <x:v>46134</x:v>
      </x:c>
      <x:c r="C109" s="26" t="str">
        <x:v>West</x:v>
      </x:c>
      <x:c r="D109" s="26" t="str">
        <x:v>Daniel Reed</x:v>
      </x:c>
      <x:c r="E109" s="26" t="str">
        <x:v>P-101</x:v>
      </x:c>
      <x:c r="F109" s="26" t="str">
        <x:v>Espresso Machine</x:v>
      </x:c>
      <x:c r="G109" s="26" t="str">
        <x:v>Equipment</x:v>
      </x:c>
      <x:c r="H109" s="27" t="n">
        <x:v>8</x:v>
      </x:c>
      <x:c r="I109" s="28" t="n">
        <x:v>420</x:v>
      </x:c>
      <x:c r="J109" s="29" t="n">
        <x:v>0</x:v>
      </x:c>
      <x:c r="K109" s="30" t="n">
        <x:f>H109*I109*(1-J109)</x:f>
        <x:v>3360</x:v>
      </x:c>
    </x:row>
    <x:row r="110">
      <x:c r="A110" s="24" t="str">
        <x:v>ORD-1107</x:v>
      </x:c>
      <x:c r="B110" s="25" t="n">
        <x:v>46148</x:v>
      </x:c>
      <x:c r="C110" s="26" t="str">
        <x:v>East</x:v>
      </x:c>
      <x:c r="D110" s="26" t="str">
        <x:v>Omar Haddad</x:v>
      </x:c>
      <x:c r="E110" s="26" t="str">
        <x:v>P-106</x:v>
      </x:c>
      <x:c r="F110" s="26" t="str">
        <x:v>Milk Frother</x:v>
      </x:c>
      <x:c r="G110" s="26" t="str">
        <x:v>Equipment</x:v>
      </x:c>
      <x:c r="H110" s="27" t="n">
        <x:v>7</x:v>
      </x:c>
      <x:c r="I110" s="28" t="n">
        <x:v>74</x:v>
      </x:c>
      <x:c r="J110" s="29" t="n">
        <x:v>0.1</x:v>
      </x:c>
      <x:c r="K110" s="30" t="n">
        <x:f>H110*I110*(1-J110)</x:f>
        <x:v>466.2</x:v>
      </x:c>
    </x:row>
    <x:row r="111">
      <x:c r="A111" s="24" t="str">
        <x:v>ORD-1108</x:v>
      </x:c>
      <x:c r="B111" s="25" t="n">
        <x:v>46190</x:v>
      </x:c>
      <x:c r="C111" s="26" t="str">
        <x:v>South</x:v>
      </x:c>
      <x:c r="D111" s="26" t="str">
        <x:v>Aylin Kaya</x:v>
      </x:c>
      <x:c r="E111" s="26" t="str">
        <x:v>P-105</x:v>
      </x:c>
      <x:c r="F111" s="26" t="str">
        <x:v>POS Tablet</x:v>
      </x:c>
      <x:c r="G111" s="26" t="str">
        <x:v>Technology</x:v>
      </x:c>
      <x:c r="H111" s="27" t="n">
        <x:v>6</x:v>
      </x:c>
      <x:c r="I111" s="28" t="n">
        <x:v>310</x:v>
      </x:c>
      <x:c r="J111" s="29" t="n">
        <x:v>0</x:v>
      </x:c>
      <x:c r="K111" s="30" t="n">
        <x:f>H111*I111*(1-J111)</x:f>
        <x:v>1860</x:v>
      </x:c>
    </x:row>
    <x:row r="112">
      <x:c r="A112" s="24" t="str">
        <x:v>ORD-1109</x:v>
      </x:c>
      <x:c r="B112" s="25" t="n">
        <x:v>46023</x:v>
      </x:c>
      <x:c r="C112" s="26" t="str">
        <x:v>North</x:v>
      </x:c>
      <x:c r="D112" s="26" t="str">
        <x:v>Maya Chen</x:v>
      </x:c>
      <x:c r="E112" s="26" t="str">
        <x:v>P-104</x:v>
      </x:c>
      <x:c r="F112" s="26" t="str">
        <x:v>Paper Cup Pack</x:v>
      </x:c>
      <x:c r="G112" s="26" t="str">
        <x:v>Supplies</x:v>
      </x:c>
      <x:c r="H112" s="27" t="n">
        <x:v>5</x:v>
      </x:c>
      <x:c r="I112" s="28" t="n">
        <x:v>38</x:v>
      </x:c>
      <x:c r="J112" s="29" t="n">
        <x:v>0.15</x:v>
      </x:c>
      <x:c r="K112" s="30" t="n">
        <x:f>H112*I112*(1-J112)</x:f>
        <x:v>161.5</x:v>
      </x:c>
    </x:row>
    <x:row r="113">
      <x:c r="A113" s="24" t="str">
        <x:v>ORD-1110</x:v>
      </x:c>
      <x:c r="B113" s="25" t="n">
        <x:v>46065</x:v>
      </x:c>
      <x:c r="C113" s="26" t="str">
        <x:v>West</x:v>
      </x:c>
      <x:c r="D113" s="26" t="str">
        <x:v>Sofia Rossi</x:v>
      </x:c>
      <x:c r="E113" s="26" t="str">
        <x:v>P-103</x:v>
      </x:c>
      <x:c r="F113" s="26" t="str">
        <x:v>Premium Beans 5kg</x:v>
      </x:c>
      <x:c r="G113" s="26" t="str">
        <x:v>Supplies</x:v>
      </x:c>
      <x:c r="H113" s="27" t="n">
        <x:v>4</x:v>
      </x:c>
      <x:c r="I113" s="28" t="n">
        <x:v>92</x:v>
      </x:c>
      <x:c r="J113" s="29" t="n">
        <x:v>0.05</x:v>
      </x:c>
      <x:c r="K113" s="30" t="n">
        <x:f>H113*I113*(1-J113)</x:f>
        <x:v>349.59999999999997</x:v>
      </x:c>
    </x:row>
    <x:row r="114">
      <x:c r="A114" s="24" t="str">
        <x:v>ORD-1111</x:v>
      </x:c>
      <x:c r="B114" s="25" t="n">
        <x:v>46104</x:v>
      </x:c>
      <x:c r="C114" s="26" t="str">
        <x:v>East</x:v>
      </x:c>
      <x:c r="D114" s="26" t="str">
        <x:v>Daniel Reed</x:v>
      </x:c>
      <x:c r="E114" s="26" t="str">
        <x:v>P-102</x:v>
      </x:c>
      <x:c r="F114" s="26" t="str">
        <x:v>Coffee Grinder</x:v>
      </x:c>
      <x:c r="G114" s="26" t="str">
        <x:v>Equipment</x:v>
      </x:c>
      <x:c r="H114" s="27" t="n">
        <x:v>3</x:v>
      </x:c>
      <x:c r="I114" s="28" t="n">
        <x:v>185</x:v>
      </x:c>
      <x:c r="J114" s="29" t="n">
        <x:v>0</x:v>
      </x:c>
      <x:c r="K114" s="30" t="n">
        <x:f>H114*I114*(1-J114)</x:f>
        <x:v>555</x:v>
      </x:c>
    </x:row>
    <x:row r="115">
      <x:c r="A115" s="24" t="str">
        <x:v>ORD-1112</x:v>
      </x:c>
      <x:c r="B115" s="25" t="n">
        <x:v>46119</x:v>
      </x:c>
      <x:c r="C115" s="26" t="str">
        <x:v>South</x:v>
      </x:c>
      <x:c r="D115" s="26" t="str">
        <x:v>Omar Haddad</x:v>
      </x:c>
      <x:c r="E115" s="26" t="str">
        <x:v>P-101</x:v>
      </x:c>
      <x:c r="F115" s="26" t="str">
        <x:v>Espresso Machine</x:v>
      </x:c>
      <x:c r="G115" s="26" t="str">
        <x:v>Equipment</x:v>
      </x:c>
      <x:c r="H115" s="27" t="n">
        <x:v>2</x:v>
      </x:c>
      <x:c r="I115" s="28" t="n">
        <x:v>420</x:v>
      </x:c>
      <x:c r="J115" s="29" t="n">
        <x:v>0.1</x:v>
      </x:c>
      <x:c r="K115" s="30" t="n">
        <x:f>H115*I115*(1-J115)</x:f>
        <x:v>756</x:v>
      </x:c>
    </x:row>
    <x:row r="116">
      <x:c r="A116" s="24" t="str">
        <x:v>ORD-1113</x:v>
      </x:c>
      <x:c r="B116" s="25" t="n">
        <x:v>46160</x:v>
      </x:c>
      <x:c r="C116" s="26" t="str">
        <x:v>North</x:v>
      </x:c>
      <x:c r="D116" s="26" t="str">
        <x:v>Aylin Kaya</x:v>
      </x:c>
      <x:c r="E116" s="26" t="str">
        <x:v>P-106</x:v>
      </x:c>
      <x:c r="F116" s="26" t="str">
        <x:v>Milk Frother</x:v>
      </x:c>
      <x:c r="G116" s="26" t="str">
        <x:v>Equipment</x:v>
      </x:c>
      <x:c r="H116" s="27" t="n">
        <x:v>1</x:v>
      </x:c>
      <x:c r="I116" s="28" t="n">
        <x:v>74</x:v>
      </x:c>
      <x:c r="J116" s="29" t="n">
        <x:v>0</x:v>
      </x:c>
      <x:c r="K116" s="30" t="n">
        <x:f>H116*I116*(1-J116)</x:f>
        <x:v>74</x:v>
      </x:c>
    </x:row>
    <x:row r="117">
      <x:c r="A117" s="24" t="str">
        <x:v>ORD-1114</x:v>
      </x:c>
      <x:c r="B117" s="25" t="n">
        <x:v>46175</x:v>
      </x:c>
      <x:c r="C117" s="26" t="str">
        <x:v>West</x:v>
      </x:c>
      <x:c r="D117" s="26" t="str">
        <x:v>Maya Chen</x:v>
      </x:c>
      <x:c r="E117" s="26" t="str">
        <x:v>P-105</x:v>
      </x:c>
      <x:c r="F117" s="26" t="str">
        <x:v>POS Tablet</x:v>
      </x:c>
      <x:c r="G117" s="26" t="str">
        <x:v>Technology</x:v>
      </x:c>
      <x:c r="H117" s="27" t="n">
        <x:v>8</x:v>
      </x:c>
      <x:c r="I117" s="28" t="n">
        <x:v>310</x:v>
      </x:c>
      <x:c r="J117" s="29" t="n">
        <x:v>0.15</x:v>
      </x:c>
      <x:c r="K117" s="30" t="n">
        <x:f>H117*I117*(1-J117)</x:f>
        <x:v>2108</x:v>
      </x:c>
    </x:row>
    <x:row r="118">
      <x:c r="A118" s="24" t="str">
        <x:v>ORD-1115</x:v>
      </x:c>
      <x:c r="B118" s="25" t="n">
        <x:v>46035</x:v>
      </x:c>
      <x:c r="C118" s="26" t="str">
        <x:v>East</x:v>
      </x:c>
      <x:c r="D118" s="26" t="str">
        <x:v>Sofia Rossi</x:v>
      </x:c>
      <x:c r="E118" s="26" t="str">
        <x:v>P-104</x:v>
      </x:c>
      <x:c r="F118" s="26" t="str">
        <x:v>Paper Cup Pack</x:v>
      </x:c>
      <x:c r="G118" s="26" t="str">
        <x:v>Supplies</x:v>
      </x:c>
      <x:c r="H118" s="27" t="n">
        <x:v>7</x:v>
      </x:c>
      <x:c r="I118" s="28" t="n">
        <x:v>38</x:v>
      </x:c>
      <x:c r="J118" s="29" t="n">
        <x:v>0.05</x:v>
      </x:c>
      <x:c r="K118" s="30" t="n">
        <x:f>H118*I118*(1-J118)</x:f>
        <x:v>252.7</x:v>
      </x:c>
    </x:row>
    <x:row r="119">
      <x:c r="A119" s="24" t="str">
        <x:v>ORD-1116</x:v>
      </x:c>
      <x:c r="B119" s="25" t="n">
        <x:v>46077</x:v>
      </x:c>
      <x:c r="C119" s="26" t="str">
        <x:v>South</x:v>
      </x:c>
      <x:c r="D119" s="26" t="str">
        <x:v>Daniel Reed</x:v>
      </x:c>
      <x:c r="E119" s="26" t="str">
        <x:v>P-103</x:v>
      </x:c>
      <x:c r="F119" s="26" t="str">
        <x:v>Premium Beans 5kg</x:v>
      </x:c>
      <x:c r="G119" s="26" t="str">
        <x:v>Supplies</x:v>
      </x:c>
      <x:c r="H119" s="27" t="n">
        <x:v>6</x:v>
      </x:c>
      <x:c r="I119" s="28" t="n">
        <x:v>92</x:v>
      </x:c>
      <x:c r="J119" s="29" t="n">
        <x:v>0</x:v>
      </x:c>
      <x:c r="K119" s="30" t="n">
        <x:f>H119*I119*(1-J119)</x:f>
        <x:v>552</x:v>
      </x:c>
    </x:row>
    <x:row r="120">
      <x:c r="A120" s="24" t="str">
        <x:v>ORD-1117</x:v>
      </x:c>
      <x:c r="B120" s="25" t="n">
        <x:v>46089</x:v>
      </x:c>
      <x:c r="C120" s="26" t="str">
        <x:v>North</x:v>
      </x:c>
      <x:c r="D120" s="26" t="str">
        <x:v>Omar Haddad</x:v>
      </x:c>
      <x:c r="E120" s="26" t="str">
        <x:v>P-102</x:v>
      </x:c>
      <x:c r="F120" s="26" t="str">
        <x:v>Coffee Grinder</x:v>
      </x:c>
      <x:c r="G120" s="26" t="str">
        <x:v>Equipment</x:v>
      </x:c>
      <x:c r="H120" s="27" t="n">
        <x:v>5</x:v>
      </x:c>
      <x:c r="I120" s="28" t="n">
        <x:v>185</x:v>
      </x:c>
      <x:c r="J120" s="29" t="n">
        <x:v>0.1</x:v>
      </x:c>
      <x:c r="K120" s="30" t="n">
        <x:f>H120*I120*(1-J120)</x:f>
        <x:v>832.5</x:v>
      </x:c>
    </x:row>
    <x:row r="121">
      <x:c r="A121" s="24" t="str">
        <x:v>ORD-1118</x:v>
      </x:c>
      <x:c r="B121" s="25" t="n">
        <x:v>46131</x:v>
      </x:c>
      <x:c r="C121" s="26" t="str">
        <x:v>West</x:v>
      </x:c>
      <x:c r="D121" s="26" t="str">
        <x:v>Aylin Kaya</x:v>
      </x:c>
      <x:c r="E121" s="26" t="str">
        <x:v>P-101</x:v>
      </x:c>
      <x:c r="F121" s="26" t="str">
        <x:v>Espresso Machine</x:v>
      </x:c>
      <x:c r="G121" s="26" t="str">
        <x:v>Equipment</x:v>
      </x:c>
      <x:c r="H121" s="27" t="n">
        <x:v>4</x:v>
      </x:c>
      <x:c r="I121" s="28" t="n">
        <x:v>420</x:v>
      </x:c>
      <x:c r="J121" s="29" t="n">
        <x:v>0</x:v>
      </x:c>
      <x:c r="K121" s="30" t="n">
        <x:f>H121*I121*(1-J121)</x:f>
        <x:v>1680</x:v>
      </x:c>
    </x:row>
    <x:row r="122">
      <x:c r="A122" s="24" t="str">
        <x:v>ORD-1119</x:v>
      </x:c>
      <x:c r="B122" s="25" t="n">
        <x:v>46145</x:v>
      </x:c>
      <x:c r="C122" s="26" t="str">
        <x:v>East</x:v>
      </x:c>
      <x:c r="D122" s="26" t="str">
        <x:v>Maya Chen</x:v>
      </x:c>
      <x:c r="E122" s="26" t="str">
        <x:v>P-106</x:v>
      </x:c>
      <x:c r="F122" s="26" t="str">
        <x:v>Milk Frother</x:v>
      </x:c>
      <x:c r="G122" s="26" t="str">
        <x:v>Equipment</x:v>
      </x:c>
      <x:c r="H122" s="27" t="n">
        <x:v>3</x:v>
      </x:c>
      <x:c r="I122" s="28" t="n">
        <x:v>74</x:v>
      </x:c>
      <x:c r="J122" s="29" t="n">
        <x:v>0.15</x:v>
      </x:c>
      <x:c r="K122" s="30" t="n">
        <x:f>H122*I122*(1-J122)</x:f>
        <x:v>188.7</x:v>
      </x:c>
    </x:row>
    <x:row r="123">
      <x:c r="A123" s="24" t="str">
        <x:v>ORD-1120</x:v>
      </x:c>
      <x:c r="B123" s="25" t="n">
        <x:v>46187</x:v>
      </x:c>
      <x:c r="C123" s="26" t="str">
        <x:v>South</x:v>
      </x:c>
      <x:c r="D123" s="26" t="str">
        <x:v>Sofia Rossi</x:v>
      </x:c>
      <x:c r="E123" s="26" t="str">
        <x:v>P-105</x:v>
      </x:c>
      <x:c r="F123" s="26" t="str">
        <x:v>POS Tablet</x:v>
      </x:c>
      <x:c r="G123" s="26" t="str">
        <x:v>Technology</x:v>
      </x:c>
      <x:c r="H123" s="27" t="n">
        <x:v>2</x:v>
      </x:c>
      <x:c r="I123" s="28" t="n">
        <x:v>310</x:v>
      </x:c>
      <x:c r="J123" s="29" t="n">
        <x:v>0.05</x:v>
      </x:c>
      <x:c r="K123" s="30" t="n">
        <x:f>H123*I123*(1-J123)</x:f>
        <x:v>589</x:v>
      </x:c>
    </x:row>
    <x:row r="124">
      <x:c r="A124" s="24" t="str">
        <x:v>ORD-1121</x:v>
      </x:c>
      <x:c r="B124" s="25" t="n">
        <x:v>46047</x:v>
      </x:c>
      <x:c r="C124" s="26" t="str">
        <x:v>North</x:v>
      </x:c>
      <x:c r="D124" s="26" t="str">
        <x:v>Daniel Reed</x:v>
      </x:c>
      <x:c r="E124" s="26" t="str">
        <x:v>P-104</x:v>
      </x:c>
      <x:c r="F124" s="26" t="str">
        <x:v>Paper Cup Pack</x:v>
      </x:c>
      <x:c r="G124" s="26" t="str">
        <x:v>Supplies</x:v>
      </x:c>
      <x:c r="H124" s="27" t="n">
        <x:v>1</x:v>
      </x:c>
      <x:c r="I124" s="28" t="n">
        <x:v>38</x:v>
      </x:c>
      <x:c r="J124" s="29" t="n">
        <x:v>0</x:v>
      </x:c>
      <x:c r="K124" s="30" t="n">
        <x:f>H124*I124*(1-J124)</x:f>
        <x:v>38</x:v>
      </x:c>
    </x:row>
    <x:row r="125">
      <x:c r="A125" s="24" t="str">
        <x:v>ORD-1122</x:v>
      </x:c>
      <x:c r="B125" s="25" t="n">
        <x:v>46062</x:v>
      </x:c>
      <x:c r="C125" s="26" t="str">
        <x:v>West</x:v>
      </x:c>
      <x:c r="D125" s="26" t="str">
        <x:v>Omar Haddad</x:v>
      </x:c>
      <x:c r="E125" s="26" t="str">
        <x:v>P-103</x:v>
      </x:c>
      <x:c r="F125" s="26" t="str">
        <x:v>Premium Beans 5kg</x:v>
      </x:c>
      <x:c r="G125" s="26" t="str">
        <x:v>Supplies</x:v>
      </x:c>
      <x:c r="H125" s="27" t="n">
        <x:v>8</x:v>
      </x:c>
      <x:c r="I125" s="28" t="n">
        <x:v>92</x:v>
      </x:c>
      <x:c r="J125" s="29" t="n">
        <x:v>0.1</x:v>
      </x:c>
      <x:c r="K125" s="30" t="n">
        <x:f>H125*I125*(1-J125)</x:f>
        <x:v>662.4</x:v>
      </x:c>
    </x:row>
    <x:row r="126">
      <x:c r="A126" s="24" t="str">
        <x:v>ORD-1123</x:v>
      </x:c>
      <x:c r="B126" s="25" t="n">
        <x:v>46101</x:v>
      </x:c>
      <x:c r="C126" s="26" t="str">
        <x:v>East</x:v>
      </x:c>
      <x:c r="D126" s="26" t="str">
        <x:v>Aylin Kaya</x:v>
      </x:c>
      <x:c r="E126" s="26" t="str">
        <x:v>P-102</x:v>
      </x:c>
      <x:c r="F126" s="26" t="str">
        <x:v>Coffee Grinder</x:v>
      </x:c>
      <x:c r="G126" s="26" t="str">
        <x:v>Equipment</x:v>
      </x:c>
      <x:c r="H126" s="27" t="n">
        <x:v>7</x:v>
      </x:c>
      <x:c r="I126" s="28" t="n">
        <x:v>185</x:v>
      </x:c>
      <x:c r="J126" s="29" t="n">
        <x:v>0</x:v>
      </x:c>
      <x:c r="K126" s="30" t="n">
        <x:f>H126*I126*(1-J126)</x:f>
        <x:v>1295</x:v>
      </x:c>
    </x:row>
    <x:row r="127">
      <x:c r="A127" s="24" t="str">
        <x:v>ORD-1124</x:v>
      </x:c>
      <x:c r="B127" s="25" t="n">
        <x:v>46116</x:v>
      </x:c>
      <x:c r="C127" s="26" t="str">
        <x:v>South</x:v>
      </x:c>
      <x:c r="D127" s="26" t="str">
        <x:v>Maya Chen</x:v>
      </x:c>
      <x:c r="E127" s="26" t="str">
        <x:v>P-101</x:v>
      </x:c>
      <x:c r="F127" s="26" t="str">
        <x:v>Espresso Machine</x:v>
      </x:c>
      <x:c r="G127" s="26" t="str">
        <x:v>Equipment</x:v>
      </x:c>
      <x:c r="H127" s="27" t="n">
        <x:v>6</x:v>
      </x:c>
      <x:c r="I127" s="28" t="n">
        <x:v>420</x:v>
      </x:c>
      <x:c r="J127" s="29" t="n">
        <x:v>0.15</x:v>
      </x:c>
      <x:c r="K127" s="30" t="n">
        <x:f>H127*I127*(1-J127)</x:f>
        <x:v>2142</x:v>
      </x:c>
    </x:row>
    <x:row r="128">
      <x:c r="A128" s="24" t="str">
        <x:v>ORD-1125</x:v>
      </x:c>
      <x:c r="B128" s="25" t="n">
        <x:v>46157</x:v>
      </x:c>
      <x:c r="C128" s="26" t="str">
        <x:v>North</x:v>
      </x:c>
      <x:c r="D128" s="26" t="str">
        <x:v>Sofia Rossi</x:v>
      </x:c>
      <x:c r="E128" s="26" t="str">
        <x:v>P-106</x:v>
      </x:c>
      <x:c r="F128" s="26" t="str">
        <x:v>Milk Frother</x:v>
      </x:c>
      <x:c r="G128" s="26" t="str">
        <x:v>Equipment</x:v>
      </x:c>
      <x:c r="H128" s="27" t="n">
        <x:v>5</x:v>
      </x:c>
      <x:c r="I128" s="28" t="n">
        <x:v>74</x:v>
      </x:c>
      <x:c r="J128" s="29" t="n">
        <x:v>0.05</x:v>
      </x:c>
      <x:c r="K128" s="30" t="n">
        <x:f>H128*I128*(1-J128)</x:f>
        <x:v>351.5</x:v>
      </x:c>
    </x:row>
    <x:row r="129">
      <x:c r="A129" s="24" t="str">
        <x:v>ORD-1126</x:v>
      </x:c>
      <x:c r="B129" s="25" t="n">
        <x:v>46199</x:v>
      </x:c>
      <x:c r="C129" s="26" t="str">
        <x:v>West</x:v>
      </x:c>
      <x:c r="D129" s="26" t="str">
        <x:v>Daniel Reed</x:v>
      </x:c>
      <x:c r="E129" s="26" t="str">
        <x:v>P-105</x:v>
      </x:c>
      <x:c r="F129" s="26" t="str">
        <x:v>POS Tablet</x:v>
      </x:c>
      <x:c r="G129" s="26" t="str">
        <x:v>Technology</x:v>
      </x:c>
      <x:c r="H129" s="27" t="n">
        <x:v>4</x:v>
      </x:c>
      <x:c r="I129" s="28" t="n">
        <x:v>310</x:v>
      </x:c>
      <x:c r="J129" s="29" t="n">
        <x:v>0</x:v>
      </x:c>
      <x:c r="K129" s="30" t="n">
        <x:f>H129*I129*(1-J129)</x:f>
        <x:v>1240</x:v>
      </x:c>
    </x:row>
    <x:row r="130">
      <x:c r="A130" s="24" t="str">
        <x:v>ORD-1127</x:v>
      </x:c>
      <x:c r="B130" s="25" t="n">
        <x:v>46032</x:v>
      </x:c>
      <x:c r="C130" s="26" t="str">
        <x:v>East</x:v>
      </x:c>
      <x:c r="D130" s="26" t="str">
        <x:v>Omar Haddad</x:v>
      </x:c>
      <x:c r="E130" s="26" t="str">
        <x:v>P-104</x:v>
      </x:c>
      <x:c r="F130" s="26" t="str">
        <x:v>Paper Cup Pack</x:v>
      </x:c>
      <x:c r="G130" s="26" t="str">
        <x:v>Supplies</x:v>
      </x:c>
      <x:c r="H130" s="27" t="n">
        <x:v>3</x:v>
      </x:c>
      <x:c r="I130" s="28" t="n">
        <x:v>38</x:v>
      </x:c>
      <x:c r="J130" s="29" t="n">
        <x:v>0.1</x:v>
      </x:c>
      <x:c r="K130" s="30" t="n">
        <x:f>H130*I130*(1-J130)</x:f>
        <x:v>102.60000000000001</x:v>
      </x:c>
    </x:row>
    <x:row r="131">
      <x:c r="A131" s="24" t="str">
        <x:v>ORD-1128</x:v>
      </x:c>
      <x:c r="B131" s="25" t="n">
        <x:v>46074</x:v>
      </x:c>
      <x:c r="C131" s="26" t="str">
        <x:v>South</x:v>
      </x:c>
      <x:c r="D131" s="26" t="str">
        <x:v>Aylin Kaya</x:v>
      </x:c>
      <x:c r="E131" s="26" t="str">
        <x:v>P-103</x:v>
      </x:c>
      <x:c r="F131" s="26" t="str">
        <x:v>Premium Beans 5kg</x:v>
      </x:c>
      <x:c r="G131" s="26" t="str">
        <x:v>Supplies</x:v>
      </x:c>
      <x:c r="H131" s="27" t="n">
        <x:v>2</x:v>
      </x:c>
      <x:c r="I131" s="28" t="n">
        <x:v>92</x:v>
      </x:c>
      <x:c r="J131" s="29" t="n">
        <x:v>0</x:v>
      </x:c>
      <x:c r="K131" s="30" t="n">
        <x:f>H131*I131*(1-J131)</x:f>
        <x:v>184</x:v>
      </x:c>
    </x:row>
    <x:row r="132">
      <x:c r="A132" s="24" t="str">
        <x:v>ORD-1129</x:v>
      </x:c>
      <x:c r="B132" s="25" t="n">
        <x:v>46086</x:v>
      </x:c>
      <x:c r="C132" s="26" t="str">
        <x:v>North</x:v>
      </x:c>
      <x:c r="D132" s="26" t="str">
        <x:v>Maya Chen</x:v>
      </x:c>
      <x:c r="E132" s="26" t="str">
        <x:v>P-102</x:v>
      </x:c>
      <x:c r="F132" s="26" t="str">
        <x:v>Coffee Grinder</x:v>
      </x:c>
      <x:c r="G132" s="26" t="str">
        <x:v>Equipment</x:v>
      </x:c>
      <x:c r="H132" s="27" t="n">
        <x:v>1</x:v>
      </x:c>
      <x:c r="I132" s="28" t="n">
        <x:v>185</x:v>
      </x:c>
      <x:c r="J132" s="29" t="n">
        <x:v>0.15</x:v>
      </x:c>
      <x:c r="K132" s="30" t="n">
        <x:f>H132*I132*(1-J132)</x:f>
        <x:v>157.25</x:v>
      </x:c>
    </x:row>
    <x:row r="133">
      <x:c r="A133" s="24" t="str">
        <x:v>ORD-1130</x:v>
      </x:c>
      <x:c r="B133" s="25" t="n">
        <x:v>46128</x:v>
      </x:c>
      <x:c r="C133" s="26" t="str">
        <x:v>West</x:v>
      </x:c>
      <x:c r="D133" s="26" t="str">
        <x:v>Sofia Rossi</x:v>
      </x:c>
      <x:c r="E133" s="26" t="str">
        <x:v>P-101</x:v>
      </x:c>
      <x:c r="F133" s="26" t="str">
        <x:v>Espresso Machine</x:v>
      </x:c>
      <x:c r="G133" s="26" t="str">
        <x:v>Equipment</x:v>
      </x:c>
      <x:c r="H133" s="27" t="n">
        <x:v>8</x:v>
      </x:c>
      <x:c r="I133" s="28" t="n">
        <x:v>420</x:v>
      </x:c>
      <x:c r="J133" s="29" t="n">
        <x:v>0.05</x:v>
      </x:c>
      <x:c r="K133" s="30" t="n">
        <x:f>H133*I133*(1-J133)</x:f>
        <x:v>3192</x:v>
      </x:c>
    </x:row>
    <x:row r="134">
      <x:c r="A134" s="24" t="str">
        <x:v>ORD-1131</x:v>
      </x:c>
      <x:c r="B134" s="25" t="n">
        <x:v>46169</x:v>
      </x:c>
      <x:c r="C134" s="26" t="str">
        <x:v>East</x:v>
      </x:c>
      <x:c r="D134" s="26" t="str">
        <x:v>Daniel Reed</x:v>
      </x:c>
      <x:c r="E134" s="26" t="str">
        <x:v>P-106</x:v>
      </x:c>
      <x:c r="F134" s="26" t="str">
        <x:v>Milk Frother</x:v>
      </x:c>
      <x:c r="G134" s="26" t="str">
        <x:v>Equipment</x:v>
      </x:c>
      <x:c r="H134" s="27" t="n">
        <x:v>7</x:v>
      </x:c>
      <x:c r="I134" s="28" t="n">
        <x:v>74</x:v>
      </x:c>
      <x:c r="J134" s="29" t="n">
        <x:v>0</x:v>
      </x:c>
      <x:c r="K134" s="30" t="n">
        <x:f>H134*I134*(1-J134)</x:f>
        <x:v>518</x:v>
      </x:c>
    </x:row>
    <x:row r="135">
      <x:c r="A135" s="24" t="str">
        <x:v>ORD-1132</x:v>
      </x:c>
      <x:c r="B135" s="25" t="n">
        <x:v>46184</x:v>
      </x:c>
      <x:c r="C135" s="26" t="str">
        <x:v>South</x:v>
      </x:c>
      <x:c r="D135" s="26" t="str">
        <x:v>Omar Haddad</x:v>
      </x:c>
      <x:c r="E135" s="26" t="str">
        <x:v>P-105</x:v>
      </x:c>
      <x:c r="F135" s="26" t="str">
        <x:v>POS Tablet</x:v>
      </x:c>
      <x:c r="G135" s="26" t="str">
        <x:v>Technology</x:v>
      </x:c>
      <x:c r="H135" s="27" t="n">
        <x:v>6</x:v>
      </x:c>
      <x:c r="I135" s="28" t="n">
        <x:v>310</x:v>
      </x:c>
      <x:c r="J135" s="29" t="n">
        <x:v>0.1</x:v>
      </x:c>
      <x:c r="K135" s="30" t="n">
        <x:f>H135*I135*(1-J135)</x:f>
        <x:v>1674</x:v>
      </x:c>
    </x:row>
    <x:row r="136">
      <x:c r="A136" s="24" t="str">
        <x:v>ORD-1133</x:v>
      </x:c>
      <x:c r="B136" s="25" t="n">
        <x:v>46044</x:v>
      </x:c>
      <x:c r="C136" s="26" t="str">
        <x:v>North</x:v>
      </x:c>
      <x:c r="D136" s="26" t="str">
        <x:v>Aylin Kaya</x:v>
      </x:c>
      <x:c r="E136" s="26" t="str">
        <x:v>P-104</x:v>
      </x:c>
      <x:c r="F136" s="26" t="str">
        <x:v>Paper Cup Pack</x:v>
      </x:c>
      <x:c r="G136" s="26" t="str">
        <x:v>Supplies</x:v>
      </x:c>
      <x:c r="H136" s="27" t="n">
        <x:v>5</x:v>
      </x:c>
      <x:c r="I136" s="28" t="n">
        <x:v>38</x:v>
      </x:c>
      <x:c r="J136" s="29" t="n">
        <x:v>0</x:v>
      </x:c>
      <x:c r="K136" s="30" t="n">
        <x:f>H136*I136*(1-J136)</x:f>
        <x:v>190</x:v>
      </x:c>
    </x:row>
    <x:row r="137">
      <x:c r="A137" s="24" t="str">
        <x:v>ORD-1134</x:v>
      </x:c>
      <x:c r="B137" s="25" t="n">
        <x:v>46059</x:v>
      </x:c>
      <x:c r="C137" s="26" t="str">
        <x:v>West</x:v>
      </x:c>
      <x:c r="D137" s="26" t="str">
        <x:v>Maya Chen</x:v>
      </x:c>
      <x:c r="E137" s="26" t="str">
        <x:v>P-103</x:v>
      </x:c>
      <x:c r="F137" s="26" t="str">
        <x:v>Premium Beans 5kg</x:v>
      </x:c>
      <x:c r="G137" s="26" t="str">
        <x:v>Supplies</x:v>
      </x:c>
      <x:c r="H137" s="27" t="n">
        <x:v>4</x:v>
      </x:c>
      <x:c r="I137" s="28" t="n">
        <x:v>92</x:v>
      </x:c>
      <x:c r="J137" s="29" t="n">
        <x:v>0.15</x:v>
      </x:c>
      <x:c r="K137" s="30" t="n">
        <x:f>H137*I137*(1-J137)</x:f>
        <x:v>312.8</x:v>
      </x:c>
    </x:row>
    <x:row r="138">
      <x:c r="A138" s="24" t="str">
        <x:v>ORD-1135</x:v>
      </x:c>
      <x:c r="B138" s="25" t="n">
        <x:v>46098</x:v>
      </x:c>
      <x:c r="C138" s="26" t="str">
        <x:v>East</x:v>
      </x:c>
      <x:c r="D138" s="26" t="str">
        <x:v>Sofia Rossi</x:v>
      </x:c>
      <x:c r="E138" s="26" t="str">
        <x:v>P-102</x:v>
      </x:c>
      <x:c r="F138" s="26" t="str">
        <x:v>Coffee Grinder</x:v>
      </x:c>
      <x:c r="G138" s="26" t="str">
        <x:v>Equipment</x:v>
      </x:c>
      <x:c r="H138" s="27" t="n">
        <x:v>3</x:v>
      </x:c>
      <x:c r="I138" s="28" t="n">
        <x:v>185</x:v>
      </x:c>
      <x:c r="J138" s="29" t="n">
        <x:v>0.05</x:v>
      </x:c>
      <x:c r="K138" s="30" t="n">
        <x:f>H138*I138*(1-J138)</x:f>
        <x:v>527.25</x:v>
      </x:c>
    </x:row>
    <x:row r="139">
      <x:c r="A139" s="24" t="str">
        <x:v>ORD-1136</x:v>
      </x:c>
      <x:c r="B139" s="25" t="n">
        <x:v>46113</x:v>
      </x:c>
      <x:c r="C139" s="26" t="str">
        <x:v>South</x:v>
      </x:c>
      <x:c r="D139" s="26" t="str">
        <x:v>Daniel Reed</x:v>
      </x:c>
      <x:c r="E139" s="26" t="str">
        <x:v>P-101</x:v>
      </x:c>
      <x:c r="F139" s="26" t="str">
        <x:v>Espresso Machine</x:v>
      </x:c>
      <x:c r="G139" s="26" t="str">
        <x:v>Equipment</x:v>
      </x:c>
      <x:c r="H139" s="27" t="n">
        <x:v>2</x:v>
      </x:c>
      <x:c r="I139" s="28" t="n">
        <x:v>420</x:v>
      </x:c>
      <x:c r="J139" s="29" t="n">
        <x:v>0</x:v>
      </x:c>
      <x:c r="K139" s="30" t="n">
        <x:f>H139*I139*(1-J139)</x:f>
        <x:v>840</x:v>
      </x:c>
    </x:row>
    <x:row r="140">
      <x:c r="A140" s="24" t="str">
        <x:v>ORD-1137</x:v>
      </x:c>
      <x:c r="B140" s="25" t="n">
        <x:v>46154</x:v>
      </x:c>
      <x:c r="C140" s="26" t="str">
        <x:v>North</x:v>
      </x:c>
      <x:c r="D140" s="26" t="str">
        <x:v>Omar Haddad</x:v>
      </x:c>
      <x:c r="E140" s="26" t="str">
        <x:v>P-106</x:v>
      </x:c>
      <x:c r="F140" s="26" t="str">
        <x:v>Milk Frother</x:v>
      </x:c>
      <x:c r="G140" s="26" t="str">
        <x:v>Equipment</x:v>
      </x:c>
      <x:c r="H140" s="27" t="n">
        <x:v>1</x:v>
      </x:c>
      <x:c r="I140" s="28" t="n">
        <x:v>74</x:v>
      </x:c>
      <x:c r="J140" s="29" t="n">
        <x:v>0.1</x:v>
      </x:c>
      <x:c r="K140" s="30" t="n">
        <x:f>H140*I140*(1-J140)</x:f>
        <x:v>66.60000000000001</x:v>
      </x:c>
    </x:row>
    <x:row r="141">
      <x:c r="A141" s="24" t="str">
        <x:v>ORD-1138</x:v>
      </x:c>
      <x:c r="B141" s="25" t="n">
        <x:v>46196</x:v>
      </x:c>
      <x:c r="C141" s="26" t="str">
        <x:v>West</x:v>
      </x:c>
      <x:c r="D141" s="26" t="str">
        <x:v>Aylin Kaya</x:v>
      </x:c>
      <x:c r="E141" s="26" t="str">
        <x:v>P-105</x:v>
      </x:c>
      <x:c r="F141" s="26" t="str">
        <x:v>POS Tablet</x:v>
      </x:c>
      <x:c r="G141" s="26" t="str">
        <x:v>Technology</x:v>
      </x:c>
      <x:c r="H141" s="27" t="n">
        <x:v>8</x:v>
      </x:c>
      <x:c r="I141" s="28" t="n">
        <x:v>310</x:v>
      </x:c>
      <x:c r="J141" s="29" t="n">
        <x:v>0</x:v>
      </x:c>
      <x:c r="K141" s="30" t="n">
        <x:f>H141*I141*(1-J141)</x:f>
        <x:v>2480</x:v>
      </x:c>
    </x:row>
    <x:row r="142">
      <x:c r="A142" s="24" t="str">
        <x:v>ORD-1139</x:v>
      </x:c>
      <x:c r="B142" s="25" t="n">
        <x:v>46029</x:v>
      </x:c>
      <x:c r="C142" s="26" t="str">
        <x:v>East</x:v>
      </x:c>
      <x:c r="D142" s="26" t="str">
        <x:v>Maya Chen</x:v>
      </x:c>
      <x:c r="E142" s="26" t="str">
        <x:v>P-104</x:v>
      </x:c>
      <x:c r="F142" s="26" t="str">
        <x:v>Paper Cup Pack</x:v>
      </x:c>
      <x:c r="G142" s="26" t="str">
        <x:v>Supplies</x:v>
      </x:c>
      <x:c r="H142" s="27" t="n">
        <x:v>7</x:v>
      </x:c>
      <x:c r="I142" s="28" t="n">
        <x:v>38</x:v>
      </x:c>
      <x:c r="J142" s="29" t="n">
        <x:v>0.15</x:v>
      </x:c>
      <x:c r="K142" s="30" t="n">
        <x:f>H142*I142*(1-J142)</x:f>
        <x:v>226.1</x:v>
      </x:c>
    </x:row>
    <x:row r="143">
      <x:c r="A143" s="24" t="str">
        <x:v>ORD-1140</x:v>
      </x:c>
      <x:c r="B143" s="25" t="n">
        <x:v>46071</x:v>
      </x:c>
      <x:c r="C143" s="26" t="str">
        <x:v>South</x:v>
      </x:c>
      <x:c r="D143" s="26" t="str">
        <x:v>Sofia Rossi</x:v>
      </x:c>
      <x:c r="E143" s="26" t="str">
        <x:v>P-103</x:v>
      </x:c>
      <x:c r="F143" s="26" t="str">
        <x:v>Premium Beans 5kg</x:v>
      </x:c>
      <x:c r="G143" s="26" t="str">
        <x:v>Supplies</x:v>
      </x:c>
      <x:c r="H143" s="27" t="n">
        <x:v>6</x:v>
      </x:c>
      <x:c r="I143" s="28" t="n">
        <x:v>92</x:v>
      </x:c>
      <x:c r="J143" s="29" t="n">
        <x:v>0.05</x:v>
      </x:c>
      <x:c r="K143" s="30" t="n">
        <x:f>H143*I143*(1-J143)</x:f>
        <x:v>524.4</x:v>
      </x:c>
    </x:row>
    <x:row r="144">
      <x:c r="A144" s="24" t="str">
        <x:v>ORD-1141</x:v>
      </x:c>
      <x:c r="B144" s="25" t="n">
        <x:v>46083</x:v>
      </x:c>
      <x:c r="C144" s="26" t="str">
        <x:v>North</x:v>
      </x:c>
      <x:c r="D144" s="26" t="str">
        <x:v>Daniel Reed</x:v>
      </x:c>
      <x:c r="E144" s="26" t="str">
        <x:v>P-102</x:v>
      </x:c>
      <x:c r="F144" s="26" t="str">
        <x:v>Coffee Grinder</x:v>
      </x:c>
      <x:c r="G144" s="26" t="str">
        <x:v>Equipment</x:v>
      </x:c>
      <x:c r="H144" s="27" t="n">
        <x:v>5</x:v>
      </x:c>
      <x:c r="I144" s="28" t="n">
        <x:v>185</x:v>
      </x:c>
      <x:c r="J144" s="29" t="n">
        <x:v>0</x:v>
      </x:c>
      <x:c r="K144" s="30" t="n">
        <x:f>H144*I144*(1-J144)</x:f>
        <x:v>925</x:v>
      </x:c>
    </x:row>
    <x:row r="145">
      <x:c r="A145" s="24" t="str">
        <x:v>ORD-1142</x:v>
      </x:c>
      <x:c r="B145" s="25" t="n">
        <x:v>46125</x:v>
      </x:c>
      <x:c r="C145" s="26" t="str">
        <x:v>West</x:v>
      </x:c>
      <x:c r="D145" s="26" t="str">
        <x:v>Omar Haddad</x:v>
      </x:c>
      <x:c r="E145" s="26" t="str">
        <x:v>P-101</x:v>
      </x:c>
      <x:c r="F145" s="26" t="str">
        <x:v>Espresso Machine</x:v>
      </x:c>
      <x:c r="G145" s="26" t="str">
        <x:v>Equipment</x:v>
      </x:c>
      <x:c r="H145" s="27" t="n">
        <x:v>4</x:v>
      </x:c>
      <x:c r="I145" s="28" t="n">
        <x:v>420</x:v>
      </x:c>
      <x:c r="J145" s="29" t="n">
        <x:v>0.1</x:v>
      </x:c>
      <x:c r="K145" s="30" t="n">
        <x:f>H145*I145*(1-J145)</x:f>
        <x:v>1512</x:v>
      </x:c>
    </x:row>
    <x:row r="146">
      <x:c r="A146" s="24" t="str">
        <x:v>ORD-1143</x:v>
      </x:c>
      <x:c r="B146" s="25" t="n">
        <x:v>46166</x:v>
      </x:c>
      <x:c r="C146" s="26" t="str">
        <x:v>East</x:v>
      </x:c>
      <x:c r="D146" s="26" t="str">
        <x:v>Aylin Kaya</x:v>
      </x:c>
      <x:c r="E146" s="26" t="str">
        <x:v>P-106</x:v>
      </x:c>
      <x:c r="F146" s="26" t="str">
        <x:v>Milk Frother</x:v>
      </x:c>
      <x:c r="G146" s="26" t="str">
        <x:v>Equipment</x:v>
      </x:c>
      <x:c r="H146" s="27" t="n">
        <x:v>3</x:v>
      </x:c>
      <x:c r="I146" s="28" t="n">
        <x:v>74</x:v>
      </x:c>
      <x:c r="J146" s="29" t="n">
        <x:v>0</x:v>
      </x:c>
      <x:c r="K146" s="30" t="n">
        <x:f>H146*I146*(1-J146)</x:f>
        <x:v>222</x:v>
      </x:c>
    </x:row>
    <x:row r="147">
      <x:c r="A147" s="24" t="str">
        <x:v>ORD-1144</x:v>
      </x:c>
      <x:c r="B147" s="25" t="str">
        <x:v>2026-13-04</x:v>
      </x:c>
      <x:c r="C147" s="26" t="str">
        <x:v>South</x:v>
      </x:c>
      <x:c r="D147" s="26" t="str">
        <x:v>Maya Chen</x:v>
      </x:c>
      <x:c r="E147" s="26" t="str">
        <x:v>P-105</x:v>
      </x:c>
      <x:c r="F147" s="26" t="str">
        <x:v>POS Tablet</x:v>
      </x:c>
      <x:c r="G147" s="26" t="str">
        <x:v>Technology</x:v>
      </x:c>
      <x:c r="H147" s="27" t="n">
        <x:v>2</x:v>
      </x:c>
      <x:c r="I147" s="28" t="n">
        <x:v>310</x:v>
      </x:c>
      <x:c r="J147" s="29" t="n">
        <x:v>0.15</x:v>
      </x:c>
      <x:c r="K147" s="30" t="n">
        <x:f>H147*I147*(1-J147)</x:f>
        <x:v>527</x:v>
      </x:c>
    </x:row>
    <x:row r="148">
      <x:c r="A148" s="24" t="str">
        <x:v>ORD-1145</x:v>
      </x:c>
      <x:c r="B148" s="25" t="n">
        <x:v>46041</x:v>
      </x:c>
      <x:c r="C148" s="26" t="str">
        <x:v>North</x:v>
      </x:c>
      <x:c r="D148" s="26" t="str">
        <x:v>Sofia Rossi</x:v>
      </x:c>
      <x:c r="E148" s="26" t="str">
        <x:v>P-104</x:v>
      </x:c>
      <x:c r="F148" s="26" t="str">
        <x:v>Paper Cup Pack</x:v>
      </x:c>
      <x:c r="G148" s="26" t="str">
        <x:v>Supplies</x:v>
      </x:c>
      <x:c r="H148" s="27" t="n">
        <x:v>1</x:v>
      </x:c>
      <x:c r="I148" s="28" t="n">
        <x:v>38</x:v>
      </x:c>
      <x:c r="J148" s="29" t="n">
        <x:v>0.05</x:v>
      </x:c>
      <x:c r="K148" s="30" t="n">
        <x:f>H148*I148*(1-J148)</x:f>
        <x:v>36.1</x:v>
      </x:c>
    </x:row>
    <x:row r="149">
      <x:c r="A149" s="24" t="str">
        <x:v>ORD-1146</x:v>
      </x:c>
      <x:c r="B149" s="25" t="n">
        <x:v>46056</x:v>
      </x:c>
      <x:c r="C149" s="26" t="str">
        <x:v>West</x:v>
      </x:c>
      <x:c r="D149" s="26" t="str">
        <x:v>Daniel Reed</x:v>
      </x:c>
      <x:c r="E149" s="26" t="str">
        <x:v>P-103</x:v>
      </x:c>
      <x:c r="F149" s="26" t="str">
        <x:v>Premium Beans 5kg</x:v>
      </x:c>
      <x:c r="G149" s="26" t="str">
        <x:v>Supplies</x:v>
      </x:c>
      <x:c r="H149" s="27" t="n">
        <x:v>8</x:v>
      </x:c>
      <x:c r="I149" s="28" t="n">
        <x:v>92</x:v>
      </x:c>
      <x:c r="J149" s="29" t="n">
        <x:v>0</x:v>
      </x:c>
      <x:c r="K149" s="30" t="n">
        <x:f>H149*I149*(1-J149)</x:f>
        <x:v>736</x:v>
      </x:c>
    </x:row>
    <x:row r="150">
      <x:c r="A150" s="24" t="str">
        <x:v>ORD-1147</x:v>
      </x:c>
      <x:c r="B150" s="25" t="n">
        <x:v>46095</x:v>
      </x:c>
      <x:c r="C150" s="26" t="str">
        <x:v>East</x:v>
      </x:c>
      <x:c r="D150" s="26" t="str">
        <x:v>Omar Haddad</x:v>
      </x:c>
      <x:c r="E150" s="26" t="str">
        <x:v>P-102</x:v>
      </x:c>
      <x:c r="F150" s="26" t="str">
        <x:v>Coffee Grinder</x:v>
      </x:c>
      <x:c r="G150" s="26" t="str">
        <x:v>Equipment</x:v>
      </x:c>
      <x:c r="H150" s="27" t="n">
        <x:v>7</x:v>
      </x:c>
      <x:c r="I150" s="28" t="n">
        <x:v>185</x:v>
      </x:c>
      <x:c r="J150" s="29" t="n">
        <x:v>0.1</x:v>
      </x:c>
      <x:c r="K150" s="30" t="n">
        <x:f>H150*I150*(1-J150)</x:f>
        <x:v>1165.5</x:v>
      </x:c>
    </x:row>
    <x:row r="151">
      <x:c r="A151" s="24" t="str">
        <x:v>ORD-1148</x:v>
      </x:c>
      <x:c r="B151" s="25" t="n">
        <x:v>46137</x:v>
      </x:c>
      <x:c r="C151" s="26" t="str">
        <x:v>South</x:v>
      </x:c>
      <x:c r="D151" s="26" t="str">
        <x:v>Aylin Kaya</x:v>
      </x:c>
      <x:c r="E151" s="26" t="str">
        <x:v>P-101</x:v>
      </x:c>
      <x:c r="F151" s="26" t="str">
        <x:v>Espresso Machine</x:v>
      </x:c>
      <x:c r="G151" s="26" t="str">
        <x:v>Equipment</x:v>
      </x:c>
      <x:c r="H151" s="27" t="n">
        <x:v>6</x:v>
      </x:c>
      <x:c r="I151" s="28" t="n">
        <x:v>420</x:v>
      </x:c>
      <x:c r="J151" s="29" t="n">
        <x:v>0</x:v>
      </x:c>
      <x:c r="K151" s="30" t="n">
        <x:f>H151*I151*(1-J151)</x:f>
        <x:v>2520</x:v>
      </x:c>
    </x:row>
    <x:row r="152">
      <x:c r="A152" s="24" t="str">
        <x:v>ORD-1149</x:v>
      </x:c>
      <x:c r="B152" s="25" t="n">
        <x:v>46151</x:v>
      </x:c>
      <x:c r="C152" s="26" t="str">
        <x:v>North</x:v>
      </x:c>
      <x:c r="D152" s="26" t="str">
        <x:v>Maya Chen</x:v>
      </x:c>
      <x:c r="E152" s="26" t="str">
        <x:v>P-106</x:v>
      </x:c>
      <x:c r="F152" s="26" t="str">
        <x:v>Milk Frother</x:v>
      </x:c>
      <x:c r="G152" s="26" t="str">
        <x:v>Equipment</x:v>
      </x:c>
      <x:c r="H152" s="27" t="n">
        <x:v>5</x:v>
      </x:c>
      <x:c r="I152" s="28" t="n">
        <x:v>74</x:v>
      </x:c>
      <x:c r="J152" s="29" t="n">
        <x:v>0.15</x:v>
      </x:c>
      <x:c r="K152" s="30" t="n">
        <x:f>H152*I152*(1-J152)</x:f>
        <x:v>314.5</x:v>
      </x:c>
    </x:row>
    <x:row r="153">
      <x:c r="A153" s="24" t="str">
        <x:v>ORD-1150</x:v>
      </x:c>
      <x:c r="B153" s="25" t="n">
        <x:v>46193</x:v>
      </x:c>
      <x:c r="C153" s="26" t="str">
        <x:v>West</x:v>
      </x:c>
      <x:c r="D153" s="26" t="str">
        <x:v>Sofia Rossi</x:v>
      </x:c>
      <x:c r="E153" s="26" t="str">
        <x:v>P-105</x:v>
      </x:c>
      <x:c r="F153" s="26" t="str">
        <x:v>POS Tablet</x:v>
      </x:c>
      <x:c r="G153" s="26" t="str">
        <x:v>Technology</x:v>
      </x:c>
      <x:c r="H153" s="27" t="n">
        <x:v>4</x:v>
      </x:c>
      <x:c r="I153" s="28" t="n">
        <x:v>310</x:v>
      </x:c>
      <x:c r="J153" s="29" t="n">
        <x:v>0.05</x:v>
      </x:c>
      <x:c r="K153" s="30" t="n">
        <x:f>H153*I153*(1-J153)</x:f>
        <x:v>1178</x:v>
      </x:c>
    </x:row>
    <x:row r="154">
      <x:c r="A154" s="24" t="str">
        <x:v>ORD-1151</x:v>
      </x:c>
      <x:c r="B154" s="25" t="n">
        <x:v>46026</x:v>
      </x:c>
      <x:c r="C154" s="26" t="str">
        <x:v>East</x:v>
      </x:c>
      <x:c r="D154" s="26" t="str">
        <x:v>Daniel Reed</x:v>
      </x:c>
      <x:c r="E154" s="26" t="str">
        <x:v>P-104</x:v>
      </x:c>
      <x:c r="F154" s="26" t="str">
        <x:v>Paper Cup Pack</x:v>
      </x:c>
      <x:c r="G154" s="26" t="str">
        <x:v>Supplies</x:v>
      </x:c>
      <x:c r="H154" s="27" t="n">
        <x:v>3</x:v>
      </x:c>
      <x:c r="I154" s="28" t="n">
        <x:v>38</x:v>
      </x:c>
      <x:c r="J154" s="29" t="n">
        <x:v>0</x:v>
      </x:c>
      <x:c r="K154" s="30" t="n">
        <x:f>H154*I154*(1-J154)</x:f>
        <x:v>114</x:v>
      </x:c>
    </x:row>
    <x:row r="155">
      <x:c r="A155" s="24" t="str">
        <x:v>ORD-1152</x:v>
      </x:c>
      <x:c r="B155" s="25" t="n">
        <x:v>46068</x:v>
      </x:c>
      <x:c r="C155" s="26" t="str">
        <x:v>South</x:v>
      </x:c>
      <x:c r="D155" s="26" t="str">
        <x:v>Omar Haddad</x:v>
      </x:c>
      <x:c r="E155" s="26" t="str">
        <x:v>P-103</x:v>
      </x:c>
      <x:c r="F155" s="26" t="str">
        <x:v>Premium Beans 5kg</x:v>
      </x:c>
      <x:c r="G155" s="26" t="str">
        <x:v>Supplies</x:v>
      </x:c>
      <x:c r="H155" s="27" t="n">
        <x:v>2</x:v>
      </x:c>
      <x:c r="I155" s="28" t="n">
        <x:v>92</x:v>
      </x:c>
      <x:c r="J155" s="29" t="n">
        <x:v>0.1</x:v>
      </x:c>
      <x:c r="K155" s="30" t="n">
        <x:f>H155*I155*(1-J155)</x:f>
        <x:v>165.6</x:v>
      </x:c>
    </x:row>
    <x:row r="156">
      <x:c r="A156" s="24" t="str">
        <x:v>ORD-1153</x:v>
      </x:c>
      <x:c r="B156" s="25" t="n">
        <x:v>46107</x:v>
      </x:c>
      <x:c r="C156" s="26" t="str">
        <x:v>North</x:v>
      </x:c>
      <x:c r="D156" s="26" t="str">
        <x:v>Aylin Kaya</x:v>
      </x:c>
      <x:c r="E156" s="26" t="str">
        <x:v>P-102</x:v>
      </x:c>
      <x:c r="F156" s="26" t="str">
        <x:v>Coffee Grinder</x:v>
      </x:c>
      <x:c r="G156" s="26" t="str">
        <x:v>Equipment</x:v>
      </x:c>
      <x:c r="H156" s="27" t="n">
        <x:v>1</x:v>
      </x:c>
      <x:c r="I156" s="28" t="n">
        <x:v>185</x:v>
      </x:c>
      <x:c r="J156" s="29" t="n">
        <x:v>0</x:v>
      </x:c>
      <x:c r="K156" s="30" t="n">
        <x:f>H156*I156*(1-J156)</x:f>
        <x:v>185</x:v>
      </x:c>
    </x:row>
    <x:row r="157">
      <x:c r="A157" s="24" t="str">
        <x:v>ORD-1154</x:v>
      </x:c>
      <x:c r="B157" s="25" t="n">
        <x:v>46122</x:v>
      </x:c>
      <x:c r="C157" s="26" t="str">
        <x:v>West</x:v>
      </x:c>
      <x:c r="D157" s="26" t="str">
        <x:v>Maya Chen</x:v>
      </x:c>
      <x:c r="E157" s="26" t="str">
        <x:v>P-101</x:v>
      </x:c>
      <x:c r="F157" s="26" t="str">
        <x:v>Espresso Machine</x:v>
      </x:c>
      <x:c r="G157" s="26" t="str">
        <x:v>Equipment</x:v>
      </x:c>
      <x:c r="H157" s="27" t="n">
        <x:v>8</x:v>
      </x:c>
      <x:c r="I157" s="28" t="n">
        <x:v>420</x:v>
      </x:c>
      <x:c r="J157" s="29" t="n">
        <x:v>0.15</x:v>
      </x:c>
      <x:c r="K157" s="30" t="n">
        <x:f>H157*I157*(1-J157)</x:f>
        <x:v>2856</x:v>
      </x:c>
    </x:row>
    <x:row r="158">
      <x:c r="A158" s="24" t="str">
        <x:v>ORD-1155</x:v>
      </x:c>
      <x:c r="B158" s="25" t="n">
        <x:v>46163</x:v>
      </x:c>
      <x:c r="C158" s="26" t="str">
        <x:v>East</x:v>
      </x:c>
      <x:c r="D158" s="26" t="str">
        <x:v>Sofia Rossi</x:v>
      </x:c>
      <x:c r="E158" s="26" t="str">
        <x:v>P-106</x:v>
      </x:c>
      <x:c r="F158" s="26" t="str">
        <x:v>Milk Frother</x:v>
      </x:c>
      <x:c r="G158" s="26" t="str">
        <x:v>Equipment</x:v>
      </x:c>
      <x:c r="H158" s="27" t="n">
        <x:v>7</x:v>
      </x:c>
      <x:c r="I158" s="28" t="n">
        <x:v>74</x:v>
      </x:c>
      <x:c r="J158" s="29" t="n">
        <x:v>0.05</x:v>
      </x:c>
      <x:c r="K158" s="30" t="n">
        <x:f>H158*I158*(1-J158)</x:f>
        <x:v>492.09999999999997</x:v>
      </x:c>
    </x:row>
    <x:row r="159">
      <x:c r="A159" s="24" t="str">
        <x:v>ORD-1156</x:v>
      </x:c>
      <x:c r="B159" s="25" t="n">
        <x:v>46178</x:v>
      </x:c>
      <x:c r="C159" s="26" t="str">
        <x:v>South</x:v>
      </x:c>
      <x:c r="D159" s="26" t="str">
        <x:v>Daniel Reed</x:v>
      </x:c>
      <x:c r="E159" s="26" t="str">
        <x:v>P-105</x:v>
      </x:c>
      <x:c r="F159" s="26" t="str">
        <x:v>POS Tablet</x:v>
      </x:c>
      <x:c r="G159" s="26" t="str">
        <x:v>Technology</x:v>
      </x:c>
      <x:c r="H159" s="27" t="n">
        <x:v>6</x:v>
      </x:c>
      <x:c r="I159" s="28" t="n">
        <x:v>310</x:v>
      </x:c>
      <x:c r="J159" s="29" t="n">
        <x:v>0</x:v>
      </x:c>
      <x:c r="K159" s="30" t="n">
        <x:f>H159*I159*(1-J159)</x:f>
        <x:v>1860</x:v>
      </x:c>
    </x:row>
    <x:row r="160">
      <x:c r="A160" s="24" t="str">
        <x:v>ORD-1157</x:v>
      </x:c>
      <x:c r="B160" s="25" t="n">
        <x:v>46038</x:v>
      </x:c>
      <x:c r="C160" s="26" t="str">
        <x:v>North</x:v>
      </x:c>
      <x:c r="D160" s="26" t="str">
        <x:v>Omar Haddad</x:v>
      </x:c>
      <x:c r="E160" s="26" t="str">
        <x:v>P-104</x:v>
      </x:c>
      <x:c r="F160" s="26" t="str">
        <x:v>Paper Cup Pack</x:v>
      </x:c>
      <x:c r="G160" s="26" t="str">
        <x:v>Supplies</x:v>
      </x:c>
      <x:c r="H160" s="27" t="n">
        <x:v>5</x:v>
      </x:c>
      <x:c r="I160" s="28" t="n">
        <x:v>38</x:v>
      </x:c>
      <x:c r="J160" s="29" t="n">
        <x:v>0.1</x:v>
      </x:c>
      <x:c r="K160" s="30" t="n">
        <x:f>H160*I160*(1-J160)</x:f>
        <x:v>171</x:v>
      </x:c>
    </x:row>
    <x:row r="161">
      <x:c r="A161" s="24" t="str">
        <x:v>ORD-1158</x:v>
      </x:c>
      <x:c r="B161" s="25" t="n">
        <x:v>46080</x:v>
      </x:c>
      <x:c r="C161" s="26" t="str">
        <x:v>West</x:v>
      </x:c>
      <x:c r="D161" s="26" t="str">
        <x:v>Aylin Kaya</x:v>
      </x:c>
      <x:c r="E161" s="26" t="str">
        <x:v>P-103</x:v>
      </x:c>
      <x:c r="F161" s="26" t="str">
        <x:v>Premium Beans 5kg</x:v>
      </x:c>
      <x:c r="G161" s="26" t="str">
        <x:v>Supplies</x:v>
      </x:c>
      <x:c r="H161" s="27" t="n">
        <x:v>4</x:v>
      </x:c>
      <x:c r="I161" s="28" t="n">
        <x:v>92</x:v>
      </x:c>
      <x:c r="J161" s="29" t="n">
        <x:v>0</x:v>
      </x:c>
      <x:c r="K161" s="30" t="n">
        <x:f>H161*I161*(1-J161)</x:f>
        <x:v>368</x:v>
      </x:c>
    </x:row>
    <x:row r="162">
      <x:c r="A162" s="24" t="str">
        <x:v>ORD-1159</x:v>
      </x:c>
      <x:c r="B162" s="25" t="n">
        <x:v>46092</x:v>
      </x:c>
      <x:c r="C162" s="26" t="str">
        <x:v>East</x:v>
      </x:c>
      <x:c r="D162" s="26" t="str">
        <x:v>Maya Chen</x:v>
      </x:c>
      <x:c r="E162" s="26" t="str">
        <x:v>P-102</x:v>
      </x:c>
      <x:c r="F162" s="26" t="str">
        <x:v>Coffee Grinder</x:v>
      </x:c>
      <x:c r="G162" s="26" t="str">
        <x:v>Equipment</x:v>
      </x:c>
      <x:c r="H162" s="27" t="n">
        <x:v>3</x:v>
      </x:c>
      <x:c r="I162" s="28" t="n">
        <x:v>185</x:v>
      </x:c>
      <x:c r="J162" s="29" t="n">
        <x:v>0.15</x:v>
      </x:c>
      <x:c r="K162" s="30" t="n">
        <x:f>H162*I162*(1-J162)</x:f>
        <x:v>471.75</x:v>
      </x:c>
    </x:row>
    <x:row r="163">
      <x:c r="A163" s="24" t="str">
        <x:v>ORD-1160</x:v>
      </x:c>
      <x:c r="B163" s="25" t="n">
        <x:v>46134</x:v>
      </x:c>
      <x:c r="C163" s="26" t="str">
        <x:v>South</x:v>
      </x:c>
      <x:c r="D163" s="26" t="str">
        <x:v>Sofia Rossi</x:v>
      </x:c>
      <x:c r="E163" s="26" t="str">
        <x:v>P-101</x:v>
      </x:c>
      <x:c r="F163" s="26" t="str">
        <x:v>Espresso Machine</x:v>
      </x:c>
      <x:c r="G163" s="26" t="str">
        <x:v>Equipment</x:v>
      </x:c>
      <x:c r="H163" s="27" t="n">
        <x:v>2</x:v>
      </x:c>
      <x:c r="I163" s="28" t="n">
        <x:v>420</x:v>
      </x:c>
      <x:c r="J163" s="29" t="n">
        <x:v>0.05</x:v>
      </x:c>
      <x:c r="K163" s="30" t="n">
        <x:f>H163*I163*(1-J163)</x:f>
        <x:v>798</x:v>
      </x:c>
    </x:row>
    <x:row r="164">
      <x:c r="A164" s="24" t="str">
        <x:v>ORD-1161</x:v>
      </x:c>
      <x:c r="B164" s="25" t="n">
        <x:v>46148</x:v>
      </x:c>
      <x:c r="C164" s="26" t="str">
        <x:v>North</x:v>
      </x:c>
      <x:c r="D164" s="26" t="str">
        <x:v>Daniel Reed</x:v>
      </x:c>
      <x:c r="E164" s="26" t="str">
        <x:v>P-106</x:v>
      </x:c>
      <x:c r="F164" s="26" t="str">
        <x:v>Milk Frother</x:v>
      </x:c>
      <x:c r="G164" s="26" t="str">
        <x:v>Equipment</x:v>
      </x:c>
      <x:c r="H164" s="27" t="n">
        <x:v>1</x:v>
      </x:c>
      <x:c r="I164" s="28" t="n">
        <x:v>74</x:v>
      </x:c>
      <x:c r="J164" s="29" t="n">
        <x:v>0</x:v>
      </x:c>
      <x:c r="K164" s="30" t="n">
        <x:f>H164*I164*(1-J164)</x:f>
        <x:v>74</x:v>
      </x:c>
    </x:row>
    <x:row r="165">
      <x:c r="A165" s="24" t="str">
        <x:v>ORD-1162</x:v>
      </x:c>
      <x:c r="B165" s="25" t="n">
        <x:v>46190</x:v>
      </x:c>
      <x:c r="C165" s="26" t="str">
        <x:v>West</x:v>
      </x:c>
      <x:c r="D165" s="26" t="str">
        <x:v>Omar Haddad</x:v>
      </x:c>
      <x:c r="E165" s="26" t="str">
        <x:v>P-105</x:v>
      </x:c>
      <x:c r="F165" s="26" t="str">
        <x:v>POS Tablet</x:v>
      </x:c>
      <x:c r="G165" s="26" t="str">
        <x:v>Technology</x:v>
      </x:c>
      <x:c r="H165" s="27" t="n">
        <x:v>8</x:v>
      </x:c>
      <x:c r="I165" s="28" t="n">
        <x:v>310</x:v>
      </x:c>
      <x:c r="J165" s="29" t="n">
        <x:v>0.1</x:v>
      </x:c>
      <x:c r="K165" s="30" t="n">
        <x:f>H165*I165*(1-J165)</x:f>
        <x:v>2232</x:v>
      </x:c>
    </x:row>
    <x:row r="166">
      <x:c r="A166" s="24" t="str">
        <x:v>ORD-1163</x:v>
      </x:c>
      <x:c r="B166" s="25" t="n">
        <x:v>46023</x:v>
      </x:c>
      <x:c r="C166" s="26" t="str">
        <x:v>East</x:v>
      </x:c>
      <x:c r="D166" s="26" t="str">
        <x:v>Aylin Kaya</x:v>
      </x:c>
      <x:c r="E166" s="26" t="str">
        <x:v>P-104</x:v>
      </x:c>
      <x:c r="F166" s="26" t="str">
        <x:v>Paper Cup Pack</x:v>
      </x:c>
      <x:c r="G166" s="26" t="str">
        <x:v>Supplies</x:v>
      </x:c>
      <x:c r="H166" s="27" t="n">
        <x:v>7</x:v>
      </x:c>
      <x:c r="I166" s="28" t="n">
        <x:v>38</x:v>
      </x:c>
      <x:c r="J166" s="29" t="n">
        <x:v>0</x:v>
      </x:c>
      <x:c r="K166" s="30" t="n">
        <x:f>H166*I166*(1-J166)</x:f>
        <x:v>266</x:v>
      </x:c>
    </x:row>
    <x:row r="167">
      <x:c r="A167" s="24" t="str">
        <x:v>ORD-1164</x:v>
      </x:c>
      <x:c r="B167" s="25" t="n">
        <x:v>46065</x:v>
      </x:c>
      <x:c r="C167" s="26" t="str">
        <x:v>South</x:v>
      </x:c>
      <x:c r="D167" s="26" t="str">
        <x:v>Maya Chen</x:v>
      </x:c>
      <x:c r="E167" s="26" t="str">
        <x:v>P-103</x:v>
      </x:c>
      <x:c r="F167" s="26" t="str">
        <x:v>Premium Beans 5kg</x:v>
      </x:c>
      <x:c r="G167" s="26" t="str">
        <x:v>Supplies</x:v>
      </x:c>
      <x:c r="H167" s="27" t="n">
        <x:v>6</x:v>
      </x:c>
      <x:c r="I167" s="28" t="n">
        <x:v>92</x:v>
      </x:c>
      <x:c r="J167" s="29" t="n">
        <x:v>0.15</x:v>
      </x:c>
      <x:c r="K167" s="30" t="n">
        <x:f>H167*I167*(1-J167)</x:f>
        <x:v>469.2</x:v>
      </x:c>
    </x:row>
    <x:row r="168">
      <x:c r="A168" s="24" t="str">
        <x:v>ORD-1165</x:v>
      </x:c>
      <x:c r="B168" s="25" t="n">
        <x:v>46104</x:v>
      </x:c>
      <x:c r="C168" s="26" t="str">
        <x:v>North</x:v>
      </x:c>
      <x:c r="D168" s="26" t="str">
        <x:v>Sofia Rossi</x:v>
      </x:c>
      <x:c r="E168" s="26" t="str">
        <x:v>P-102</x:v>
      </x:c>
      <x:c r="F168" s="26" t="str">
        <x:v>Coffee Grinder</x:v>
      </x:c>
      <x:c r="G168" s="26" t="str">
        <x:v>Equipment</x:v>
      </x:c>
      <x:c r="H168" s="27" t="n">
        <x:v>5</x:v>
      </x:c>
      <x:c r="I168" s="28" t="n">
        <x:v>185</x:v>
      </x:c>
      <x:c r="J168" s="29" t="n">
        <x:v>0.05</x:v>
      </x:c>
      <x:c r="K168" s="30" t="n">
        <x:f>H168*I168*(1-J168)</x:f>
        <x:v>878.75</x:v>
      </x:c>
    </x:row>
    <x:row r="169">
      <x:c r="A169" s="24" t="str">
        <x:v>ORD-1166</x:v>
      </x:c>
      <x:c r="B169" s="25" t="n">
        <x:v>46119</x:v>
      </x:c>
      <x:c r="C169" s="26" t="str">
        <x:v>West</x:v>
      </x:c>
      <x:c r="D169" s="26" t="str">
        <x:v>Daniel Reed</x:v>
      </x:c>
      <x:c r="E169" s="26" t="str">
        <x:v>P-101</x:v>
      </x:c>
      <x:c r="F169" s="26" t="str">
        <x:v>Espresso Machine</x:v>
      </x:c>
      <x:c r="G169" s="26" t="str">
        <x:v>Equipment</x:v>
      </x:c>
      <x:c r="H169" s="27" t="n">
        <x:v>4</x:v>
      </x:c>
      <x:c r="I169" s="28" t="n">
        <x:v>420</x:v>
      </x:c>
      <x:c r="J169" s="29" t="n">
        <x:v>0</x:v>
      </x:c>
      <x:c r="K169" s="30" t="n">
        <x:f>H169*I169*(1-J169)</x:f>
        <x:v>1680</x:v>
      </x:c>
    </x:row>
    <x:row r="170">
      <x:c r="A170" s="24" t="str">
        <x:v>ORD-1081</x:v>
      </x:c>
      <x:c r="B170" s="25" t="n">
        <x:v>46098</x:v>
      </x:c>
      <x:c r="C170" s="26" t="str">
        <x:v>North</x:v>
      </x:c>
      <x:c r="D170" s="26" t="str">
        <x:v>Daniel Reed</x:v>
      </x:c>
      <x:c r="E170" s="26" t="str">
        <x:v>P-102</x:v>
      </x:c>
      <x:c r="F170" s="26" t="str">
        <x:v>Coffee Grinder</x:v>
      </x:c>
      <x:c r="G170" s="26" t="str">
        <x:v>Equipment</x:v>
      </x:c>
      <x:c r="H170" s="27" t="n">
        <x:v>1</x:v>
      </x:c>
      <x:c r="I170" s="28" t="n">
        <x:v>185</x:v>
      </x:c>
      <x:c r="J170" s="29" t="n">
        <x:v>0</x:v>
      </x:c>
      <x:c r="K170" s="30" t="n">
        <x:f>H170*I170*(1-J170)</x:f>
        <x:v>185</x:v>
      </x:c>
    </x:row>
    <x:row r="171">
      <x:c r="A171" s="24" t="str">
        <x:v>ORD-1167</x:v>
      </x:c>
      <x:c r="B171" s="25" t="n">
        <x:v>46160</x:v>
      </x:c>
      <x:c r="C171" s="26" t="str">
        <x:v>East</x:v>
      </x:c>
      <x:c r="D171" s="26" t="str">
        <x:v>Omar Haddad</x:v>
      </x:c>
      <x:c r="E171" s="26" t="str">
        <x:v>P-106</x:v>
      </x:c>
      <x:c r="F171" s="26" t="str">
        <x:v>Milk Frother</x:v>
      </x:c>
      <x:c r="G171" s="26" t="str">
        <x:v>Equipment</x:v>
      </x:c>
      <x:c r="H171" s="27" t="n">
        <x:v>3</x:v>
      </x:c>
      <x:c r="I171" s="28" t="n">
        <x:v>74</x:v>
      </x:c>
      <x:c r="J171" s="29" t="n">
        <x:v>0.1</x:v>
      </x:c>
      <x:c r="K171" s="30" t="n">
        <x:f>H171*I171*(1-J171)</x:f>
        <x:v>199.8</x:v>
      </x:c>
    </x:row>
    <x:row r="172">
      <x:c r="A172" s="24" t="str">
        <x:v>ORD-1168</x:v>
      </x:c>
      <x:c r="B172" s="25" t="n">
        <x:v>46175</x:v>
      </x:c>
      <x:c r="C172" s="26" t="str">
        <x:v>South</x:v>
      </x:c>
      <x:c r="D172" s="26" t="str">
        <x:v>Aylin Kaya</x:v>
      </x:c>
      <x:c r="E172" s="26" t="str">
        <x:v>P-105</x:v>
      </x:c>
      <x:c r="F172" s="26" t="str">
        <x:v>POS Tablet</x:v>
      </x:c>
      <x:c r="G172" s="26" t="str">
        <x:v>Technology</x:v>
      </x:c>
      <x:c r="H172" s="27" t="n">
        <x:v>2</x:v>
      </x:c>
      <x:c r="I172" s="28" t="n">
        <x:v>310</x:v>
      </x:c>
      <x:c r="J172" s="29" t="n">
        <x:v>0</x:v>
      </x:c>
      <x:c r="K172" s="30" t="n">
        <x:f>H172*I172*(1-J172)</x:f>
        <x:v>620</x:v>
      </x:c>
    </x:row>
    <x:row r="173">
      <x:c r="A173" s="24" t="str">
        <x:v>ORD-1169</x:v>
      </x:c>
      <x:c r="B173" s="25" t="n">
        <x:v>46035</x:v>
      </x:c>
      <x:c r="C173" s="26" t="str">
        <x:v>North</x:v>
      </x:c>
      <x:c r="D173" s="26" t="str">
        <x:v>Maya Chen</x:v>
      </x:c>
      <x:c r="E173" s="26" t="str">
        <x:v>P-104</x:v>
      </x:c>
      <x:c r="F173" s="26" t="str">
        <x:v>Paper Cup Pack</x:v>
      </x:c>
      <x:c r="G173" s="26" t="str">
        <x:v>Supplies</x:v>
      </x:c>
      <x:c r="H173" s="27" t="n">
        <x:v>1</x:v>
      </x:c>
      <x:c r="I173" s="28" t="n">
        <x:v>38</x:v>
      </x:c>
      <x:c r="J173" s="29" t="n">
        <x:v>0.15</x:v>
      </x:c>
      <x:c r="K173" s="30" t="n">
        <x:f>H173*I173*(1-J173)</x:f>
        <x:v>32.3</x:v>
      </x:c>
    </x:row>
    <x:row r="174">
      <x:c r="A174" s="24" t="str">
        <x:v>ORD-1170</x:v>
      </x:c>
      <x:c r="B174" s="25" t="n">
        <x:v>46077</x:v>
      </x:c>
      <x:c r="C174" s="26" t="str">
        <x:v>West</x:v>
      </x:c>
      <x:c r="D174" s="26" t="str">
        <x:v>Sofia Rossi</x:v>
      </x:c>
      <x:c r="E174" s="26" t="str">
        <x:v>P-103</x:v>
      </x:c>
      <x:c r="F174" s="26" t="str">
        <x:v>Premium Beans 5kg</x:v>
      </x:c>
      <x:c r="G174" s="26" t="str">
        <x:v>Supplies</x:v>
      </x:c>
      <x:c r="H174" s="27" t="n">
        <x:v>8</x:v>
      </x:c>
      <x:c r="I174" s="28" t="n">
        <x:v>92</x:v>
      </x:c>
      <x:c r="J174" s="29" t="n">
        <x:v>0.05</x:v>
      </x:c>
      <x:c r="K174" s="30" t="n">
        <x:f>H174*I174*(1-J174)</x:f>
        <x:v>699.1999999999999</x:v>
      </x:c>
    </x:row>
    <x:row r="175">
      <x:c r="A175" s="24" t="str">
        <x:v>ORD-1171</x:v>
      </x:c>
      <x:c r="B175" s="25" t="n">
        <x:v>46089</x:v>
      </x:c>
      <x:c r="C175" s="26" t="str">
        <x:v>East</x:v>
      </x:c>
      <x:c r="D175" s="26" t="str">
        <x:v>Daniel Reed</x:v>
      </x:c>
      <x:c r="E175" s="26" t="str">
        <x:v>P-102</x:v>
      </x:c>
      <x:c r="F175" s="26" t="str">
        <x:v>Coffee Grinder</x:v>
      </x:c>
      <x:c r="G175" s="26" t="str">
        <x:v>Equipment</x:v>
      </x:c>
      <x:c r="H175" s="27" t="n">
        <x:v>7</x:v>
      </x:c>
      <x:c r="I175" s="28" t="n">
        <x:v>185</x:v>
      </x:c>
      <x:c r="J175" s="29" t="n">
        <x:v>0</x:v>
      </x:c>
      <x:c r="K175" s="30" t="n">
        <x:f>H175*I175*(1-J175)</x:f>
        <x:v>1295</x:v>
      </x:c>
    </x:row>
    <x:row r="176">
      <x:c r="A176" s="24" t="str">
        <x:v>ORD-1172</x:v>
      </x:c>
      <x:c r="B176" s="25" t="n">
        <x:v>46131</x:v>
      </x:c>
      <x:c r="C176" s="26" t="str">
        <x:v>South</x:v>
      </x:c>
      <x:c r="D176" s="26" t="str">
        <x:v>Omar Haddad</x:v>
      </x:c>
      <x:c r="E176" s="26" t="str">
        <x:v>P-101</x:v>
      </x:c>
      <x:c r="F176" s="26" t="str">
        <x:v>Espresso Machine</x:v>
      </x:c>
      <x:c r="G176" s="26" t="str">
        <x:v>Equipment</x:v>
      </x:c>
      <x:c r="H176" s="27" t="n">
        <x:v>6</x:v>
      </x:c>
      <x:c r="I176" s="28" t="n">
        <x:v>420</x:v>
      </x:c>
      <x:c r="J176" s="29" t="n">
        <x:v>0.1</x:v>
      </x:c>
      <x:c r="K176" s="30" t="n">
        <x:f>H176*I176*(1-J176)</x:f>
        <x:v>2268</x:v>
      </x:c>
    </x:row>
    <x:row r="177">
      <x:c r="A177" s="24" t="str">
        <x:v>ORD-1173</x:v>
      </x:c>
      <x:c r="B177" s="25" t="n">
        <x:v>46145</x:v>
      </x:c>
      <x:c r="C177" s="26" t="str">
        <x:v>North</x:v>
      </x:c>
      <x:c r="D177" s="26" t="str">
        <x:v>Aylin Kaya</x:v>
      </x:c>
      <x:c r="E177" s="26" t="str">
        <x:v>P-106</x:v>
      </x:c>
      <x:c r="F177" s="26" t="str">
        <x:v>Milk Frother</x:v>
      </x:c>
      <x:c r="G177" s="26" t="str">
        <x:v>Equipment</x:v>
      </x:c>
      <x:c r="H177" s="27" t="n">
        <x:v>5</x:v>
      </x:c>
      <x:c r="I177" s="28" t="n">
        <x:v>74</x:v>
      </x:c>
      <x:c r="J177" s="29" t="n">
        <x:v>0</x:v>
      </x:c>
      <x:c r="K177" s="30" t="n">
        <x:f>H177*I177*(1-J177)</x:f>
        <x:v>370</x:v>
      </x:c>
    </x:row>
    <x:row r="178">
      <x:c r="A178" s="24" t="str">
        <x:v>ORD-1174</x:v>
      </x:c>
      <x:c r="B178" s="25" t="n">
        <x:v>46187</x:v>
      </x:c>
      <x:c r="C178" s="26" t="str">
        <x:v>West</x:v>
      </x:c>
      <x:c r="D178" s="26" t="str">
        <x:v>Maya Chen</x:v>
      </x:c>
      <x:c r="E178" s="26" t="str">
        <x:v>P-105</x:v>
      </x:c>
      <x:c r="F178" s="26" t="str">
        <x:v>POS Tablet</x:v>
      </x:c>
      <x:c r="G178" s="26" t="str">
        <x:v>Technology</x:v>
      </x:c>
      <x:c r="H178" s="27" t="n">
        <x:v>4</x:v>
      </x:c>
      <x:c r="I178" s="28" t="n">
        <x:v>310</x:v>
      </x:c>
      <x:c r="J178" s="29" t="n">
        <x:v>0.15</x:v>
      </x:c>
      <x:c r="K178" s="30" t="n">
        <x:f>H178*I178*(1-J178)</x:f>
        <x:v>1054</x:v>
      </x:c>
    </x:row>
    <x:row r="179">
      <x:c r="A179" s="24" t="str">
        <x:v>ORD-1175</x:v>
      </x:c>
      <x:c r="B179" s="25" t="n">
        <x:v>46047</x:v>
      </x:c>
      <x:c r="C179" s="26" t="str">
        <x:v>East</x:v>
      </x:c>
      <x:c r="D179" s="26" t="str">
        <x:v>Sofia Rossi</x:v>
      </x:c>
      <x:c r="E179" s="26" t="str">
        <x:v>P-104</x:v>
      </x:c>
      <x:c r="F179" s="26" t="str">
        <x:v>Paper Cup Pack</x:v>
      </x:c>
      <x:c r="G179" s="26" t="str">
        <x:v>Supplies</x:v>
      </x:c>
      <x:c r="H179" s="27" t="n">
        <x:v>3</x:v>
      </x:c>
      <x:c r="I179" s="28" t="n">
        <x:v>38</x:v>
      </x:c>
      <x:c r="J179" s="29" t="n">
        <x:v>0.05</x:v>
      </x:c>
      <x:c r="K179" s="30" t="n">
        <x:f>H179*I179*(1-J179)</x:f>
        <x:v>108.3</x:v>
      </x:c>
    </x:row>
    <x:row r="180">
      <x:c r="A180" s="24" t="str">
        <x:v>ORD-1176</x:v>
      </x:c>
      <x:c r="B180" s="25" t="n">
        <x:v>46062</x:v>
      </x:c>
      <x:c r="C180" s="26" t="str">
        <x:v>South</x:v>
      </x:c>
      <x:c r="D180" s="26" t="str">
        <x:v>Daniel Reed</x:v>
      </x:c>
      <x:c r="E180" s="26" t="str">
        <x:v>P-103</x:v>
      </x:c>
      <x:c r="F180" s="26" t="str">
        <x:v>Premium Beans 5kg</x:v>
      </x:c>
      <x:c r="G180" s="26" t="str">
        <x:v>Supplies</x:v>
      </x:c>
      <x:c r="H180" s="27" t="n">
        <x:v>2</x:v>
      </x:c>
      <x:c r="I180" s="28" t="n">
        <x:v>92</x:v>
      </x:c>
      <x:c r="J180" s="29" t="n">
        <x:v>0</x:v>
      </x:c>
      <x:c r="K180" s="30" t="n">
        <x:f>H180*I180*(1-J180)</x:f>
        <x:v>184</x:v>
      </x:c>
    </x:row>
    <x:row r="181">
      <x:c r="A181" s="24" t="str">
        <x:v>ORD-1177</x:v>
      </x:c>
      <x:c r="B181" s="25" t="n">
        <x:v>46101</x:v>
      </x:c>
      <x:c r="C181" s="26" t="str">
        <x:v>North</x:v>
      </x:c>
      <x:c r="D181" s="26" t="str">
        <x:v>Omar Haddad</x:v>
      </x:c>
      <x:c r="E181" s="26" t="str">
        <x:v>P-102</x:v>
      </x:c>
      <x:c r="F181" s="26" t="str">
        <x:v>Coffee Grinder</x:v>
      </x:c>
      <x:c r="G181" s="26" t="str">
        <x:v>Equipment</x:v>
      </x:c>
      <x:c r="H181" s="27" t="n">
        <x:v>1</x:v>
      </x:c>
      <x:c r="I181" s="28" t="n">
        <x:v>185</x:v>
      </x:c>
      <x:c r="J181" s="29" t="n">
        <x:v>0.1</x:v>
      </x:c>
      <x:c r="K181" s="30" t="n">
        <x:f>H181*I181*(1-J181)</x:f>
        <x:v>166.5</x:v>
      </x:c>
    </x:row>
    <x:row r="182">
      <x:c r="A182" s="24" t="str">
        <x:v>ORD-1178</x:v>
      </x:c>
      <x:c r="B182" s="25" t="n">
        <x:v>46116</x:v>
      </x:c>
      <x:c r="C182" s="26" t="str">
        <x:v>West</x:v>
      </x:c>
      <x:c r="D182" s="26" t="str">
        <x:v>Aylin Kaya</x:v>
      </x:c>
      <x:c r="E182" s="26" t="str">
        <x:v>P-101</x:v>
      </x:c>
      <x:c r="F182" s="26" t="str">
        <x:v>Espresso Machine</x:v>
      </x:c>
      <x:c r="G182" s="26" t="str">
        <x:v>Equipment</x:v>
      </x:c>
      <x:c r="H182" s="27" t="n">
        <x:v>8</x:v>
      </x:c>
      <x:c r="I182" s="28" t="n">
        <x:v>420</x:v>
      </x:c>
      <x:c r="J182" s="29" t="n">
        <x:v>0</x:v>
      </x:c>
      <x:c r="K182" s="30" t="n">
        <x:f>H182*I182*(1-J182)</x:f>
        <x:v>3360</x:v>
      </x:c>
    </x:row>
    <x:row r="183">
      <x:c r="A183" s="24" t="str">
        <x:v>ORD-1179</x:v>
      </x:c>
      <x:c r="B183" s="25" t="n">
        <x:v>46157</x:v>
      </x:c>
      <x:c r="C183" s="26" t="str">
        <x:v>East</x:v>
      </x:c>
      <x:c r="D183" s="26" t="str">
        <x:v>Maya Chen</x:v>
      </x:c>
      <x:c r="E183" s="26" t="str">
        <x:v>P-106</x:v>
      </x:c>
      <x:c r="F183" s="26" t="str">
        <x:v>Milk Frother</x:v>
      </x:c>
      <x:c r="G183" s="26" t="str">
        <x:v>Equipment</x:v>
      </x:c>
      <x:c r="H183" s="27" t="n">
        <x:v>7</x:v>
      </x:c>
      <x:c r="I183" s="28" t="n">
        <x:v>74</x:v>
      </x:c>
      <x:c r="J183" s="29" t="n">
        <x:v>0.15</x:v>
      </x:c>
      <x:c r="K183" s="30" t="n">
        <x:f>H183*I183*(1-J183)</x:f>
        <x:v>440.3</x:v>
      </x:c>
    </x:row>
    <x:row r="184">
      <x:c r="A184" s="24" t="str">
        <x:v>ORD-1180</x:v>
      </x:c>
      <x:c r="B184" s="25" t="n">
        <x:v>46199</x:v>
      </x:c>
      <x:c r="C184" s="26" t="str">
        <x:v>South</x:v>
      </x:c>
      <x:c r="D184" s="26" t="str">
        <x:v>Sofia Rossi</x:v>
      </x:c>
      <x:c r="E184" s="26" t="str">
        <x:v>P-105</x:v>
      </x:c>
      <x:c r="F184" s="26" t="str">
        <x:v>POS Tablet</x:v>
      </x:c>
      <x:c r="G184" s="26" t="str">
        <x:v>Technology</x:v>
      </x:c>
      <x:c r="H184" s="27" t="n">
        <x:v>6</x:v>
      </x:c>
      <x:c r="I184" s="28" t="n">
        <x:v>310</x:v>
      </x:c>
      <x:c r="J184" s="29" t="n">
        <x:v>0.05</x:v>
      </x:c>
      <x:c r="K184" s="30" t="n">
        <x:f>H184*I184*(1-J184)</x:f>
        <x:v>1767</x:v>
      </x:c>
    </x:row>
    <x:row r="185">
      <x:c r="A185" s="24" t="str">
        <x:v>ORD-1181</x:v>
      </x:c>
      <x:c r="B185" s="25" t="n">
        <x:v>46032</x:v>
      </x:c>
      <x:c r="C185" s="26" t="str">
        <x:v>North</x:v>
      </x:c>
      <x:c r="D185" s="26" t="str">
        <x:v>Daniel Reed</x:v>
      </x:c>
      <x:c r="E185" s="26" t="str">
        <x:v>P-104</x:v>
      </x:c>
      <x:c r="F185" s="26" t="str">
        <x:v>Paper Cup Pack</x:v>
      </x:c>
      <x:c r="G185" s="26" t="str">
        <x:v>Supplies</x:v>
      </x:c>
      <x:c r="H185" s="27" t="n">
        <x:v>5</x:v>
      </x:c>
      <x:c r="I185" s="28" t="n">
        <x:v>38</x:v>
      </x:c>
      <x:c r="J185" s="29" t="n">
        <x:v>0</x:v>
      </x:c>
      <x:c r="K185" s="30" t="n">
        <x:f>H185*I185*(1-J185)</x:f>
        <x:v>190</x:v>
      </x:c>
    </x:row>
    <x:row r="186">
      <x:c r="A186" s="24" t="str">
        <x:v>ORD-1182</x:v>
      </x:c>
      <x:c r="B186" s="25" t="n">
        <x:v>46074</x:v>
      </x:c>
      <x:c r="C186" s="26" t="str">
        <x:v>West</x:v>
      </x:c>
      <x:c r="D186" s="26" t="str">
        <x:v>Omar Haddad</x:v>
      </x:c>
      <x:c r="E186" s="26" t="str">
        <x:v>P-103</x:v>
      </x:c>
      <x:c r="F186" s="26" t="str">
        <x:v>Premium Beans 5kg</x:v>
      </x:c>
      <x:c r="G186" s="26" t="str">
        <x:v>Supplies</x:v>
      </x:c>
      <x:c r="H186" s="27" t="n">
        <x:v>4</x:v>
      </x:c>
      <x:c r="I186" s="28" t="n">
        <x:v>92</x:v>
      </x:c>
      <x:c r="J186" s="29" t="n">
        <x:v>0.1</x:v>
      </x:c>
      <x:c r="K186" s="30" t="n">
        <x:f>H186*I186*(1-J186)</x:f>
        <x:v>331.2</x:v>
      </x:c>
    </x:row>
    <x:row r="187">
      <x:c r="A187" s="24" t="str">
        <x:v>ORD-1183</x:v>
      </x:c>
      <x:c r="B187" s="25" t="n">
        <x:v>46086</x:v>
      </x:c>
      <x:c r="C187" s="26" t="str">
        <x:v>East</x:v>
      </x:c>
      <x:c r="D187" s="26" t="str">
        <x:v>Aylin Kaya</x:v>
      </x:c>
      <x:c r="E187" s="26" t="str">
        <x:v>P-102</x:v>
      </x:c>
      <x:c r="F187" s="26" t="str">
        <x:v>Coffee Grinder</x:v>
      </x:c>
      <x:c r="G187" s="26" t="str">
        <x:v>Equipment</x:v>
      </x:c>
      <x:c r="H187" s="27" t="n">
        <x:v>3</x:v>
      </x:c>
      <x:c r="I187" s="28" t="n">
        <x:v>185</x:v>
      </x:c>
      <x:c r="J187" s="29" t="n">
        <x:v>0</x:v>
      </x:c>
      <x:c r="K187" s="30" t="n">
        <x:f>H187*I187*(1-J187)</x:f>
        <x:v>555</x:v>
      </x:c>
    </x:row>
    <x:row r="188">
      <x:c r="A188" s="24" t="str">
        <x:v>ORD-1184</x:v>
      </x:c>
      <x:c r="B188" s="25" t="n">
        <x:v>46128</x:v>
      </x:c>
      <x:c r="C188" s="26" t="str">
        <x:v>South</x:v>
      </x:c>
      <x:c r="D188" s="26" t="str">
        <x:v>Maya Chen</x:v>
      </x:c>
      <x:c r="E188" s="26" t="str">
        <x:v>P-101</x:v>
      </x:c>
      <x:c r="F188" s="26" t="str">
        <x:v>Espresso Machine</x:v>
      </x:c>
      <x:c r="G188" s="26" t="str">
        <x:v>Equipment</x:v>
      </x:c>
      <x:c r="H188" s="27" t="n">
        <x:v>2</x:v>
      </x:c>
      <x:c r="I188" s="28" t="n">
        <x:v>420</x:v>
      </x:c>
      <x:c r="J188" s="29" t="n">
        <x:v>0.15</x:v>
      </x:c>
      <x:c r="K188" s="30" t="n">
        <x:f>H188*I188*(1-J188)</x:f>
        <x:v>714</x:v>
      </x:c>
    </x:row>
    <x:row r="189">
      <x:c r="A189" s="24" t="str">
        <x:v>ORD-1185</x:v>
      </x:c>
      <x:c r="B189" s="25" t="n">
        <x:v>46169</x:v>
      </x:c>
      <x:c r="C189" s="26" t="str">
        <x:v>North</x:v>
      </x:c>
      <x:c r="D189" s="26" t="str">
        <x:v>Sofia Rossi</x:v>
      </x:c>
      <x:c r="E189" s="26" t="str">
        <x:v>P-106</x:v>
      </x:c>
      <x:c r="F189" s="26" t="str">
        <x:v>Milk Frother</x:v>
      </x:c>
      <x:c r="G189" s="26" t="str">
        <x:v>Equipment</x:v>
      </x:c>
      <x:c r="H189" s="27" t="n">
        <x:v>1</x:v>
      </x:c>
      <x:c r="I189" s="28" t="n">
        <x:v>74</x:v>
      </x:c>
      <x:c r="J189" s="29" t="n">
        <x:v>0.05</x:v>
      </x:c>
      <x:c r="K189" s="30" t="n">
        <x:f>H189*I189*(1-J189)</x:f>
        <x:v>70.3</x:v>
      </x:c>
    </x:row>
    <x:row r="190">
      <x:c r="A190" s="24" t="str">
        <x:v>ORD-1186</x:v>
      </x:c>
      <x:c r="B190" s="25" t="n">
        <x:v>46184</x:v>
      </x:c>
      <x:c r="C190" s="26" t="str">
        <x:v>West</x:v>
      </x:c>
      <x:c r="D190" s="26" t="str">
        <x:v>Daniel Reed</x:v>
      </x:c>
      <x:c r="E190" s="26" t="str">
        <x:v>P-105</x:v>
      </x:c>
      <x:c r="F190" s="26" t="str">
        <x:v>POS Tablet</x:v>
      </x:c>
      <x:c r="G190" s="26" t="str">
        <x:v>Technology</x:v>
      </x:c>
      <x:c r="H190" s="27" t="n">
        <x:v>8</x:v>
      </x:c>
      <x:c r="I190" s="28" t="n">
        <x:v>310</x:v>
      </x:c>
      <x:c r="J190" s="29" t="n">
        <x:v>0</x:v>
      </x:c>
      <x:c r="K190" s="30" t="n">
        <x:f>H190*I190*(1-J190)</x:f>
        <x:v>2480</x:v>
      </x:c>
    </x:row>
    <x:row r="191">
      <x:c r="A191" s="24" t="str">
        <x:v>ORD-1187</x:v>
      </x:c>
      <x:c r="B191" s="25" t="n">
        <x:v>46044</x:v>
      </x:c>
      <x:c r="C191" s="26" t="str">
        <x:v>East</x:v>
      </x:c>
      <x:c r="D191" s="26" t="str">
        <x:v>Omar Haddad</x:v>
      </x:c>
      <x:c r="E191" s="26" t="str">
        <x:v>P-104</x:v>
      </x:c>
      <x:c r="F191" s="26" t="str">
        <x:v>Paper Cup Pack</x:v>
      </x:c>
      <x:c r="G191" s="26" t="str">
        <x:v>Supplies</x:v>
      </x:c>
      <x:c r="H191" s="27" t="n">
        <x:v>7</x:v>
      </x:c>
      <x:c r="I191" s="28" t="n">
        <x:v>38</x:v>
      </x:c>
      <x:c r="J191" s="29" t="n">
        <x:v>0.1</x:v>
      </x:c>
      <x:c r="K191" s="30" t="n">
        <x:f>H191*I191*(1-J191)</x:f>
        <x:v>239.4</x:v>
      </x:c>
    </x:row>
    <x:row r="192">
      <x:c r="A192" s="24" t="str">
        <x:v>ORD-1188</x:v>
      </x:c>
      <x:c r="B192" s="25" t="n">
        <x:v>46059</x:v>
      </x:c>
      <x:c r="C192" s="26" t="str">
        <x:v>South</x:v>
      </x:c>
      <x:c r="D192" s="26" t="str">
        <x:v>Aylin Kaya</x:v>
      </x:c>
      <x:c r="E192" s="26" t="str">
        <x:v>P-103</x:v>
      </x:c>
      <x:c r="F192" s="26" t="str">
        <x:v>Premium Beans 5kg</x:v>
      </x:c>
      <x:c r="G192" s="26" t="str">
        <x:v>Supplies</x:v>
      </x:c>
      <x:c r="H192" s="27" t="n">
        <x:v>6</x:v>
      </x:c>
      <x:c r="I192" s="28" t="n">
        <x:v>92</x:v>
      </x:c>
      <x:c r="J192" s="29" t="n">
        <x:v>0</x:v>
      </x:c>
      <x:c r="K192" s="30" t="n">
        <x:f>H192*I192*(1-J192)</x:f>
        <x:v>552</x:v>
      </x:c>
    </x:row>
    <x:row r="193">
      <x:c r="A193" s="24" t="str">
        <x:v>ORD-1189</x:v>
      </x:c>
      <x:c r="B193" s="25" t="n">
        <x:v>46098</x:v>
      </x:c>
      <x:c r="C193" s="26" t="str">
        <x:v>North</x:v>
      </x:c>
      <x:c r="D193" s="26" t="str">
        <x:v>Maya Chen</x:v>
      </x:c>
      <x:c r="E193" s="26" t="str">
        <x:v>P-102</x:v>
      </x:c>
      <x:c r="F193" s="26" t="str">
        <x:v>Coffee Grinder</x:v>
      </x:c>
      <x:c r="G193" s="26" t="str">
        <x:v>Equipment</x:v>
      </x:c>
      <x:c r="H193" s="27" t="n">
        <x:v>5</x:v>
      </x:c>
      <x:c r="I193" s="28" t="n">
        <x:v>185</x:v>
      </x:c>
      <x:c r="J193" s="29" t="n">
        <x:v>0.15</x:v>
      </x:c>
      <x:c r="K193" s="30" t="n">
        <x:f>H193*I193*(1-J193)</x:f>
        <x:v>786.25</x:v>
      </x:c>
    </x:row>
    <x:row r="194">
      <x:c r="A194" s="24" t="str">
        <x:v>ORD-1190</x:v>
      </x:c>
      <x:c r="B194" s="25" t="n">
        <x:v>46113</x:v>
      </x:c>
      <x:c r="C194" s="26" t="str">
        <x:v>West</x:v>
      </x:c>
      <x:c r="D194" s="26" t="str">
        <x:v>Sofia Rossi</x:v>
      </x:c>
      <x:c r="E194" s="26" t="str">
        <x:v>P-101</x:v>
      </x:c>
      <x:c r="F194" s="26" t="str">
        <x:v>Espresso Machine</x:v>
      </x:c>
      <x:c r="G194" s="26" t="str">
        <x:v>Equipment</x:v>
      </x:c>
      <x:c r="H194" s="27" t="n">
        <x:v>4</x:v>
      </x:c>
      <x:c r="I194" s="28" t="n">
        <x:v>420</x:v>
      </x:c>
      <x:c r="J194" s="29" t="n">
        <x:v>0.05</x:v>
      </x:c>
      <x:c r="K194" s="30" t="n">
        <x:f>H194*I194*(1-J194)</x:f>
        <x:v>1596</x:v>
      </x:c>
    </x:row>
    <x:row r="195">
      <x:c r="A195" s="24" t="str">
        <x:v>ORD-1191</x:v>
      </x:c>
      <x:c r="B195" s="25" t="n">
        <x:v>46154</x:v>
      </x:c>
      <x:c r="C195" s="26" t="str">
        <x:v>East</x:v>
      </x:c>
      <x:c r="D195" s="26" t="str">
        <x:v>Daniel Reed</x:v>
      </x:c>
      <x:c r="E195" s="26" t="str">
        <x:v>P-106</x:v>
      </x:c>
      <x:c r="F195" s="26" t="str">
        <x:v>Milk Frother</x:v>
      </x:c>
      <x:c r="G195" s="26" t="str">
        <x:v>Equipment</x:v>
      </x:c>
      <x:c r="H195" s="27" t="n">
        <x:v>3</x:v>
      </x:c>
      <x:c r="I195" s="28" t="n">
        <x:v>74</x:v>
      </x:c>
      <x:c r="J195" s="29" t="n">
        <x:v>0</x:v>
      </x:c>
      <x:c r="K195" s="30" t="n">
        <x:f>H195*I195*(1-J195)</x:f>
        <x:v>222</x:v>
      </x:c>
    </x:row>
    <x:row r="196">
      <x:c r="A196" s="24" t="str">
        <x:v>ORD-1192</x:v>
      </x:c>
      <x:c r="B196" s="25" t="n">
        <x:v>46196</x:v>
      </x:c>
      <x:c r="C196" s="26" t="str">
        <x:v>South</x:v>
      </x:c>
      <x:c r="D196" s="26" t="str">
        <x:v>Omar Haddad</x:v>
      </x:c>
      <x:c r="E196" s="26" t="str">
        <x:v>P-105</x:v>
      </x:c>
      <x:c r="F196" s="26" t="str">
        <x:v>POS Tablet</x:v>
      </x:c>
      <x:c r="G196" s="26" t="str">
        <x:v>Technology</x:v>
      </x:c>
      <x:c r="H196" s="27" t="n">
        <x:v>2</x:v>
      </x:c>
      <x:c r="I196" s="28" t="n">
        <x:v>310</x:v>
      </x:c>
      <x:c r="J196" s="29" t="n">
        <x:v>0.1</x:v>
      </x:c>
      <x:c r="K196" s="30" t="n">
        <x:f>H196*I196*(1-J196)</x:f>
        <x:v>558</x:v>
      </x:c>
    </x:row>
    <x:row r="197">
      <x:c r="A197" s="24" t="str">
        <x:v>ORD-1193</x:v>
      </x:c>
      <x:c r="B197" s="25" t="n">
        <x:v>46029</x:v>
      </x:c>
      <x:c r="C197" s="26" t="str">
        <x:v>North</x:v>
      </x:c>
      <x:c r="D197" s="26" t="str">
        <x:v>Aylin Kaya</x:v>
      </x:c>
      <x:c r="E197" s="26" t="str">
        <x:v>P-104</x:v>
      </x:c>
      <x:c r="F197" s="26" t="str">
        <x:v>Paper Cup Pack</x:v>
      </x:c>
      <x:c r="G197" s="26" t="str">
        <x:v>Supplies</x:v>
      </x:c>
      <x:c r="H197" s="27" t="n">
        <x:v>1</x:v>
      </x:c>
      <x:c r="I197" s="28" t="n">
        <x:v>38</x:v>
      </x:c>
      <x:c r="J197" s="29" t="n">
        <x:v>0</x:v>
      </x:c>
      <x:c r="K197" s="30" t="n">
        <x:f>H197*I197*(1-J197)</x:f>
        <x:v>38</x:v>
      </x:c>
    </x:row>
    <x:row r="198">
      <x:c r="A198" s="24" t="str">
        <x:v>ORD-1194</x:v>
      </x:c>
      <x:c r="B198" s="25" t="n">
        <x:v>46071</x:v>
      </x:c>
      <x:c r="C198" s="26" t="str">
        <x:v>West</x:v>
      </x:c>
      <x:c r="D198" s="26" t="str">
        <x:v>Maya Chen</x:v>
      </x:c>
      <x:c r="E198" s="26" t="str">
        <x:v>P-103</x:v>
      </x:c>
      <x:c r="F198" s="26" t="str">
        <x:v>Premium Beans 5kg</x:v>
      </x:c>
      <x:c r="G198" s="26" t="str">
        <x:v>Supplies</x:v>
      </x:c>
      <x:c r="H198" s="27" t="n">
        <x:v>8</x:v>
      </x:c>
      <x:c r="I198" s="28" t="n">
        <x:v>92</x:v>
      </x:c>
      <x:c r="J198" s="29" t="n">
        <x:v>0.15</x:v>
      </x:c>
      <x:c r="K198" s="30" t="n">
        <x:f>H198*I198*(1-J198)</x:f>
        <x:v>625.6</x:v>
      </x:c>
    </x:row>
    <x:row r="199">
      <x:c r="A199" s="24" t="str">
        <x:v>ORD-1195</x:v>
      </x:c>
      <x:c r="B199" s="25" t="n">
        <x:v>46083</x:v>
      </x:c>
      <x:c r="C199" s="26" t="str">
        <x:v>East</x:v>
      </x:c>
      <x:c r="D199" s="26" t="str">
        <x:v>Sofia Rossi</x:v>
      </x:c>
      <x:c r="E199" s="26" t="str">
        <x:v>P-102</x:v>
      </x:c>
      <x:c r="F199" s="26" t="str">
        <x:v>Coffee Grinder</x:v>
      </x:c>
      <x:c r="G199" s="26" t="str">
        <x:v>Equipment</x:v>
      </x:c>
      <x:c r="H199" s="27" t="n">
        <x:v>7</x:v>
      </x:c>
      <x:c r="I199" s="28" t="n">
        <x:v>185</x:v>
      </x:c>
      <x:c r="J199" s="29" t="n">
        <x:v>0.05</x:v>
      </x:c>
      <x:c r="K199" s="30" t="n">
        <x:f>H199*I199*(1-J199)</x:f>
        <x:v>1230.25</x:v>
      </x:c>
    </x:row>
    <x:row r="200">
      <x:c r="A200" s="24" t="str">
        <x:v>ORD-1196</x:v>
      </x:c>
      <x:c r="B200" s="25" t="n">
        <x:v>46125</x:v>
      </x:c>
      <x:c r="C200" s="26" t="str">
        <x:v>South</x:v>
      </x:c>
      <x:c r="D200" s="26" t="str">
        <x:v>Daniel Reed</x:v>
      </x:c>
      <x:c r="E200" s="26" t="str">
        <x:v>P-101</x:v>
      </x:c>
      <x:c r="F200" s="26" t="str">
        <x:v>Espresso Machine</x:v>
      </x:c>
      <x:c r="G200" s="26" t="str">
        <x:v>Equipment</x:v>
      </x:c>
      <x:c r="H200" s="27" t="n">
        <x:v>6</x:v>
      </x:c>
      <x:c r="I200" s="28" t="n">
        <x:v>420</x:v>
      </x:c>
      <x:c r="J200" s="29" t="n">
        <x:v>0</x:v>
      </x:c>
      <x:c r="K200" s="30" t="n">
        <x:f>H200*I200*(1-J200)</x:f>
        <x:v>2520</x:v>
      </x:c>
    </x:row>
    <x:row r="201">
      <x:c r="A201" s="24" t="str">
        <x:v>ORD-1197</x:v>
      </x:c>
      <x:c r="B201" s="25" t="n">
        <x:v>46166</x:v>
      </x:c>
      <x:c r="C201" s="26" t="str">
        <x:v>North</x:v>
      </x:c>
      <x:c r="D201" s="26" t="str">
        <x:v>Omar Haddad</x:v>
      </x:c>
      <x:c r="E201" s="26" t="str">
        <x:v>P-106</x:v>
      </x:c>
      <x:c r="F201" s="26" t="str">
        <x:v>Milk Frother</x:v>
      </x:c>
      <x:c r="G201" s="26" t="str">
        <x:v>Equipment</x:v>
      </x:c>
      <x:c r="H201" s="27" t="n">
        <x:v>5</x:v>
      </x:c>
      <x:c r="I201" s="28" t="n">
        <x:v>74</x:v>
      </x:c>
      <x:c r="J201" s="29" t="n">
        <x:v>0.1</x:v>
      </x:c>
      <x:c r="K201" s="30" t="n">
        <x:f>H201*I201*(1-J201)</x:f>
        <x:v>333</x:v>
      </x:c>
    </x:row>
    <x:row r="202">
      <x:c r="A202" s="24" t="str">
        <x:v>ORD-1198</x:v>
      </x:c>
      <x:c r="B202" s="25" t="n">
        <x:v>46181</x:v>
      </x:c>
      <x:c r="C202" s="26" t="str">
        <x:v>West</x:v>
      </x:c>
      <x:c r="D202" s="26" t="str">
        <x:v>Aylin Kaya</x:v>
      </x:c>
      <x:c r="E202" s="26" t="str">
        <x:v>P-105</x:v>
      </x:c>
      <x:c r="F202" s="26" t="str">
        <x:v>POS Tablet</x:v>
      </x:c>
      <x:c r="G202" s="26" t="str">
        <x:v>Technology</x:v>
      </x:c>
      <x:c r="H202" s="27" t="n">
        <x:v>4</x:v>
      </x:c>
      <x:c r="I202" s="28" t="n">
        <x:v>310</x:v>
      </x:c>
      <x:c r="J202" s="29" t="n">
        <x:v>0</x:v>
      </x:c>
      <x:c r="K202" s="30" t="n">
        <x:f>H202*I202*(1-J202)</x:f>
        <x:v>1240</x:v>
      </x:c>
    </x:row>
    <x:row r="203">
      <x:c r="A203" s="24" t="str">
        <x:v>ORD-1199</x:v>
      </x:c>
      <x:c r="B203" s="25" t="n">
        <x:v>46041</x:v>
      </x:c>
      <x:c r="C203" s="26" t="str">
        <x:v>East</x:v>
      </x:c>
      <x:c r="D203" s="26" t="str">
        <x:v>Maya Chen</x:v>
      </x:c>
      <x:c r="E203" s="26" t="str">
        <x:v>P-104</x:v>
      </x:c>
      <x:c r="F203" s="26" t="str">
        <x:v>Paper Cup Pack</x:v>
      </x:c>
      <x:c r="G203" s="26" t="str">
        <x:v>Supplies</x:v>
      </x:c>
      <x:c r="H203" s="27" t="n">
        <x:v>3</x:v>
      </x:c>
      <x:c r="I203" s="28" t="n">
        <x:v>38</x:v>
      </x:c>
      <x:c r="J203" s="29" t="n">
        <x:v>0.15</x:v>
      </x:c>
      <x:c r="K203" s="30" t="n">
        <x:f>H203*I203*(1-J203)</x:f>
        <x:v>96.89999999999999</x:v>
      </x:c>
    </x:row>
    <x:row r="204">
      <x:c r="A204" s="24" t="str">
        <x:v>ORD-1200</x:v>
      </x:c>
      <x:c r="B204" s="25" t="n">
        <x:v>46056</x:v>
      </x:c>
      <x:c r="C204" s="26" t="str">
        <x:v>South</x:v>
      </x:c>
      <x:c r="D204" s="26" t="str">
        <x:v>Sofia Rossi</x:v>
      </x:c>
      <x:c r="E204" s="26" t="str">
        <x:v>P-103</x:v>
      </x:c>
      <x:c r="F204" s="26" t="str">
        <x:v>Premium Beans 5kg</x:v>
      </x:c>
      <x:c r="G204" s="26" t="str">
        <x:v>Supplies</x:v>
      </x:c>
      <x:c r="H204" s="27" t="n">
        <x:v>2</x:v>
      </x:c>
      <x:c r="I204" s="28" t="n">
        <x:v>92</x:v>
      </x:c>
      <x:c r="J204" s="29" t="n">
        <x:v>0.05</x:v>
      </x:c>
      <x:c r="K204" s="30" t="n">
        <x:f>H204*I204*(1-J204)</x:f>
        <x:v>174.79999999999998</x:v>
      </x:c>
    </x:row>
    <x:row r="205">
      <x:c r="A205" s="24" t="str">
        <x:v>ORD-1201</x:v>
      </x:c>
      <x:c r="B205" s="25" t="n">
        <x:v>46095</x:v>
      </x:c>
      <x:c r="C205" s="26" t="str">
        <x:v>North</x:v>
      </x:c>
      <x:c r="D205" s="26" t="str">
        <x:v>Daniel Reed</x:v>
      </x:c>
      <x:c r="E205" s="26" t="str">
        <x:v>P-102</x:v>
      </x:c>
      <x:c r="F205" s="26" t="str">
        <x:v>Coffee Grinder</x:v>
      </x:c>
      <x:c r="G205" s="26" t="str">
        <x:v>Equipment</x:v>
      </x:c>
      <x:c r="H205" s="27" t="n">
        <x:v>1</x:v>
      </x:c>
      <x:c r="I205" s="28" t="n">
        <x:v>185</x:v>
      </x:c>
      <x:c r="J205" s="29" t="n">
        <x:v>0</x:v>
      </x:c>
      <x:c r="K205" s="30" t="n">
        <x:f>H205*I205*(1-J205)</x:f>
        <x:v>185</x:v>
      </x:c>
    </x:row>
    <x:row r="206">
      <x:c r="A206" s="24" t="str">
        <x:v>ORD-1202</x:v>
      </x:c>
      <x:c r="B206" s="25" t="n">
        <x:v>46137</x:v>
      </x:c>
      <x:c r="C206" s="26" t="str">
        <x:v>West</x:v>
      </x:c>
      <x:c r="D206" s="26" t="str">
        <x:v>Omar Haddad</x:v>
      </x:c>
      <x:c r="E206" s="26" t="str">
        <x:v>P-101</x:v>
      </x:c>
      <x:c r="F206" s="26" t="str">
        <x:v>Espresso Machine</x:v>
      </x:c>
      <x:c r="G206" s="26" t="str">
        <x:v>Equipment</x:v>
      </x:c>
      <x:c r="H206" s="27" t="n">
        <x:v>8</x:v>
      </x:c>
      <x:c r="I206" s="28" t="n">
        <x:v>420</x:v>
      </x:c>
      <x:c r="J206" s="29" t="n">
        <x:v>0.1</x:v>
      </x:c>
      <x:c r="K206" s="30" t="n">
        <x:f>H206*I206*(1-J206)</x:f>
        <x:v>3024</x:v>
      </x:c>
    </x:row>
    <x:row r="207">
      <x:c r="A207" s="24" t="str">
        <x:v>ORD-1203</x:v>
      </x:c>
      <x:c r="B207" s="25" t="n">
        <x:v>46151</x:v>
      </x:c>
      <x:c r="C207" s="26" t="str">
        <x:v>East</x:v>
      </x:c>
      <x:c r="D207" s="26" t="str">
        <x:v>Aylin Kaya</x:v>
      </x:c>
      <x:c r="E207" s="26" t="str">
        <x:v>P-106</x:v>
      </x:c>
      <x:c r="F207" s="26" t="str">
        <x:v>Milk Frother</x:v>
      </x:c>
      <x:c r="G207" s="26" t="str">
        <x:v>Equipment</x:v>
      </x:c>
      <x:c r="H207" s="27" t="n">
        <x:v>7</x:v>
      </x:c>
      <x:c r="I207" s="28" t="n">
        <x:v>74</x:v>
      </x:c>
      <x:c r="J207" s="29" t="n">
        <x:v>0</x:v>
      </x:c>
      <x:c r="K207" s="30" t="n">
        <x:f>H207*I207*(1-J207)</x:f>
        <x:v>518</x:v>
      </x:c>
    </x:row>
    <x:row r="208">
      <x:c r="A208" s="24" t="str">
        <x:v>ORD-1204</x:v>
      </x:c>
      <x:c r="B208" s="25" t="n">
        <x:v>46193</x:v>
      </x:c>
      <x:c r="C208" s="26" t="str">
        <x:v>South</x:v>
      </x:c>
      <x:c r="D208" s="26" t="str">
        <x:v>Maya Chen</x:v>
      </x:c>
      <x:c r="E208" s="26" t="str">
        <x:v>P-105</x:v>
      </x:c>
      <x:c r="F208" s="26" t="str">
        <x:v>POS Tablet</x:v>
      </x:c>
      <x:c r="G208" s="26" t="str">
        <x:v>Technology</x:v>
      </x:c>
      <x:c r="H208" s="27" t="n">
        <x:v>6</x:v>
      </x:c>
      <x:c r="I208" s="28" t="n">
        <x:v>310</x:v>
      </x:c>
      <x:c r="J208" s="29" t="n">
        <x:v>0.15</x:v>
      </x:c>
      <x:c r="K208" s="30" t="n">
        <x:f>H208*I208*(1-J208)</x:f>
        <x:v>1581</x:v>
      </x:c>
    </x:row>
    <x:row r="209">
      <x:c r="A209" s="24" t="str">
        <x:v>ORD-1205</x:v>
      </x:c>
      <x:c r="B209" s="25" t="n">
        <x:v>46026</x:v>
      </x:c>
      <x:c r="C209" s="26" t="str">
        <x:v>North</x:v>
      </x:c>
      <x:c r="D209" s="26" t="str">
        <x:v>Sofia Rossi</x:v>
      </x:c>
      <x:c r="E209" s="26" t="str">
        <x:v>P-104</x:v>
      </x:c>
      <x:c r="F209" s="26" t="str">
        <x:v>Paper Cup Pack</x:v>
      </x:c>
      <x:c r="G209" s="26" t="str">
        <x:v>Supplies</x:v>
      </x:c>
      <x:c r="H209" s="27" t="n">
        <x:v>5</x:v>
      </x:c>
      <x:c r="I209" s="28" t="n">
        <x:v>38</x:v>
      </x:c>
      <x:c r="J209" s="29" t="n">
        <x:v>0.05</x:v>
      </x:c>
      <x:c r="K209" s="30" t="n">
        <x:f>H209*I209*(1-J209)</x:f>
        <x:v>180.5</x:v>
      </x:c>
    </x:row>
    <x:row r="210">
      <x:c r="A210" s="24" t="str">
        <x:v>ORD-1206</x:v>
      </x:c>
      <x:c r="B210" s="25" t="n">
        <x:v>46068</x:v>
      </x:c>
      <x:c r="C210" s="26" t="str">
        <x:v>West</x:v>
      </x:c>
      <x:c r="D210" s="26" t="str">
        <x:v>Daniel Reed</x:v>
      </x:c>
      <x:c r="E210" s="26" t="str">
        <x:v>P-103</x:v>
      </x:c>
      <x:c r="F210" s="26" t="str">
        <x:v>Premium Beans 5kg</x:v>
      </x:c>
      <x:c r="G210" s="26" t="str">
        <x:v>Supplies</x:v>
      </x:c>
      <x:c r="H210" s="27" t="n">
        <x:v>4</x:v>
      </x:c>
      <x:c r="I210" s="28" t="n">
        <x:v>92</x:v>
      </x:c>
      <x:c r="J210" s="29" t="n">
        <x:v>0</x:v>
      </x:c>
      <x:c r="K210" s="30" t="n">
        <x:f>H210*I210*(1-J210)</x:f>
        <x:v>368</x:v>
      </x:c>
    </x:row>
    <x:row r="211">
      <x:c r="A211" s="24" t="str">
        <x:v>ORD-1207</x:v>
      </x:c>
      <x:c r="B211" s="25" t="n">
        <x:v>46107</x:v>
      </x:c>
      <x:c r="C211" s="26" t="str">
        <x:v>East</x:v>
      </x:c>
      <x:c r="D211" s="26" t="str">
        <x:v>Omar Haddad</x:v>
      </x:c>
      <x:c r="E211" s="26" t="str">
        <x:v>P-102</x:v>
      </x:c>
      <x:c r="F211" s="26" t="str">
        <x:v>Coffee Grinder</x:v>
      </x:c>
      <x:c r="G211" s="26" t="str">
        <x:v>Equipment</x:v>
      </x:c>
      <x:c r="H211" s="27" t="n">
        <x:v>3</x:v>
      </x:c>
      <x:c r="I211" s="28" t="n">
        <x:v>185</x:v>
      </x:c>
      <x:c r="J211" s="29" t="n">
        <x:v>0.1</x:v>
      </x:c>
      <x:c r="K211" s="30" t="n">
        <x:f>H211*I211*(1-J211)</x:f>
        <x:v>499.5</x:v>
      </x:c>
    </x:row>
    <x:row r="212">
      <x:c r="A212" s="24" t="str">
        <x:v>ORD-1208</x:v>
      </x:c>
      <x:c r="B212" s="25" t="n">
        <x:v>46122</x:v>
      </x:c>
      <x:c r="C212" s="26" t="str">
        <x:v>South</x:v>
      </x:c>
      <x:c r="D212" s="26" t="str">
        <x:v>Aylin Kaya</x:v>
      </x:c>
      <x:c r="E212" s="26" t="str">
        <x:v>P-101</x:v>
      </x:c>
      <x:c r="F212" s="26" t="str">
        <x:v>Espresso Machine</x:v>
      </x:c>
      <x:c r="G212" s="26" t="str">
        <x:v>Equipment</x:v>
      </x:c>
      <x:c r="H212" s="27" t="n">
        <x:v>2</x:v>
      </x:c>
      <x:c r="I212" s="28" t="n">
        <x:v>420</x:v>
      </x:c>
      <x:c r="J212" s="29" t="n">
        <x:v>0</x:v>
      </x:c>
      <x:c r="K212" s="30" t="n">
        <x:f>H212*I212*(1-J212)</x:f>
        <x:v>840</x:v>
      </x:c>
    </x:row>
    <x:row r="213">
      <x:c r="A213" s="24" t="str">
        <x:v>ORD-1209</x:v>
      </x:c>
      <x:c r="B213" s="25" t="n">
        <x:v>46163</x:v>
      </x:c>
      <x:c r="C213" s="26" t="str">
        <x:v>North</x:v>
      </x:c>
      <x:c r="D213" s="26" t="str">
        <x:v>Maya Chen</x:v>
      </x:c>
      <x:c r="E213" s="26" t="str">
        <x:v>P-106</x:v>
      </x:c>
      <x:c r="F213" s="26" t="str">
        <x:v>Milk Frother</x:v>
      </x:c>
      <x:c r="G213" s="26" t="str">
        <x:v>Equipment</x:v>
      </x:c>
      <x:c r="H213" s="27" t="n">
        <x:v>1</x:v>
      </x:c>
      <x:c r="I213" s="28" t="n">
        <x:v>74</x:v>
      </x:c>
      <x:c r="J213" s="29" t="n">
        <x:v>0.15</x:v>
      </x:c>
      <x:c r="K213" s="30" t="n">
        <x:f>H213*I213*(1-J213)</x:f>
        <x:v>62.9</x:v>
      </x:c>
    </x:row>
    <x:row r="214">
      <x:c r="A214" s="24" t="str">
        <x:v>ORD-1210</x:v>
      </x:c>
      <x:c r="B214" s="25" t="n">
        <x:v>46178</x:v>
      </x:c>
      <x:c r="C214" s="26" t="str">
        <x:v>West</x:v>
      </x:c>
      <x:c r="D214" s="26" t="str">
        <x:v>Sofia Rossi</x:v>
      </x:c>
      <x:c r="E214" s="26" t="str">
        <x:v>P-105</x:v>
      </x:c>
      <x:c r="F214" s="26" t="str">
        <x:v>POS Tablet</x:v>
      </x:c>
      <x:c r="G214" s="26" t="str">
        <x:v>Technology</x:v>
      </x:c>
      <x:c r="H214" s="27" t="n">
        <x:v>8</x:v>
      </x:c>
      <x:c r="I214" s="28" t="n">
        <x:v>310</x:v>
      </x:c>
      <x:c r="J214" s="29" t="n">
        <x:v>0.05</x:v>
      </x:c>
      <x:c r="K214" s="30" t="n">
        <x:f>H214*I214*(1-J214)</x:f>
        <x:v>2356</x:v>
      </x:c>
    </x:row>
    <x:row r="215">
      <x:c r="A215" s="24" t="str">
        <x:v>ORD-1211</x:v>
      </x:c>
      <x:c r="B215" s="25" t="n">
        <x:v>46038</x:v>
      </x:c>
      <x:c r="C215" s="26" t="str">
        <x:v>East</x:v>
      </x:c>
      <x:c r="D215" s="26" t="str">
        <x:v>Daniel Reed</x:v>
      </x:c>
      <x:c r="E215" s="26" t="str">
        <x:v>P-104</x:v>
      </x:c>
      <x:c r="F215" s="26" t="str">
        <x:v>Paper Cup Pack</x:v>
      </x:c>
      <x:c r="G215" s="26" t="str">
        <x:v>Supplies</x:v>
      </x:c>
      <x:c r="H215" s="27" t="n">
        <x:v>7</x:v>
      </x:c>
      <x:c r="I215" s="28" t="n">
        <x:v>38</x:v>
      </x:c>
      <x:c r="J215" s="29" t="n">
        <x:v>0</x:v>
      </x:c>
      <x:c r="K215" s="30" t="n">
        <x:f>H215*I215*(1-J215)</x:f>
        <x:v>266</x:v>
      </x:c>
    </x:row>
    <x:row r="216">
      <x:c r="A216" s="24" t="str">
        <x:v>ORD-1212</x:v>
      </x:c>
      <x:c r="B216" s="25" t="n">
        <x:v>46080</x:v>
      </x:c>
      <x:c r="C216" s="26" t="str">
        <x:v>South</x:v>
      </x:c>
      <x:c r="D216" s="26" t="str">
        <x:v>Omar Haddad</x:v>
      </x:c>
      <x:c r="E216" s="26" t="str">
        <x:v>P-103</x:v>
      </x:c>
      <x:c r="F216" s="26" t="str">
        <x:v>Premium Beans 5kg</x:v>
      </x:c>
      <x:c r="G216" s="26" t="str">
        <x:v>Supplies</x:v>
      </x:c>
      <x:c r="H216" s="27" t="n">
        <x:v>6</x:v>
      </x:c>
      <x:c r="I216" s="28" t="n">
        <x:v>92</x:v>
      </x:c>
      <x:c r="J216" s="29" t="n">
        <x:v>0.1</x:v>
      </x:c>
      <x:c r="K216" s="30" t="n">
        <x:f>H216*I216*(1-J216)</x:f>
        <x:v>496.8</x:v>
      </x:c>
    </x:row>
    <x:row r="217">
      <x:c r="A217" s="24" t="str">
        <x:v>ORD-1213</x:v>
      </x:c>
      <x:c r="B217" s="25" t="n">
        <x:v>46092</x:v>
      </x:c>
      <x:c r="C217" s="26" t="str">
        <x:v>North</x:v>
      </x:c>
      <x:c r="D217" s="26" t="str">
        <x:v>Aylin Kaya</x:v>
      </x:c>
      <x:c r="E217" s="26" t="str">
        <x:v>P-102</x:v>
      </x:c>
      <x:c r="F217" s="26" t="str">
        <x:v>Coffee Grinder</x:v>
      </x:c>
      <x:c r="G217" s="26" t="str">
        <x:v>Equipment</x:v>
      </x:c>
      <x:c r="H217" s="27" t="n">
        <x:v>5</x:v>
      </x:c>
      <x:c r="I217" s="28" t="n">
        <x:v>185</x:v>
      </x:c>
      <x:c r="J217" s="29" t="n">
        <x:v>0</x:v>
      </x:c>
      <x:c r="K217" s="30" t="n">
        <x:f>H217*I217*(1-J217)</x:f>
        <x:v>925</x:v>
      </x:c>
    </x:row>
    <x:row r="218">
      <x:c r="A218" s="24" t="str">
        <x:v>ORD-1214</x:v>
      </x:c>
      <x:c r="B218" s="25" t="n">
        <x:v>46134</x:v>
      </x:c>
      <x:c r="C218" s="26" t="str">
        <x:v>West</x:v>
      </x:c>
      <x:c r="D218" s="26" t="str">
        <x:v>Maya Chen</x:v>
      </x:c>
      <x:c r="E218" s="26" t="str">
        <x:v>P-101</x:v>
      </x:c>
      <x:c r="F218" s="26" t="str">
        <x:v>Espresso Machine</x:v>
      </x:c>
      <x:c r="G218" s="26" t="str">
        <x:v>Equipment</x:v>
      </x:c>
      <x:c r="H218" s="27" t="n">
        <x:v>4</x:v>
      </x:c>
      <x:c r="I218" s="28" t="n">
        <x:v>420</x:v>
      </x:c>
      <x:c r="J218" s="29" t="n">
        <x:v>0.15</x:v>
      </x:c>
      <x:c r="K218" s="30" t="n">
        <x:f>H218*I218*(1-J218)</x:f>
        <x:v>1428</x:v>
      </x:c>
    </x:row>
    <x:row r="219">
      <x:c r="A219" s="24" t="str">
        <x:v>ORD-1215</x:v>
      </x:c>
      <x:c r="B219" s="25" t="n">
        <x:v>46148</x:v>
      </x:c>
      <x:c r="C219" s="26" t="str">
        <x:v>East</x:v>
      </x:c>
      <x:c r="D219" s="26" t="str">
        <x:v>Sofia Rossi</x:v>
      </x:c>
      <x:c r="E219" s="26" t="str">
        <x:v>P-106</x:v>
      </x:c>
      <x:c r="F219" s="26" t="str">
        <x:v>Milk Frother</x:v>
      </x:c>
      <x:c r="G219" s="26" t="str">
        <x:v>Equipment</x:v>
      </x:c>
      <x:c r="H219" s="27" t="n">
        <x:v>3</x:v>
      </x:c>
      <x:c r="I219" s="28" t="n">
        <x:v>74</x:v>
      </x:c>
      <x:c r="J219" s="29" t="n">
        <x:v>0.05</x:v>
      </x:c>
      <x:c r="K219" s="30" t="n">
        <x:f>H219*I219*(1-J219)</x:f>
        <x:v>210.89999999999998</x:v>
      </x:c>
    </x:row>
    <x:row r="220">
      <x:c r="A220" s="24" t="str">
        <x:v>ORD-1216</x:v>
      </x:c>
      <x:c r="B220" s="25" t="n">
        <x:v>46190</x:v>
      </x:c>
      <x:c r="C220" s="26" t="str">
        <x:v>South</x:v>
      </x:c>
      <x:c r="D220" s="26" t="str">
        <x:v>Daniel Reed</x:v>
      </x:c>
      <x:c r="E220" s="26" t="str">
        <x:v>P-105</x:v>
      </x:c>
      <x:c r="F220" s="26" t="str">
        <x:v>POS Tablet</x:v>
      </x:c>
      <x:c r="G220" s="26" t="str">
        <x:v>Technology</x:v>
      </x:c>
      <x:c r="H220" s="27" t="n">
        <x:v>2</x:v>
      </x:c>
      <x:c r="I220" s="28" t="n">
        <x:v>310</x:v>
      </x:c>
      <x:c r="J220" s="29" t="n">
        <x:v>0</x:v>
      </x:c>
      <x:c r="K220" s="30" t="n">
        <x:f>H220*I220*(1-J220)</x:f>
        <x:v>620</x:v>
      </x:c>
    </x:row>
    <x:row r="221">
      <x:c r="A221" s="24" t="str">
        <x:v>ORD-1217</x:v>
      </x:c>
      <x:c r="B221" s="25" t="n">
        <x:v>46023</x:v>
      </x:c>
      <x:c r="C221" s="26" t="str">
        <x:v>North</x:v>
      </x:c>
      <x:c r="D221" s="26" t="str">
        <x:v>Omar Haddad</x:v>
      </x:c>
      <x:c r="E221" s="26" t="str">
        <x:v>P-104</x:v>
      </x:c>
      <x:c r="F221" s="26" t="str">
        <x:v>Paper Cup Pack</x:v>
      </x:c>
      <x:c r="G221" s="26" t="str">
        <x:v>Supplies</x:v>
      </x:c>
      <x:c r="H221" s="27" t="n">
        <x:v>1</x:v>
      </x:c>
      <x:c r="I221" s="28" t="n">
        <x:v>38</x:v>
      </x:c>
      <x:c r="J221" s="29" t="n">
        <x:v>0.1</x:v>
      </x:c>
      <x:c r="K221" s="30" t="n">
        <x:f>H221*I221*(1-J221)</x:f>
        <x:v>34.2</x:v>
      </x:c>
    </x:row>
    <x:row r="222">
      <x:c r="A222" s="24" t="str">
        <x:v>ORD-1218</x:v>
      </x:c>
      <x:c r="B222" s="25" t="n">
        <x:v>46065</x:v>
      </x:c>
      <x:c r="C222" s="26" t="str">
        <x:v>West</x:v>
      </x:c>
      <x:c r="D222" s="26" t="str">
        <x:v>Aylin Kaya</x:v>
      </x:c>
      <x:c r="E222" s="26" t="str">
        <x:v>P-103</x:v>
      </x:c>
      <x:c r="F222" s="26" t="str">
        <x:v>Premium Beans 5kg</x:v>
      </x:c>
      <x:c r="G222" s="26" t="str">
        <x:v>Supplies</x:v>
      </x:c>
      <x:c r="H222" s="27" t="n">
        <x:v>8</x:v>
      </x:c>
      <x:c r="I222" s="28" t="n">
        <x:v>92</x:v>
      </x:c>
      <x:c r="J222" s="29" t="n">
        <x:v>0</x:v>
      </x:c>
      <x:c r="K222" s="30" t="n">
        <x:f>H222*I222*(1-J222)</x:f>
        <x:v>736</x:v>
      </x:c>
    </x:row>
    <x:row r="223">
      <x:c r="A223" s="24" t="str">
        <x:v>ORD-1219</x:v>
      </x:c>
      <x:c r="B223" s="25" t="n">
        <x:v>46104</x:v>
      </x:c>
      <x:c r="C223" s="26" t="str">
        <x:v>East</x:v>
      </x:c>
      <x:c r="D223" s="26" t="str">
        <x:v>Maya Chen</x:v>
      </x:c>
      <x:c r="E223" s="26" t="str">
        <x:v>P-102</x:v>
      </x:c>
      <x:c r="F223" s="26" t="str">
        <x:v>Coffee Grinder</x:v>
      </x:c>
      <x:c r="G223" s="26" t="str">
        <x:v>Equipment</x:v>
      </x:c>
      <x:c r="H223" s="27" t="n">
        <x:v>7</x:v>
      </x:c>
      <x:c r="I223" s="28" t="n">
        <x:v>185</x:v>
      </x:c>
      <x:c r="J223" s="29" t="n">
        <x:v>0.15</x:v>
      </x:c>
      <x:c r="K223" s="30" t="n">
        <x:f>H223*I223*(1-J223)</x:f>
        <x:v>1100.75</x:v>
      </x:c>
    </x:row>
    <x:row r="224">
      <x:c r="A224" s="24" t="str">
        <x:v>ORD-1220</x:v>
      </x:c>
      <x:c r="B224" s="25" t="n">
        <x:v>46119</x:v>
      </x:c>
      <x:c r="C224" s="26" t="str">
        <x:v>South</x:v>
      </x:c>
      <x:c r="D224" s="26" t="str">
        <x:v>Sofia Rossi</x:v>
      </x:c>
      <x:c r="E224" s="26" t="str">
        <x:v>P-101</x:v>
      </x:c>
      <x:c r="F224" s="26" t="str">
        <x:v>Espresso Machine</x:v>
      </x:c>
      <x:c r="G224" s="26" t="str">
        <x:v>Equipment</x:v>
      </x:c>
      <x:c r="H224" s="27" t="n">
        <x:v>6</x:v>
      </x:c>
      <x:c r="I224" s="28" t="n">
        <x:v>420</x:v>
      </x:c>
      <x:c r="J224" s="29" t="n">
        <x:v>0.05</x:v>
      </x:c>
      <x:c r="K224" s="30" t="n">
        <x:f>H224*I224*(1-J224)</x:f>
        <x:v>2394</x:v>
      </x:c>
    </x:row>
    <x:row r="225">
      <x:c r="A225" s="24" t="str">
        <x:v>ORD-1221</x:v>
      </x:c>
      <x:c r="B225" s="25" t="n">
        <x:v>46160</x:v>
      </x:c>
      <x:c r="C225" s="26" t="str">
        <x:v>North</x:v>
      </x:c>
      <x:c r="D225" s="26" t="str">
        <x:v>Daniel Reed</x:v>
      </x:c>
      <x:c r="E225" s="26" t="str">
        <x:v>P-106</x:v>
      </x:c>
      <x:c r="F225" s="26" t="str">
        <x:v>Milk Frother</x:v>
      </x:c>
      <x:c r="G225" s="26" t="str">
        <x:v>Equipment</x:v>
      </x:c>
      <x:c r="H225" s="27" t="n">
        <x:v>5</x:v>
      </x:c>
      <x:c r="I225" s="28" t="n">
        <x:v>74</x:v>
      </x:c>
      <x:c r="J225" s="29" t="n">
        <x:v>0</x:v>
      </x:c>
      <x:c r="K225" s="30" t="n">
        <x:f>H225*I225*(1-J225)</x:f>
        <x:v>370</x:v>
      </x:c>
    </x:row>
    <x:row r="226">
      <x:c r="A226" s="24" t="str">
        <x:v>ORD-1222</x:v>
      </x:c>
      <x:c r="B226" s="25" t="n">
        <x:v>46175</x:v>
      </x:c>
      <x:c r="C226" s="26" t="str">
        <x:v>West</x:v>
      </x:c>
      <x:c r="D226" s="26" t="str">
        <x:v>Omar Haddad</x:v>
      </x:c>
      <x:c r="E226" s="26" t="str">
        <x:v>P-105</x:v>
      </x:c>
      <x:c r="F226" s="26" t="str">
        <x:v>POS Tablet</x:v>
      </x:c>
      <x:c r="G226" s="26" t="str">
        <x:v>Technology</x:v>
      </x:c>
      <x:c r="H226" s="27" t="n">
        <x:v>4</x:v>
      </x:c>
      <x:c r="I226" s="28" t="n">
        <x:v>310</x:v>
      </x:c>
      <x:c r="J226" s="29" t="n">
        <x:v>0.1</x:v>
      </x:c>
      <x:c r="K226" s="30" t="n">
        <x:f>H226*I226*(1-J226)</x:f>
        <x:v>1116</x:v>
      </x:c>
    </x:row>
    <x:row r="227">
      <x:c r="A227" s="24" t="str">
        <x:v>ORD-1223</x:v>
      </x:c>
      <x:c r="B227" s="25" t="n">
        <x:v>46035</x:v>
      </x:c>
      <x:c r="C227" s="26" t="str">
        <x:v>East</x:v>
      </x:c>
      <x:c r="D227" s="26" t="str">
        <x:v>Aylin Kaya</x:v>
      </x:c>
      <x:c r="E227" s="26" t="str">
        <x:v>P-104</x:v>
      </x:c>
      <x:c r="F227" s="26" t="str">
        <x:v>Paper Cup Pack</x:v>
      </x:c>
      <x:c r="G227" s="26" t="str">
        <x:v>Supplies</x:v>
      </x:c>
      <x:c r="H227" s="27" t="n">
        <x:v>3</x:v>
      </x:c>
      <x:c r="I227" s="28" t="n">
        <x:v>38</x:v>
      </x:c>
      <x:c r="J227" s="29" t="n">
        <x:v>0</x:v>
      </x:c>
      <x:c r="K227" s="30" t="n">
        <x:f>H227*I227*(1-J227)</x:f>
        <x:v>114</x:v>
      </x:c>
    </x:row>
    <x:row r="228">
      <x:c r="A228" s="24" t="str">
        <x:v>ORD-1224</x:v>
      </x:c>
      <x:c r="B228" s="25" t="n">
        <x:v>46077</x:v>
      </x:c>
      <x:c r="C228" s="26" t="str">
        <x:v>South</x:v>
      </x:c>
      <x:c r="D228" s="26" t="str">
        <x:v>Maya Chen</x:v>
      </x:c>
      <x:c r="E228" s="26" t="str">
        <x:v>P-103</x:v>
      </x:c>
      <x:c r="F228" s="26" t="str">
        <x:v>Premium Beans 5kg</x:v>
      </x:c>
      <x:c r="G228" s="26" t="str">
        <x:v>Supplies</x:v>
      </x:c>
      <x:c r="H228" s="27" t="n">
        <x:v>2</x:v>
      </x:c>
      <x:c r="I228" s="28" t="n">
        <x:v>92</x:v>
      </x:c>
      <x:c r="J228" s="29" t="n">
        <x:v>0.15</x:v>
      </x:c>
      <x:c r="K228" s="30" t="n">
        <x:f>H228*I228*(1-J228)</x:f>
        <x:v>156.4</x:v>
      </x:c>
    </x:row>
    <x:row r="229">
      <x:c r="A229" s="24" t="str">
        <x:v>ORD-1225</x:v>
      </x:c>
      <x:c r="B229" s="25" t="n">
        <x:v>46089</x:v>
      </x:c>
      <x:c r="C229" s="26" t="str">
        <x:v>North</x:v>
      </x:c>
      <x:c r="D229" s="26" t="str">
        <x:v>Sofia Rossi</x:v>
      </x:c>
      <x:c r="E229" s="26" t="str">
        <x:v>P-102</x:v>
      </x:c>
      <x:c r="F229" s="26" t="str">
        <x:v>Coffee Grinder</x:v>
      </x:c>
      <x:c r="G229" s="26" t="str">
        <x:v>Equipment</x:v>
      </x:c>
      <x:c r="H229" s="27" t="n">
        <x:v>1</x:v>
      </x:c>
      <x:c r="I229" s="28" t="n">
        <x:v>185</x:v>
      </x:c>
      <x:c r="J229" s="29" t="n">
        <x:v>0.05</x:v>
      </x:c>
      <x:c r="K229" s="30" t="n">
        <x:f>H229*I229*(1-J229)</x:f>
        <x:v>175.75</x:v>
      </x:c>
    </x:row>
    <x:row r="230">
      <x:c r="A230" s="24" t="str">
        <x:v>ORD-1226</x:v>
      </x:c>
      <x:c r="B230" s="25" t="n">
        <x:v>46131</x:v>
      </x:c>
      <x:c r="C230" s="26" t="str">
        <x:v>West</x:v>
      </x:c>
      <x:c r="D230" s="26" t="str">
        <x:v>Daniel Reed</x:v>
      </x:c>
      <x:c r="E230" s="26" t="str">
        <x:v>P-101</x:v>
      </x:c>
      <x:c r="F230" s="26" t="str">
        <x:v>Espresso Machine</x:v>
      </x:c>
      <x:c r="G230" s="26" t="str">
        <x:v>Equipment</x:v>
      </x:c>
      <x:c r="H230" s="27" t="n">
        <x:v>8</x:v>
      </x:c>
      <x:c r="I230" s="28" t="n">
        <x:v>420</x:v>
      </x:c>
      <x:c r="J230" s="29" t="n">
        <x:v>0</x:v>
      </x:c>
      <x:c r="K230" s="30" t="n">
        <x:f>H230*I230*(1-J230)</x:f>
        <x:v>3360</x:v>
      </x:c>
    </x:row>
    <x:row r="231">
      <x:c r="A231" s="24" t="str">
        <x:v>ORD-1227</x:v>
      </x:c>
      <x:c r="B231" s="25" t="n">
        <x:v>46145</x:v>
      </x:c>
      <x:c r="C231" s="26" t="str">
        <x:v>East</x:v>
      </x:c>
      <x:c r="D231" s="26" t="str">
        <x:v>Omar Haddad</x:v>
      </x:c>
      <x:c r="E231" s="26" t="str">
        <x:v>P-106</x:v>
      </x:c>
      <x:c r="F231" s="26" t="str">
        <x:v>Milk Frother</x:v>
      </x:c>
      <x:c r="G231" s="26" t="str">
        <x:v>Equipment</x:v>
      </x:c>
      <x:c r="H231" s="27" t="n">
        <x:v>7</x:v>
      </x:c>
      <x:c r="I231" s="28" t="n">
        <x:v>74</x:v>
      </x:c>
      <x:c r="J231" s="29" t="n">
        <x:v>0.1</x:v>
      </x:c>
      <x:c r="K231" s="30" t="n">
        <x:f>H231*I231*(1-J231)</x:f>
        <x:v>466.2</x:v>
      </x:c>
    </x:row>
    <x:row r="232">
      <x:c r="A232" s="24" t="str">
        <x:v>ORD-1228</x:v>
      </x:c>
      <x:c r="B232" s="25" t="n">
        <x:v>46187</x:v>
      </x:c>
      <x:c r="C232" s="26" t="str">
        <x:v>South</x:v>
      </x:c>
      <x:c r="D232" s="26" t="str">
        <x:v>Aylin Kaya</x:v>
      </x:c>
      <x:c r="E232" s="26" t="str">
        <x:v>P-105</x:v>
      </x:c>
      <x:c r="F232" s="26" t="str">
        <x:v>POS Tablet</x:v>
      </x:c>
      <x:c r="G232" s="26" t="str">
        <x:v>Technology</x:v>
      </x:c>
      <x:c r="H232" s="27" t="n">
        <x:v>6</x:v>
      </x:c>
      <x:c r="I232" s="28" t="n">
        <x:v>310</x:v>
      </x:c>
      <x:c r="J232" s="29" t="n">
        <x:v>0</x:v>
      </x:c>
      <x:c r="K232" s="30" t="n">
        <x:f>H232*I232*(1-J232)</x:f>
        <x:v>1860</x:v>
      </x:c>
    </x:row>
    <x:row r="233">
      <x:c r="A233" s="24" t="str">
        <x:v>ORD-1229</x:v>
      </x:c>
      <x:c r="B233" s="25" t="n">
        <x:v>46047</x:v>
      </x:c>
      <x:c r="C233" s="26" t="str">
        <x:v>North</x:v>
      </x:c>
      <x:c r="D233" s="26" t="str">
        <x:v>Maya Chen</x:v>
      </x:c>
      <x:c r="E233" s="26" t="str">
        <x:v>P-104</x:v>
      </x:c>
      <x:c r="F233" s="26" t="str">
        <x:v>Paper Cup Pack</x:v>
      </x:c>
      <x:c r="G233" s="26" t="str">
        <x:v>Supplies</x:v>
      </x:c>
      <x:c r="H233" s="27" t="n">
        <x:v>5</x:v>
      </x:c>
      <x:c r="I233" s="28" t="n">
        <x:v>38</x:v>
      </x:c>
      <x:c r="J233" s="29" t="n">
        <x:v>0.15</x:v>
      </x:c>
      <x:c r="K233" s="30" t="n">
        <x:f>H233*I233*(1-J233)</x:f>
        <x:v>161.5</x:v>
      </x:c>
    </x:row>
    <x:row r="234">
      <x:c r="A234" s="24" t="str">
        <x:v>ORD-1230</x:v>
      </x:c>
      <x:c r="B234" s="25" t="n">
        <x:v>46062</x:v>
      </x:c>
      <x:c r="C234" s="26" t="str">
        <x:v>West</x:v>
      </x:c>
      <x:c r="D234" s="26" t="str">
        <x:v>Sofia Rossi</x:v>
      </x:c>
      <x:c r="E234" s="26" t="str">
        <x:v>P-103</x:v>
      </x:c>
      <x:c r="F234" s="26" t="str">
        <x:v>Premium Beans 5kg</x:v>
      </x:c>
      <x:c r="G234" s="26" t="str">
        <x:v>Supplies</x:v>
      </x:c>
      <x:c r="H234" s="27" t="n">
        <x:v>4</x:v>
      </x:c>
      <x:c r="I234" s="28" t="n">
        <x:v>92</x:v>
      </x:c>
      <x:c r="J234" s="29" t="n">
        <x:v>0.05</x:v>
      </x:c>
      <x:c r="K234" s="30" t="n">
        <x:f>H234*I234*(1-J234)</x:f>
        <x:v>349.59999999999997</x:v>
      </x:c>
    </x:row>
    <x:row r="235">
      <x:c r="A235" s="24" t="str">
        <x:v>ORD-1231</x:v>
      </x:c>
      <x:c r="B235" s="25" t="n">
        <x:v>46101</x:v>
      </x:c>
      <x:c r="C235" s="26" t="str">
        <x:v>East</x:v>
      </x:c>
      <x:c r="D235" s="26" t="str">
        <x:v>Daniel Reed</x:v>
      </x:c>
      <x:c r="E235" s="26" t="str">
        <x:v>P-102</x:v>
      </x:c>
      <x:c r="F235" s="26" t="str">
        <x:v>Coffee Grinder</x:v>
      </x:c>
      <x:c r="G235" s="26" t="str">
        <x:v>Equipment</x:v>
      </x:c>
      <x:c r="H235" s="27" t="n">
        <x:v>3</x:v>
      </x:c>
      <x:c r="I235" s="28" t="n">
        <x:v>185</x:v>
      </x:c>
      <x:c r="J235" s="29" t="n">
        <x:v>0</x:v>
      </x:c>
      <x:c r="K235" s="30" t="n">
        <x:f>H235*I235*(1-J235)</x:f>
        <x:v>555</x:v>
      </x:c>
    </x:row>
    <x:row r="236">
      <x:c r="A236" s="24" t="str">
        <x:v>ORD-1232</x:v>
      </x:c>
      <x:c r="B236" s="25" t="n">
        <x:v>46116</x:v>
      </x:c>
      <x:c r="C236" s="26" t="str">
        <x:v>South</x:v>
      </x:c>
      <x:c r="D236" s="26" t="str">
        <x:v>Omar Haddad</x:v>
      </x:c>
      <x:c r="E236" s="26" t="str">
        <x:v>P-101</x:v>
      </x:c>
      <x:c r="F236" s="26" t="str">
        <x:v>Espresso Machine</x:v>
      </x:c>
      <x:c r="G236" s="26" t="str">
        <x:v>Equipment</x:v>
      </x:c>
      <x:c r="H236" s="27" t="n">
        <x:v>2</x:v>
      </x:c>
      <x:c r="I236" s="28" t="n">
        <x:v>420</x:v>
      </x:c>
      <x:c r="J236" s="29" t="n">
        <x:v>0.1</x:v>
      </x:c>
      <x:c r="K236" s="30" t="n">
        <x:f>H236*I236*(1-J236)</x:f>
        <x:v>756</x:v>
      </x:c>
    </x:row>
    <x:row r="237">
      <x:c r="A237" s="24" t="str">
        <x:v>ORD-1233</x:v>
      </x:c>
      <x:c r="B237" s="25" t="n">
        <x:v>46157</x:v>
      </x:c>
      <x:c r="C237" s="26" t="str">
        <x:v>North</x:v>
      </x:c>
      <x:c r="D237" s="26" t="str">
        <x:v>Aylin Kaya</x:v>
      </x:c>
      <x:c r="E237" s="26" t="str">
        <x:v>P-106</x:v>
      </x:c>
      <x:c r="F237" s="26" t="str">
        <x:v>Milk Frother</x:v>
      </x:c>
      <x:c r="G237" s="26" t="str">
        <x:v>Equipment</x:v>
      </x:c>
      <x:c r="H237" s="27" t="n">
        <x:v>1</x:v>
      </x:c>
      <x:c r="I237" s="28" t="n">
        <x:v>74</x:v>
      </x:c>
      <x:c r="J237" s="29" t="n">
        <x:v>0</x:v>
      </x:c>
      <x:c r="K237" s="30" t="n">
        <x:f>H237*I237*(1-J237)</x:f>
        <x:v>74</x:v>
      </x:c>
    </x:row>
    <x:row r="238">
      <x:c r="A238" s="24" t="str">
        <x:v>ORD-1234</x:v>
      </x:c>
      <x:c r="B238" s="25" t="n">
        <x:v>46199</x:v>
      </x:c>
      <x:c r="C238" s="26" t="str">
        <x:v>West</x:v>
      </x:c>
      <x:c r="D238" s="26" t="str">
        <x:v>Maya Chen</x:v>
      </x:c>
      <x:c r="E238" s="26" t="str">
        <x:v>P-105</x:v>
      </x:c>
      <x:c r="F238" s="26" t="str">
        <x:v>POS Tablet</x:v>
      </x:c>
      <x:c r="G238" s="26" t="str">
        <x:v>Technology</x:v>
      </x:c>
      <x:c r="H238" s="27" t="n">
        <x:v>8</x:v>
      </x:c>
      <x:c r="I238" s="28" t="n">
        <x:v>310</x:v>
      </x:c>
      <x:c r="J238" s="29" t="n">
        <x:v>0.15</x:v>
      </x:c>
      <x:c r="K238" s="30" t="n">
        <x:f>H238*I238*(1-J238)</x:f>
        <x:v>2108</x:v>
      </x:c>
    </x:row>
    <x:row r="239">
      <x:c r="A239" s="24" t="str">
        <x:v>ORD-1235</x:v>
      </x:c>
      <x:c r="B239" s="25" t="n">
        <x:v>46032</x:v>
      </x:c>
      <x:c r="C239" s="26" t="str">
        <x:v>East</x:v>
      </x:c>
      <x:c r="D239" s="26" t="str">
        <x:v>Sofia Rossi</x:v>
      </x:c>
      <x:c r="E239" s="26" t="str">
        <x:v>P-104</x:v>
      </x:c>
      <x:c r="F239" s="26" t="str">
        <x:v>Paper Cup Pack</x:v>
      </x:c>
      <x:c r="G239" s="26" t="str">
        <x:v>Supplies</x:v>
      </x:c>
      <x:c r="H239" s="27" t="n">
        <x:v>7</x:v>
      </x:c>
      <x:c r="I239" s="28" t="n">
        <x:v>38</x:v>
      </x:c>
      <x:c r="J239" s="29" t="n">
        <x:v>0.05</x:v>
      </x:c>
      <x:c r="K239" s="30" t="n">
        <x:f>H239*I239*(1-J239)</x:f>
        <x:v>252.7</x:v>
      </x:c>
    </x:row>
    <x:row r="240">
      <x:c r="A240" s="24" t="str">
        <x:v>ORD-1236</x:v>
      </x:c>
      <x:c r="B240" s="25" t="n">
        <x:v>46074</x:v>
      </x:c>
      <x:c r="C240" s="26" t="str">
        <x:v>South</x:v>
      </x:c>
      <x:c r="D240" s="26" t="str">
        <x:v>Daniel Reed</x:v>
      </x:c>
      <x:c r="E240" s="26" t="str">
        <x:v>P-103</x:v>
      </x:c>
      <x:c r="F240" s="26" t="str">
        <x:v>Premium Beans 5kg</x:v>
      </x:c>
      <x:c r="G240" s="26" t="str">
        <x:v>Supplies</x:v>
      </x:c>
      <x:c r="H240" s="27" t="n">
        <x:v>6</x:v>
      </x:c>
      <x:c r="I240" s="28" t="n">
        <x:v>92</x:v>
      </x:c>
      <x:c r="J240" s="29" t="n">
        <x:v>0</x:v>
      </x:c>
      <x:c r="K240" s="30" t="n">
        <x:f>H240*I240*(1-J240)</x:f>
        <x:v>552</x:v>
      </x:c>
    </x:row>
    <x:row r="241">
      <x:c r="A241" s="24" t="str">
        <x:v>ORD-1237</x:v>
      </x:c>
      <x:c r="B241" s="25" t="n">
        <x:v>46086</x:v>
      </x:c>
      <x:c r="C241" s="26" t="str">
        <x:v>North</x:v>
      </x:c>
      <x:c r="D241" s="26" t="str">
        <x:v>Omar Haddad</x:v>
      </x:c>
      <x:c r="E241" s="26" t="str">
        <x:v>P-102</x:v>
      </x:c>
      <x:c r="F241" s="26" t="str">
        <x:v>Coffee Grinder</x:v>
      </x:c>
      <x:c r="G241" s="26" t="str">
        <x:v>Equipment</x:v>
      </x:c>
      <x:c r="H241" s="27" t="n">
        <x:v>5</x:v>
      </x:c>
      <x:c r="I241" s="28" t="n">
        <x:v>185</x:v>
      </x:c>
      <x:c r="J241" s="29" t="n">
        <x:v>0.1</x:v>
      </x:c>
      <x:c r="K241" s="30" t="n">
        <x:f>H241*I241*(1-J241)</x:f>
        <x:v>832.5</x:v>
      </x:c>
    </x:row>
    <x:row r="242">
      <x:c r="A242" s="24" t="str">
        <x:v>ORD-1238</x:v>
      </x:c>
      <x:c r="B242" s="25" t="n">
        <x:v>46128</x:v>
      </x:c>
      <x:c r="C242" s="26" t="str">
        <x:v>West</x:v>
      </x:c>
      <x:c r="D242" s="26" t="str">
        <x:v>Aylin Kaya</x:v>
      </x:c>
      <x:c r="E242" s="26" t="str">
        <x:v>P-101</x:v>
      </x:c>
      <x:c r="F242" s="26" t="str">
        <x:v>Espresso Machine</x:v>
      </x:c>
      <x:c r="G242" s="26" t="str">
        <x:v>Equipment</x:v>
      </x:c>
      <x:c r="H242" s="27" t="n">
        <x:v>4</x:v>
      </x:c>
      <x:c r="I242" s="28" t="n">
        <x:v>420</x:v>
      </x:c>
      <x:c r="J242" s="29" t="n">
        <x:v>0</x:v>
      </x:c>
      <x:c r="K242" s="30" t="n">
        <x:f>H242*I242*(1-J242)</x:f>
        <x:v>1680</x:v>
      </x:c>
    </x:row>
    <x:row r="243">
      <x:c r="A243" s="24" t="str">
        <x:v>ORD-1239</x:v>
      </x:c>
      <x:c r="B243" s="25" t="n">
        <x:v>46169</x:v>
      </x:c>
      <x:c r="C243" s="26" t="str">
        <x:v>East</x:v>
      </x:c>
      <x:c r="D243" s="26" t="str">
        <x:v>Maya Chen</x:v>
      </x:c>
      <x:c r="E243" s="26" t="str">
        <x:v>P-106</x:v>
      </x:c>
      <x:c r="F243" s="26" t="str">
        <x:v>Milk Frother</x:v>
      </x:c>
      <x:c r="G243" s="26" t="str">
        <x:v>Equipment</x:v>
      </x:c>
      <x:c r="H243" s="27" t="n">
        <x:v>3</x:v>
      </x:c>
      <x:c r="I243" s="28" t="n">
        <x:v>74</x:v>
      </x:c>
      <x:c r="J243" s="29" t="n">
        <x:v>0.15</x:v>
      </x:c>
      <x:c r="K243" s="30" t="n">
        <x:f>H243*I243*(1-J243)</x:f>
        <x:v>188.7</x:v>
      </x:c>
    </x:row>
    <x:row r="244">
      <x:c r="A244" s="31" t="str">
        <x:v>ORD-1240</x:v>
      </x:c>
      <x:c r="B244" s="32" t="n">
        <x:v>46184</x:v>
      </x:c>
      <x:c r="C244" s="33" t="str">
        <x:v>South</x:v>
      </x:c>
      <x:c r="D244" s="33" t="str">
        <x:v>Sofia Rossi</x:v>
      </x:c>
      <x:c r="E244" s="33" t="str">
        <x:v>P-105</x:v>
      </x:c>
      <x:c r="F244" s="33" t="str">
        <x:v>POS Tablet</x:v>
      </x:c>
      <x:c r="G244" s="33" t="str">
        <x:v>Technology</x:v>
      </x:c>
      <x:c r="H244" s="34" t="n">
        <x:v>2</x:v>
      </x:c>
      <x:c r="I244" s="35" t="n">
        <x:v>310</x:v>
      </x:c>
      <x:c r="J244" s="36" t="n">
        <x:v>0.05</x:v>
      </x:c>
      <x:c r="K244" s="37" t="n">
        <x:f>H244*I244*(1-J244)</x:f>
        <x:v>589</x:v>
      </x:c>
    </x:row>
  </x:sheetData>
  <x:mergeCells>
    <x:mergeCell ref="A1:K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30" hidden="0" customWidth="1"/>
    <x:col min="4" max="4" width="1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MONTHLY SALES SUMMARY — BROKEN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14" t="str">
        <x:v>KPI</x:v>
      </x:c>
      <x:c r="B4" s="15" t="str">
        <x:v>Displayed Value</x:v>
      </x:c>
      <x:c r="C4" s="15" t="str">
        <x:v>Problem</x:v>
      </x:c>
      <x:c r="D4" s="16" t="str">
        <x:v>Status</x:v>
      </x:c>
    </x:row>
    <x:row r="5">
      <x:c r="A5" t="str">
        <x:v>Total Revenue</x:v>
      </x:c>
      <x:c r="B5" s="19" t="n">
        <x:v>197364.8</x:v>
      </x:c>
      <x:c r="C5" t="str">
        <x:v>Stale hardcoded value</x:v>
      </x:c>
      <x:c r="D5" s="40" t="str">
        <x:v>BROKEN</x:v>
      </x:c>
    </x:row>
    <x:row r="6">
      <x:c r="A6" t="str">
        <x:v>Total Orders</x:v>
      </x:c>
      <x:c r="B6" s="19" t="n">
        <x:v>231</x:v>
      </x:c>
      <x:c r="C6" t="str">
        <x:v>Does not include all rows</x:v>
      </x:c>
      <x:c r="D6" s="40" t="str">
        <x:v>BROKEN</x:v>
      </x:c>
    </x:row>
    <x:row r="7">
      <x:c r="A7" t="str">
        <x:v>Average Order</x:v>
      </x:c>
      <x:c r="B7" s="19" t="n">
        <x:v>0</x:v>
      </x:c>
      <x:c r="C7" t="str">
        <x:v>Broken dependency</x:v>
      </x:c>
      <x:c r="D7" s="40" t="str">
        <x:v>BROKEN</x:v>
      </x:c>
    </x:row>
    <x:row r="8">
      <x:c r="A8" t="str">
        <x:v>Top Region</x:v>
      </x:c>
      <x:c r="B8" t="str">
        <x:v>North</x:v>
      </x:c>
      <x:c r="C8" t="str">
        <x:v>Not dynamically calculated</x:v>
      </x:c>
      <x:c r="D8" s="40" t="str">
        <x:v>STALE</x:v>
      </x:c>
    </x:row>
    <x:row r="11">
      <x:c r="A11" s="14" t="str">
        <x:v>Month</x:v>
      </x:c>
      <x:c r="B11" s="15" t="str">
        <x:v>Jan</x:v>
      </x:c>
      <x:c r="C11" s="15" t="str">
        <x:v>Feb</x:v>
      </x:c>
      <x:c r="D11" s="15" t="str">
        <x:v>Mar</x:v>
      </x:c>
      <x:c r="E11" s="15" t="str">
        <x:v>Apr</x:v>
      </x:c>
      <x:c r="F11" s="15" t="str">
        <x:v>May</x:v>
      </x:c>
      <x:c r="G11" s="16" t="str">
        <x:v>Jun</x:v>
      </x:c>
    </x:row>
    <x:row r="12">
      <x:c r="A12" t="str">
        <x:v>Revenue</x:v>
      </x:c>
      <x:c r="B12" t="n">
        <x:v>12500</x:v>
      </x:c>
      <x:c r="C12" t="n">
        <x:v>11900</x:v>
      </x:c>
      <x:c r="D12" t="n">
        <x:v>13200</x:v>
      </x:c>
      <x:c r="E12" t="n">
        <x:v>12800</x:v>
      </x:c>
      <x:c r="F12" t="n">
        <x:v>0</x:v>
      </x:c>
      <x:c r="G12" t="n">
        <x:v>0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6b8d1ef229d3417e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14" hidden="0" customWidth="1"/>
  </x:cols>
  <x:sheetData>
    <x:row r="1">
      <x:c r="A1" s="3" t="str">
        <x:v>PRODUCT LOOKUP — INCOMPLETE</x:v>
      </x:c>
      <x:c r="B1" s="3"/>
      <x:c r="C1" s="3"/>
      <x:c r="D1" s="3"/>
    </x:row>
    <x:row r="2">
      <x:c r="A2" s="3"/>
      <x:c r="B2" s="3"/>
      <x:c r="C2" s="3"/>
      <x:c r="D2" s="3"/>
    </x:row>
    <x:row r="4">
      <x:c r="A4" s="14" t="str">
        <x:v>Product ID</x:v>
      </x:c>
      <x:c r="B4" s="15" t="str">
        <x:v>Product</x:v>
      </x:c>
      <x:c r="C4" s="15" t="str">
        <x:v>Category</x:v>
      </x:c>
      <x:c r="D4" s="16" t="str">
        <x:v>Unit Price</x:v>
      </x:c>
    </x:row>
    <x:row r="5">
      <x:c r="A5" t="str">
        <x:v>P-101</x:v>
      </x:c>
      <x:c r="B5" t="str">
        <x:v>Espresso Machine</x:v>
      </x:c>
      <x:c r="C5" t="str">
        <x:v>Equipment</x:v>
      </x:c>
      <x:c r="D5" s="19" t="n">
        <x:v>420</x:v>
      </x:c>
    </x:row>
    <x:row r="6">
      <x:c r="A6" t="str">
        <x:v>P-102</x:v>
      </x:c>
      <x:c r="B6" t="str">
        <x:v>Coffee Grinder</x:v>
      </x:c>
      <x:c r="C6" t="str">
        <x:v>Equipment</x:v>
      </x:c>
      <x:c r="D6" s="19" t="n">
        <x:v>185</x:v>
      </x:c>
    </x:row>
    <x:row r="7">
      <x:c r="A7" t="str">
        <x:v>P-103</x:v>
      </x:c>
      <x:c r="B7" t="str">
        <x:v>Premium Beans 5kg</x:v>
      </x:c>
      <x:c r="C7" t="str">
        <x:v>Supplies</x:v>
      </x:c>
      <x:c r="D7" s="19" t="n">
        <x:v>92</x:v>
      </x:c>
    </x:row>
    <x:row r="8">
      <x:c r="A8" t="str">
        <x:v>P-104</x:v>
      </x:c>
      <x:c r="B8" t="str">
        <x:v>Paper Cup Pack</x:v>
      </x:c>
      <x:c r="C8" t="str">
        <x:v>Supplies</x:v>
      </x:c>
      <x:c r="D8" s="19" t="n">
        <x:v>38</x:v>
      </x:c>
    </x:row>
    <x:row r="9">
      <x:c r="A9" t="str">
        <x:v>P-105</x:v>
      </x:c>
      <x:c r="B9" t="str">
        <x:v>POS Tablet</x:v>
      </x:c>
      <x:c r="C9" t="str">
        <x:v>Technology</x:v>
      </x:c>
      <x:c r="D9" s="19" t="n">
        <x:v>310</x:v>
      </x:c>
    </x:row>
  </x:sheetData>
  <x:mergeCells>
    <x:mergeCell ref="A1:D2"/>
  </x:mergeCells>
  <x:pageMargins left="0.7" right="0.7" top="0.75" bottom="0.75" header="0.3" footer="0.3"/>
</x:worksheet>
</file>