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a4d6808df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39c6c030734059"/>
    <x:sheet xmlns:r="http://schemas.openxmlformats.org/officeDocument/2006/relationships" name="Project Profitability" sheetId="2" r:id="R5dfd2a71d94a4b01"/>
    <x:sheet xmlns:r="http://schemas.openxmlformats.org/officeDocument/2006/relationships" name="Time Entries" sheetId="3" r:id="R4ed75521bfb64b07"/>
    <x:sheet xmlns:r="http://schemas.openxmlformats.org/officeDocument/2006/relationships" name="Vendor Costs" sheetId="4" r:id="R638f5fd6e98e4fdd"/>
    <x:sheet xmlns:r="http://schemas.openxmlformats.org/officeDocument/2006/relationships" name="Client Summary" sheetId="5" r:id="R97b095927b9a4215"/>
    <x:sheet xmlns:r="http://schemas.openxmlformats.org/officeDocument/2006/relationships" name="Checks" sheetId="6" r:id="R4855b3638dd5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.0%"/>
    <x:numFmt numFmtId="202" formatCode="0"/>
    <x:numFmt numFmtId="203" formatCode="yyyy-mm-dd"/>
    <x:numFmt numFmtId="204" formatCode="$#,##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7E5EA"/>
      <x:name val="Carlito"/>
    </x:font>
    <x:font>
      <x:b/>
      <x:sz val="9"/>
      <x:color rgb="FF233746"/>
      <x:name val="Carlito"/>
    </x:font>
    <x:font>
      <x:b/>
      <x:sz val="18"/>
      <x:color rgb="FF233746"/>
      <x:name val="Carlito"/>
    </x:font>
    <x:font>
      <x:b/>
      <x:sz val="11"/>
      <x:color rgb="FFFFFFFF"/>
      <x:name val="Carlito"/>
    </x:font>
    <x:font>
      <x:b/>
      <x:sz val="11"/>
      <x:color rgb="FF233746"/>
      <x:name val="Carlito"/>
    </x:font>
    <x:font>
      <x:sz val="10"/>
      <x:color rgb="FF233746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A3A"/>
      </x:patternFill>
    </x:fill>
    <x:fill>
      <x:patternFill patternType="solid">
        <x:fgColor rgb="FFE8F3F2"/>
      </x:patternFill>
    </x:fill>
    <x:fill>
      <x:patternFill patternType="solid">
        <x:fgColor rgb="FFFCEDEA"/>
      </x:patternFill>
    </x:fill>
    <x:fill>
      <x:patternFill patternType="solid">
        <x:fgColor rgb="FF117A7A"/>
      </x:patternFill>
    </x:fill>
    <x:fill>
      <x:patternFill patternType="solid">
        <x:fgColor rgb="FFF4F7F8"/>
      </x:patternFill>
    </x:fill>
  </x:fills>
  <x:borders count="29">
    <x:border/>
    <x:border>
      <x:left style="thin">
        <x:color rgb="FFC9D8DE"/>
      </x:left>
      <x:top style="thin">
        <x:color rgb="FFC9D8DE"/>
      </x:top>
    </x:border>
    <x:border>
      <x:right style="thin">
        <x:color rgb="FFC9D8DE"/>
      </x:right>
      <x:top style="thin">
        <x:color rgb="FFC9D8DE"/>
      </x:top>
    </x:border>
    <x:border>
      <x:left style="thin">
        <x:color rgb="FFC9D8DE"/>
      </x:left>
    </x:border>
    <x:border>
      <x:right style="thin">
        <x:color rgb="FFC9D8DE"/>
      </x:right>
    </x:border>
    <x:border>
      <x:left style="thin">
        <x:color rgb="FFC9D8DE"/>
      </x:left>
      <x:bottom style="thin">
        <x:color rgb="FFC9D8DE"/>
      </x:bottom>
    </x:border>
    <x:border>
      <x:right style="thin">
        <x:color rgb="FFC9D8DE"/>
      </x:right>
      <x:bottom style="thin">
        <x:color rgb="FFC9D8DE"/>
      </x:bottom>
    </x:border>
    <x:border>
      <x:right style="thin">
        <x:color rgb="FFDCE5E8"/>
      </x:right>
      <x:bottom style="thin">
        <x:color rgb="FFDCE5E8"/>
      </x:bottom>
    </x:border>
    <x:border>
      <x:left style="thin">
        <x:color rgb="FFDCE5E8"/>
      </x:left>
      <x:right style="thin">
        <x:color rgb="FFDCE5E8"/>
      </x:right>
      <x:bottom style="thin">
        <x:color rgb="FFDCE5E8"/>
      </x:bottom>
    </x:border>
    <x:border>
      <x:left style="thin">
        <x:color rgb="FFDCE5E8"/>
      </x:left>
      <x:bottom style="thin">
        <x:color rgb="FFDCE5E8"/>
      </x:bottom>
    </x:border>
    <x:border>
      <x:right style="thin">
        <x:color rgb="FFDCE5E8"/>
      </x:right>
      <x:top style="thin">
        <x:color rgb="FFDCE5E8"/>
      </x:top>
      <x:bottom style="thin">
        <x:color rgb="FFDCE5E8"/>
      </x:bottom>
    </x:border>
    <x:border>
      <x:left style="thin">
        <x:color rgb="FFDCE5E8"/>
      </x:left>
      <x:right style="thin">
        <x:color rgb="FFDCE5E8"/>
      </x:right>
      <x:top style="thin">
        <x:color rgb="FFDCE5E8"/>
      </x:top>
      <x:bottom style="thin">
        <x:color rgb="FFDCE5E8"/>
      </x:bottom>
    </x:border>
    <x:border>
      <x:left style="thin">
        <x:color rgb="FFDCE5E8"/>
      </x:left>
      <x:top style="thin">
        <x:color rgb="FFDCE5E8"/>
      </x:top>
      <x:bottom style="thin">
        <x:color rgb="FFDCE5E8"/>
      </x:bottom>
    </x:border>
    <x:border>
      <x:right style="thin">
        <x:color rgb="FFDCE5E8"/>
      </x:right>
      <x:top style="thin">
        <x:color rgb="FFDCE5E8"/>
      </x:top>
    </x:border>
    <x:border>
      <x:left style="thin">
        <x:color rgb="FFDCE5E8"/>
      </x:left>
      <x:right style="thin">
        <x:color rgb="FFDCE5E8"/>
      </x:right>
      <x:top style="thin">
        <x:color rgb="FFDCE5E8"/>
      </x:top>
    </x:border>
    <x:border>
      <x:left style="thin">
        <x:color rgb="FFDCE5E8"/>
      </x:left>
      <x:top style="thin">
        <x:color rgb="FFDCE5E8"/>
      </x:top>
    </x:border>
    <x:border>
      <x:top style="thin">
        <x:color rgb="FFDCE5E8"/>
      </x:top>
    </x:border>
    <x:border>
      <x:left style="thin">
        <x:color rgb="FFDCE5E8"/>
      </x:left>
    </x:border>
    <x:border>
      <x:right style="thin">
        <x:color rgb="FFDCE5E8"/>
      </x:right>
    </x:border>
    <x:border>
      <x:bottom style="thin">
        <x:color rgb="FFDCE5E8"/>
      </x:bottom>
    </x:border>
    <x:border>
      <x:right style="thin">
        <x:color rgb="FFE1E8EB"/>
      </x:right>
      <x:bottom style="thin">
        <x:color rgb="FFE1E8EB"/>
      </x:bottom>
    </x:border>
    <x:border>
      <x:left style="thin">
        <x:color rgb="FFE1E8EB"/>
      </x:left>
      <x:right style="thin">
        <x:color rgb="FFE1E8EB"/>
      </x:right>
      <x:bottom style="thin">
        <x:color rgb="FFE1E8EB"/>
      </x:bottom>
    </x:border>
    <x:border>
      <x:left style="thin">
        <x:color rgb="FFE1E8EB"/>
      </x:left>
      <x:bottom style="thin">
        <x:color rgb="FFE1E8EB"/>
      </x:bottom>
    </x:border>
    <x:border>
      <x:right style="thin">
        <x:color rgb="FFE1E8EB"/>
      </x:right>
      <x:top style="thin">
        <x:color rgb="FFE1E8EB"/>
      </x:top>
      <x:bottom style="thin">
        <x:color rgb="FFE1E8EB"/>
      </x:bottom>
    </x:border>
    <x:border>
      <x:left style="thin">
        <x:color rgb="FFE1E8EB"/>
      </x:left>
      <x:right style="thin">
        <x:color rgb="FFE1E8EB"/>
      </x:right>
      <x:top style="thin">
        <x:color rgb="FFE1E8EB"/>
      </x:top>
      <x:bottom style="thin">
        <x:color rgb="FFE1E8EB"/>
      </x:bottom>
    </x:border>
    <x:border>
      <x:left style="thin">
        <x:color rgb="FFE1E8EB"/>
      </x:left>
      <x:top style="thin">
        <x:color rgb="FFE1E8EB"/>
      </x:top>
      <x:bottom style="thin">
        <x:color rgb="FFE1E8EB"/>
      </x:bottom>
    </x:border>
    <x:border>
      <x:right style="thin">
        <x:color rgb="FFE1E8EB"/>
      </x:right>
      <x:top style="thin">
        <x:color rgb="FFE1E8EB"/>
      </x:top>
    </x:border>
    <x:border>
      <x:left style="thin">
        <x:color rgb="FFE1E8EB"/>
      </x:left>
      <x:right style="thin">
        <x:color rgb="FFE1E8EB"/>
      </x:right>
      <x:top style="thin">
        <x:color rgb="FFE1E8EB"/>
      </x:top>
    </x:border>
    <x:border>
      <x:left style="thin">
        <x:color rgb="FFE1E8EB"/>
      </x:left>
      <x:top style="thin">
        <x:color rgb="FFE1E8EB"/>
      </x:top>
    </x:border>
  </x:borders>
  <x:cellStyleXfs count="1">
    <x:xf numFmtId="0" fontId="0" fillId="0" borderId="0"/>
  </x:cellStyleXfs>
  <x:cellXfs count="2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0" fillId="3" borderId="3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0" fontId="0" fillId="3" borderId="6" xfId="0" applyNumberFormat="1" applyFont="1" applyFill="1" applyBorder="1"/>
    <x:xf numFmtId="201" fontId="0" fillId="3" borderId="3" xfId="0" applyNumberFormat="1" applyFont="1" applyFill="1" applyBorder="1"/>
    <x:xf numFmtId="201" fontId="0" fillId="3" borderId="4" xfId="0" applyNumberFormat="1" applyFont="1" applyFill="1" applyBorder="1"/>
    <x:xf numFmtId="201" fontId="0" fillId="3" borderId="5" xfId="0" applyNumberFormat="1" applyFont="1" applyFill="1" applyBorder="1"/>
    <x:xf numFmtId="201" fontId="0" fillId="3" borderId="6" xfId="0" applyNumberFormat="1" applyFont="1" applyFill="1" applyBorder="1"/>
    <x:xf numFmtId="202" fontId="0" fillId="4" borderId="3" xfId="0" applyNumberFormat="1" applyFont="1" applyFill="1" applyBorder="1"/>
    <x:xf numFmtId="202" fontId="0" fillId="4" borderId="4" xfId="0" applyNumberFormat="1" applyFont="1" applyFill="1" applyBorder="1"/>
    <x:xf numFmtId="202" fontId="0" fillId="4" borderId="5" xfId="0" applyNumberFormat="1" applyFont="1" applyFill="1" applyBorder="1"/>
    <x:xf numFmtId="202" fontId="0" fillId="4" borderId="6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1" fontId="4" fillId="3" borderId="3" xfId="0" applyNumberFormat="1" applyFont="1" applyFill="1" applyBorder="1"/>
    <x:xf numFmtId="201" fontId="4" fillId="3" borderId="4" xfId="0" applyNumberFormat="1" applyFont="1" applyFill="1" applyBorder="1"/>
    <x:xf numFmtId="202" fontId="4" fillId="4" borderId="3" xfId="0" applyNumberFormat="1" applyFont="1" applyFill="1" applyBorder="1"/>
    <x:xf numFmtId="202" fontId="4" fillId="4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1" fontId="4" fillId="3" borderId="5" xfId="0" applyNumberFormat="1" applyFont="1" applyFill="1" applyBorder="1"/>
    <x:xf numFmtId="201" fontId="4" fillId="3" borderId="6" xfId="0" applyNumberFormat="1" applyFont="1" applyFill="1" applyBorder="1"/>
    <x:xf numFmtId="202" fontId="4" fillId="4" borderId="5" xfId="0" applyNumberFormat="1" applyFont="1" applyFill="1" applyBorder="1"/>
    <x:xf numFmtId="202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2" fontId="0" fillId="0" borderId="14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3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9" xfId="0" applyNumberFormat="1" applyFont="1" applyFill="1" applyBorder="1"/>
    <x:xf numFmtId="0" fontId="7" fillId="6" borderId="19" xfId="0" applyNumberFormat="1" applyFont="1" applyFill="1" applyBorder="1"/>
    <x:xf numFmtId="0" fontId="7" fillId="6" borderId="7" xfId="0" applyNumberFormat="1" applyFont="1" applyFill="1" applyBorder="1"/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7" fillId="6" borderId="13" xfId="0" applyNumberFormat="1" applyFont="1" applyFill="1" applyBorder="1" applyAlignment="1">
      <x:alignment vertical="top" wrapText="1"/>
    </x:xf>
    <x:xf numFmtId="0" fontId="7" fillId="6" borderId="17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9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8" fillId="5" borderId="20" xfId="0" applyNumberFormat="1" applyFont="1" applyFill="1" applyBorder="1" applyAlignment="1">
      <x:alignment wrapText="1"/>
    </x:xf>
    <x:xf numFmtId="0" fontId="8" fillId="5" borderId="21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3" fontId="0" fillId="0" borderId="24" xfId="0" applyNumberFormat="1" applyFont="1" applyFill="1" applyBorder="1"/>
    <x:xf numFmtId="200" fontId="0" fillId="0" borderId="24" xfId="0" applyNumberFormat="1" applyFont="1" applyFill="1" applyBorder="1"/>
    <x:xf numFmtId="201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3" fontId="0" fillId="0" borderId="27" xfId="0" applyNumberFormat="1" applyFont="1" applyFill="1" applyBorder="1"/>
    <x:xf numFmtId="200" fontId="0" fillId="0" borderId="27" xfId="0" applyNumberFormat="1" applyFont="1" applyFill="1" applyBorder="1"/>
    <x:xf numFmtId="201" fontId="0" fillId="0" borderId="27" xfId="0" applyNumberFormat="1" applyFont="1" applyFill="1" applyBorder="1"/>
    <x:xf numFmtId="0" fontId="0" fillId="0" borderId="28" xfId="0" applyNumberFormat="1" applyFont="1" applyFill="1" applyBorder="1"/>
    <x:xf numFmtId="204" fontId="0" fillId="0" borderId="0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204" fontId="0" fillId="0" borderId="24" xfId="0" applyNumberFormat="1" applyFont="1" applyFill="1" applyBorder="1"/>
    <x:xf numFmtId="204" fontId="0" fillId="0" borderId="27" xfId="0" applyNumberFormat="1" applyFont="1" applyFill="1" applyBorder="1"/>
    <x:xf numFmtId="204" fontId="0" fillId="0" borderId="25" xfId="0" applyNumberFormat="1" applyFont="1" applyFill="1" applyBorder="1"/>
    <x:xf numFmtId="204" fontId="0" fillId="0" borderId="28" xfId="0" applyNumberFormat="1" applyFont="1" applyFill="1" applyBorder="1"/>
    <x:xf numFmtId="201" fontId="0" fillId="0" borderId="25" xfId="0" applyNumberFormat="1" applyFont="1" applyFill="1" applyBorder="1"/>
    <x:xf numFmtId="201" fontId="0" fillId="0" borderId="28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4" borderId="6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8" fillId="5" borderId="20" xfId="0" applyNumberFormat="1" applyFont="1" applyFill="1" applyBorder="1" applyAlignment="1">
      <x:alignment vertical="center" wrapText="1"/>
    </x:xf>
    <x:xf numFmtId="0" fontId="8" fillId="5" borderId="21" xfId="0" applyNumberFormat="1" applyFont="1" applyFill="1" applyBorder="1" applyAlignment="1">
      <x:alignment vertical="center" wrapText="1"/>
    </x:xf>
    <x:xf numFmtId="0" fontId="8" fillId="5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203" fontId="0" fillId="0" borderId="24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203" fontId="0" fillId="0" borderId="27" xfId="0" applyNumberFormat="1" applyFont="1" applyFill="1" applyBorder="1" applyAlignment="1">
      <x:alignment vertical="center"/>
    </x:xf>
    <x:xf numFmtId="200" fontId="0" fillId="0" borderId="27" xfId="0" applyNumberFormat="1" applyFont="1" applyFill="1" applyBorder="1" applyAlignment="1">
      <x:alignment vertical="center"/>
    </x:xf>
    <x:xf numFmtId="201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5" fillId="5" borderId="21" xfId="0" applyNumberFormat="1" applyFont="1" applyFill="1" applyBorder="1" applyAlignment="1">
      <x:alignment vertical="center"/>
    </x:xf>
    <x:xf numFmtId="0" fontId="5" fillId="5" borderId="22" xfId="0" applyNumberFormat="1" applyFont="1" applyFill="1" applyBorder="1" applyAlignment="1">
      <x:alignment vertical="center"/>
    </x:xf>
    <x:xf numFmtId="204" fontId="0" fillId="0" borderId="24" xfId="0" applyNumberFormat="1" applyFont="1" applyFill="1" applyBorder="1" applyAlignment="1">
      <x:alignment vertical="center"/>
    </x:xf>
    <x:xf numFmtId="204" fontId="0" fillId="0" borderId="27" xfId="0" applyNumberFormat="1" applyFont="1" applyFill="1" applyBorder="1" applyAlignment="1">
      <x:alignment vertical="center"/>
    </x:xf>
    <x:xf numFmtId="204" fontId="0" fillId="0" borderId="25" xfId="0" applyNumberFormat="1" applyFont="1" applyFill="1" applyBorder="1" applyAlignment="1">
      <x:alignment vertical="center"/>
    </x:xf>
    <x:xf numFmtId="204" fontId="0" fillId="0" borderId="28" xfId="0" applyNumberFormat="1" applyFont="1" applyFill="1" applyBorder="1" applyAlignment="1">
      <x:alignment vertical="center"/>
    </x:xf>
    <x:xf numFmtId="201" fontId="0" fillId="0" borderId="25" xfId="0" applyNumberFormat="1" applyFont="1" applyFill="1" applyBorder="1" applyAlignment="1">
      <x:alignment vertical="center"/>
    </x:xf>
    <x:xf numFmtId="201" fontId="0" fillId="0" borderId="28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D85B4B"/>
      </x:font>
      <x:fill>
        <x:patternFill patternType="solid">
          <x:bgColor rgb="FFFCEDEA"/>
        </x:patternFill>
      </x:fill>
    </x:dxf>
    <x:dxf>
      <x:font>
        <x:b/>
        <x:color rgb="FF2F7D5C"/>
      </x:font>
      <x:fill>
        <x:patternFill patternType="solid">
          <x:bgColor rgb="FFE7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241547dad4167" /><Relationship Type="http://schemas.openxmlformats.org/officeDocument/2006/relationships/theme" Target="/xl/theme/theme1.xml" Id="R4ca724dcbd764aa1" /><Relationship Type="http://schemas.openxmlformats.org/officeDocument/2006/relationships/sharedStrings" Target="/xl/sharedStrings.xml" Id="Ra1846dce28f04665" /><Relationship Type="http://schemas.openxmlformats.org/officeDocument/2006/relationships/worksheet" Target="/xl/worksheets/sheet1.xml" Id="R5239c6c030734059" /><Relationship Type="http://schemas.openxmlformats.org/officeDocument/2006/relationships/worksheet" Target="/xl/worksheets/sheet2.xml" Id="R5dfd2a71d94a4b01" /><Relationship Type="http://schemas.openxmlformats.org/officeDocument/2006/relationships/worksheet" Target="/xl/worksheets/sheet3.xml" Id="R4ed75521bfb64b07" /><Relationship Type="http://schemas.openxmlformats.org/officeDocument/2006/relationships/worksheet" Target="/xl/worksheets/sheet4.xml" Id="R638f5fd6e98e4fdd" /><Relationship Type="http://schemas.openxmlformats.org/officeDocument/2006/relationships/worksheet" Target="/xl/worksheets/sheet5.xml" Id="R97b095927b9a4215" /><Relationship Type="http://schemas.openxmlformats.org/officeDocument/2006/relationships/worksheet" Target="/xl/worksheets/sheet6.xml" Id="R4855b3638dd54c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49c50027404b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profit by project type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Profit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'Dashboard'!$B$20:$B$24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49c50027404b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76e39e4e2a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4" hidden="0" customWidth="1"/>
    <x:col min="8" max="8" width="22" hidden="0" customWidth="1"/>
    <x:col min="9" max="9" width="16" hidden="0" customWidth="1"/>
    <x:col min="10" max="10" width="16" hidden="0" customWidth="1"/>
    <x:col min="11" max="11" width="14" hidden="0" customWidth="1"/>
    <x:col min="12" max="12" width="15" hidden="0" customWidth="1"/>
  </x:cols>
  <x:sheetData>
    <x:row r="1" ht="34" customHeight="1">
      <x:c r="A1" s="137" t="str">
        <x:v>Agency Project Profitability Dashboard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</x:row>
    <x:row r="2" ht="22" customHeight="1">
      <x:c r="A2" s="138" t="str">
        <x:v>Executive commercial view | 2026 portfolio | USD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</x:row>
    <x:row r="3" ht="22" customHeight="1">
      <x:c r="A3" s="139"/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  <x:c r="L3" s="139"/>
    </x:row>
    <x:row r="4" ht="22" customHeight="1">
      <x:c r="A4" s="140" t="str">
        <x:v>REVENUE</x:v>
      </x:c>
      <x:c r="B4" s="141" t="str"/>
      <x:c r="C4" s="140" t="str">
        <x:v>DELIVERY COST</x:v>
      </x:c>
      <x:c r="D4" s="141" t="str"/>
      <x:c r="E4" s="140" t="str">
        <x:v>GROSS PROFIT</x:v>
      </x:c>
      <x:c r="F4" s="141" t="str"/>
      <x:c r="G4" s="140" t="str">
        <x:v>GROSS MARGIN</x:v>
      </x:c>
      <x:c r="H4" s="141" t="str"/>
      <x:c r="I4" s="140" t="str">
        <x:v>BILLABLE UTIL.</x:v>
      </x:c>
      <x:c r="J4" s="141" t="str"/>
      <x:c r="K4" s="142" t="str">
        <x:v>AT-RISK PROJECTS</x:v>
      </x:c>
      <x:c r="L4" s="143" t="str"/>
    </x:row>
    <x:row r="5" ht="22" customHeight="1">
      <x:c r="A5" s="144" t="n">
        <x:f>SUM('Project Profitability'!$I$5:$I$28)</x:f>
        <x:v>1431800</x:v>
      </x:c>
      <x:c r="B5" s="145"/>
      <x:c r="C5" s="144" t="n">
        <x:f>SUM('Project Profitability'!$O$5:$O$28)</x:f>
        <x:v>793728.48</x:v>
      </x:c>
      <x:c r="D5" s="145"/>
      <x:c r="E5" s="144" t="n">
        <x:f>SUM('Project Profitability'!$P$5:$P$28)</x:f>
        <x:v>638071.5199999999</x:v>
      </x:c>
      <x:c r="F5" s="145"/>
      <x:c r="G5" s="146" t="n">
        <x:f>E5/A5</x:f>
        <x:v>0.44564291102109227</x:v>
      </x:c>
      <x:c r="H5" s="147"/>
      <x:c r="I5" s="146" t="n">
        <x:f>SUM('Time Entries'!$I$5:$I$400)/SUM('Time Entries'!$G$5:$G$400)</x:f>
        <x:v>0.8350881208514535</x:v>
      </x:c>
      <x:c r="J5" s="147"/>
      <x:c r="K5" s="148" t="n">
        <x:f>COUNTIF('Project Profitability'!$V$5:$V$28,"Critical")+COUNTIF('Project Profitability'!$V$5:$V$28,"Watch")</x:f>
        <x:v>9</x:v>
      </x:c>
      <x:c r="L5" s="149"/>
    </x:row>
    <x:row r="6" ht="22" customHeight="1">
      <x:c r="A6" s="150"/>
      <x:c r="B6" s="151"/>
      <x:c r="C6" s="150"/>
      <x:c r="D6" s="151"/>
      <x:c r="E6" s="150"/>
      <x:c r="F6" s="151"/>
      <x:c r="G6" s="152"/>
      <x:c r="H6" s="153"/>
      <x:c r="I6" s="152"/>
      <x:c r="J6" s="153"/>
      <x:c r="K6" s="154"/>
      <x:c r="L6" s="155"/>
    </x:row>
    <x:row r="7" ht="22" customHeight="1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</x:row>
    <x:row r="8" ht="22" customHeight="1">
      <x:c r="A8" s="156" t="str">
        <x:v>Project risk queue</x:v>
      </x:c>
      <x:c r="B8" s="156"/>
      <x:c r="C8" s="156"/>
      <x:c r="D8" s="156"/>
      <x:c r="E8" s="156"/>
      <x:c r="F8" s="156"/>
      <x:c r="G8" s="139"/>
      <x:c r="H8" s="156" t="str">
        <x:v>Client profitability</x:v>
      </x:c>
      <x:c r="I8" s="156"/>
      <x:c r="J8" s="156"/>
      <x:c r="K8" s="156"/>
      <x:c r="L8" s="156"/>
    </x:row>
    <x:row r="9" ht="22" customHeight="1">
      <x:c r="A9" s="157" t="str">
        <x:v>Project</x:v>
      </x:c>
      <x:c r="B9" s="158" t="str">
        <x:v>Client</x:v>
      </x:c>
      <x:c r="C9" s="158" t="str">
        <x:v>Margin</x:v>
      </x:c>
      <x:c r="D9" s="158" t="str">
        <x:v>Hours Var</x:v>
      </x:c>
      <x:c r="E9" s="158" t="str">
        <x:v>Cost Var</x:v>
      </x:c>
      <x:c r="F9" s="159" t="str">
        <x:v>Risk</x:v>
      </x:c>
      <x:c r="G9" s="139"/>
      <x:c r="H9" s="157" t="str">
        <x:v>Client</x:v>
      </x:c>
      <x:c r="I9" s="158" t="str">
        <x:v>Revenue</x:v>
      </x:c>
      <x:c r="J9" s="158" t="str">
        <x:v>Gross Profit</x:v>
      </x:c>
      <x:c r="K9" s="159" t="str">
        <x:v>Margin</x:v>
      </x:c>
      <x:c r="L9" s="139"/>
    </x:row>
    <x:row r="10" ht="22" customHeight="1">
      <x:c r="A10" s="160" t="str">
        <x:v>P019</x:v>
      </x:c>
      <x:c r="B10" s="161" t="str">
        <x:v>Atlas Property</x:v>
      </x:c>
      <x:c r="C10" s="162" t="n">
        <x:v>0.1228371794871795</x:v>
      </x:c>
      <x:c r="D10" s="163" t="n">
        <x:v>-1</x:v>
      </x:c>
      <x:c r="E10" s="164" t="n">
        <x:v>3667.4799999999996</x:v>
      </x:c>
      <x:c r="F10" s="165" t="str">
        <x:v>Critical</x:v>
      </x:c>
      <x:c r="G10" s="139"/>
      <x:c r="H10" s="160" t="str">
        <x:v>Northstar Retail</x:v>
      </x:c>
      <x:c r="I10" s="164" t="n">
        <x:v>249800</x:v>
      </x:c>
      <x:c r="J10" s="164" t="n">
        <x:v>125821.79</x:v>
      </x:c>
      <x:c r="K10" s="166" t="n">
        <x:v>0.5036901120896717</x:v>
      </x:c>
      <x:c r="L10" s="139"/>
    </x:row>
    <x:row r="11" ht="22" customHeight="1">
      <x:c r="A11" s="160" t="str">
        <x:v>P022</x:v>
      </x:c>
      <x:c r="B11" s="161" t="str">
        <x:v>BrightPath Learning</x:v>
      </x:c>
      <x:c r="C11" s="162" t="n">
        <x:v>0.36229883870967744</x:v>
      </x:c>
      <x:c r="D11" s="163" t="n">
        <x:v>114</x:v>
      </x:c>
      <x:c r="E11" s="164" t="n">
        <x:v>13721.839999999997</x:v>
      </x:c>
      <x:c r="F11" s="165" t="str">
        <x:v>Critical</x:v>
      </x:c>
      <x:c r="G11" s="139"/>
      <x:c r="H11" s="160" t="str">
        <x:v>Harbor Legal</x:v>
      </x:c>
      <x:c r="I11" s="164" t="n">
        <x:v>201200</x:v>
      </x:c>
      <x:c r="J11" s="164" t="n">
        <x:v>90250.5</x:v>
      </x:c>
      <x:c r="K11" s="166" t="n">
        <x:v>0.4485611332007952</x:v>
      </x:c>
      <x:c r="L11" s="139"/>
    </x:row>
    <x:row r="12" ht="22" customHeight="1">
      <x:c r="A12" s="160" t="str">
        <x:v>P008</x:v>
      </x:c>
      <x:c r="B12" s="161" t="str">
        <x:v>PeakFit Clubs</x:v>
      </x:c>
      <x:c r="C12" s="162" t="n">
        <x:v>0.39345936507936513</x:v>
      </x:c>
      <x:c r="D12" s="163" t="n">
        <x:v>160</x:v>
      </x:c>
      <x:c r="E12" s="164" t="n">
        <x:v>5418.0899999999965</x:v>
      </x:c>
      <x:c r="F12" s="165" t="str">
        <x:v>Critical</x:v>
      </x:c>
      <x:c r="G12" s="139"/>
      <x:c r="H12" s="160" t="str">
        <x:v>Orbit SaaS</x:v>
      </x:c>
      <x:c r="I12" s="164" t="n">
        <x:v>180600</x:v>
      </x:c>
      <x:c r="J12" s="164" t="n">
        <x:v>82004.24</x:v>
      </x:c>
      <x:c r="K12" s="166" t="n">
        <x:v>0.45406555924695463</x:v>
      </x:c>
      <x:c r="L12" s="139"/>
    </x:row>
    <x:row r="13" ht="22" customHeight="1">
      <x:c r="A13" s="160" t="str">
        <x:v>P015</x:v>
      </x:c>
      <x:c r="B13" s="161" t="str">
        <x:v>Harbor Legal</x:v>
      </x:c>
      <x:c r="C13" s="162" t="n">
        <x:v>0.40123322368421044</x:v>
      </x:c>
      <x:c r="D13" s="163" t="n">
        <x:v>89</x:v>
      </x:c>
      <x:c r="E13" s="164" t="n">
        <x:v>4905.020000000004</x:v>
      </x:c>
      <x:c r="F13" s="165" t="str">
        <x:v>Critical</x:v>
      </x:c>
      <x:c r="G13" s="139"/>
      <x:c r="H13" s="160" t="str">
        <x:v>BrightPath Learning</x:v>
      </x:c>
      <x:c r="I13" s="164" t="n">
        <x:v>163500</x:v>
      </x:c>
      <x:c r="J13" s="164" t="n">
        <x:v>70292.55</x:v>
      </x:c>
      <x:c r="K13" s="166" t="n">
        <x:v>0.4299238532110092</x:v>
      </x:c>
      <x:c r="L13" s="139"/>
    </x:row>
    <x:row r="14" ht="22" customHeight="1">
      <x:c r="A14" s="160" t="str">
        <x:v>P001</x:v>
      </x:c>
      <x:c r="B14" s="161" t="str">
        <x:v>Northstar Retail</x:v>
      </x:c>
      <x:c r="C14" s="162" t="n">
        <x:v>0.4343275074478649</x:v>
      </x:c>
      <x:c r="D14" s="163" t="n">
        <x:v>139</x:v>
      </x:c>
      <x:c r="E14" s="164" t="n">
        <x:v>9363.220000000001</x:v>
      </x:c>
      <x:c r="F14" s="165" t="str">
        <x:v>Critical</x:v>
      </x:c>
      <x:c r="G14" s="139"/>
      <x:c r="H14" s="160" t="str">
        <x:v>Lumen Health</x:v>
      </x:c>
      <x:c r="I14" s="164" t="n">
        <x:v>142100</x:v>
      </x:c>
      <x:c r="J14" s="164" t="n">
        <x:v>68989.4</x:v>
      </x:c>
      <x:c r="K14" s="166" t="n">
        <x:v>0.4854989444053483</x:v>
      </x:c>
      <x:c r="L14" s="139"/>
    </x:row>
    <x:row r="15" ht="22" customHeight="1">
      <x:c r="A15" s="167" t="str">
        <x:v>P016</x:v>
      </x:c>
      <x:c r="B15" s="168" t="str">
        <x:v>PeakFit Clubs</x:v>
      </x:c>
      <x:c r="C15" s="169" t="n">
        <x:v>0.25970683593749994</x:v>
      </x:c>
      <x:c r="D15" s="170" t="n">
        <x:v>36</x:v>
      </x:c>
      <x:c r="E15" s="171" t="n">
        <x:v>11303.010000000002</x:v>
      </x:c>
      <x:c r="F15" s="172" t="str">
        <x:v>Watch</x:v>
      </x:c>
      <x:c r="G15" s="139"/>
      <x:c r="H15" s="160" t="str">
        <x:v>Cedar Finance</x:v>
      </x:c>
      <x:c r="I15" s="164" t="n">
        <x:v>166600</x:v>
      </x:c>
      <x:c r="J15" s="164" t="n">
        <x:v>68844.58</x:v>
      </x:c>
      <x:c r="K15" s="166" t="n">
        <x:v>0.4132327731092437</x:v>
      </x:c>
      <x:c r="L15" s="139"/>
    </x:row>
    <x:row r="16" ht="22" customHeight="1">
      <x:c r="A16" s="139"/>
      <x:c r="B16" s="139"/>
      <x:c r="C16" s="139"/>
      <x:c r="D16" s="139"/>
      <x:c r="E16" s="139"/>
      <x:c r="F16" s="139"/>
      <x:c r="G16" s="139"/>
      <x:c r="H16" s="160" t="str">
        <x:v>PeakFit Clubs</x:v>
      </x:c>
      <x:c r="I16" s="164" t="n">
        <x:v>176900</x:v>
      </x:c>
      <x:c r="J16" s="164" t="n">
        <x:v>67669.59999999999</x:v>
      </x:c>
      <x:c r="K16" s="166" t="n">
        <x:v>0.3825302430751837</x:v>
      </x:c>
      <x:c r="L16" s="139"/>
    </x:row>
    <x:row r="17" ht="22" customHeight="1">
      <x:c r="A17" s="139"/>
      <x:c r="B17" s="139"/>
      <x:c r="C17" s="139"/>
      <x:c r="D17" s="139"/>
      <x:c r="E17" s="139"/>
      <x:c r="F17" s="139"/>
      <x:c r="G17" s="139"/>
      <x:c r="H17" s="167" t="str">
        <x:v>Atlas Property</x:v>
      </x:c>
      <x:c r="I17" s="171" t="n">
        <x:v>151100</x:v>
      </x:c>
      <x:c r="J17" s="171" t="n">
        <x:v>64198.86</x:v>
      </x:c>
      <x:c r="K17" s="173" t="n">
        <x:v>0.42487663798808734</x:v>
      </x:c>
      <x:c r="L17" s="139"/>
    </x:row>
    <x:row r="18" ht="22" customHeight="1">
      <x:c r="A18" s="156" t="str">
        <x:v>Gross profit by project type</x:v>
      </x:c>
      <x:c r="B18" s="156"/>
      <x:c r="C18" s="156"/>
      <x:c r="D18" s="156"/>
      <x:c r="E18" s="156"/>
      <x:c r="F18" s="156"/>
      <x:c r="G18" s="139"/>
      <x:c r="H18" s="139"/>
      <x:c r="I18" s="139"/>
      <x:c r="J18" s="139"/>
      <x:c r="K18" s="139"/>
      <x:c r="L18" s="139"/>
    </x:row>
    <x:row r="19" ht="22" customHeight="1">
      <x:c r="A19" s="157" t="str">
        <x:v>Project Type</x:v>
      </x:c>
      <x:c r="B19" s="159" t="str">
        <x:v>Gross Profit</x:v>
      </x:c>
      <x:c r="C19" s="139"/>
      <x:c r="D19" s="139"/>
      <x:c r="E19" s="139"/>
      <x:c r="F19" s="139"/>
      <x:c r="G19" s="139"/>
      <x:c r="H19" s="174" t="str">
        <x:v>Management actions
• Escalate Critical projects and reforecast remaining work.
• Review scope and change orders where hours exceed budget.
• Protect high-margin client relationships.
• Investigate non-billable time by role before staffing the next cycle.</x:v>
      </x:c>
      <x:c r="I19" s="175"/>
      <x:c r="J19" s="175"/>
      <x:c r="K19" s="175"/>
      <x:c r="L19" s="176"/>
    </x:row>
    <x:row r="20" ht="22" customHeight="1">
      <x:c r="A20" s="160" t="str">
        <x:v>Dashboard</x:v>
      </x:c>
      <x:c r="B20" s="177" t="n">
        <x:v>142151.93</x:v>
      </x:c>
      <x:c r="C20" s="139"/>
      <x:c r="D20" s="139"/>
      <x:c r="E20" s="139"/>
      <x:c r="F20" s="139"/>
      <x:c r="G20" s="139"/>
      <x:c r="H20" s="178"/>
      <x:c r="I20" s="179"/>
      <x:c r="J20" s="179"/>
      <x:c r="K20" s="179"/>
      <x:c r="L20" s="180"/>
    </x:row>
    <x:row r="21" ht="22" customHeight="1">
      <x:c r="A21" s="160" t="str">
        <x:v>Website</x:v>
      </x:c>
      <x:c r="B21" s="177" t="n">
        <x:v>141493.32</x:v>
      </x:c>
      <x:c r="C21" s="139"/>
      <x:c r="D21" s="139"/>
      <x:c r="E21" s="139"/>
      <x:c r="F21" s="139"/>
      <x:c r="G21" s="139"/>
      <x:c r="H21" s="178"/>
      <x:c r="I21" s="179"/>
      <x:c r="J21" s="179"/>
      <x:c r="K21" s="179"/>
      <x:c r="L21" s="180"/>
    </x:row>
    <x:row r="22" ht="22" customHeight="1">
      <x:c r="A22" s="160" t="str">
        <x:v>Campaign</x:v>
      </x:c>
      <x:c r="B22" s="177" t="n">
        <x:v>150860.86</x:v>
      </x:c>
      <x:c r="C22" s="139"/>
      <x:c r="D22" s="139"/>
      <x:c r="E22" s="139"/>
      <x:c r="F22" s="139"/>
      <x:c r="G22" s="139"/>
      <x:c r="H22" s="178"/>
      <x:c r="I22" s="179"/>
      <x:c r="J22" s="179"/>
      <x:c r="K22" s="179"/>
      <x:c r="L22" s="180"/>
    </x:row>
    <x:row r="23" ht="22" customHeight="1">
      <x:c r="A23" s="160" t="str">
        <x:v>Automation</x:v>
      </x:c>
      <x:c r="B23" s="177" t="n">
        <x:v>122573.93000000002</x:v>
      </x:c>
      <x:c r="C23" s="139"/>
      <x:c r="D23" s="139"/>
      <x:c r="E23" s="139"/>
      <x:c r="F23" s="139"/>
      <x:c r="G23" s="139"/>
      <x:c r="H23" s="178"/>
      <x:c r="I23" s="179"/>
      <x:c r="J23" s="179"/>
      <x:c r="K23" s="179"/>
      <x:c r="L23" s="180"/>
    </x:row>
    <x:row r="24" ht="22" customHeight="1">
      <x:c r="A24" s="167" t="str">
        <x:v>Analytics Retainer</x:v>
      </x:c>
      <x:c r="B24" s="181" t="n">
        <x:v>80991.48</x:v>
      </x:c>
      <x:c r="C24" s="139"/>
      <x:c r="D24" s="139"/>
      <x:c r="E24" s="139"/>
      <x:c r="F24" s="139"/>
      <x:c r="G24" s="139"/>
      <x:c r="H24" s="182"/>
      <x:c r="I24" s="183"/>
      <x:c r="J24" s="183"/>
      <x:c r="K24" s="183"/>
      <x:c r="L24" s="184"/>
    </x:row>
  </x:sheetData>
  <x:mergeCells>
    <x:mergeCell ref="A1:L1"/>
    <x:mergeCell ref="A2:L2"/>
    <x:mergeCell ref="A5:B6"/>
    <x:mergeCell ref="C5:D6"/>
    <x:mergeCell ref="E5:F6"/>
    <x:mergeCell ref="G5:H6"/>
    <x:mergeCell ref="I5:J6"/>
    <x:mergeCell ref="K5:L6"/>
    <x:mergeCell ref="A8:F8"/>
    <x:mergeCell ref="H8:L8"/>
    <x:mergeCell ref="A18:F18"/>
    <x:mergeCell ref="H19:L24"/>
  </x:mergeCells>
  <x:conditionalFormatting sqref="F10:F15">
    <x:cfRule type="containsText" dxfId="0" priority="1" operator="containsText" text="Critical"/>
  </x:conditionalFormatting>
  <x:pageMargins left="0.7" right="0.7" top="0.75" bottom="0.75" header="0.3" footer="0.3"/>
  <x:drawing xmlns:r="http://schemas.openxmlformats.org/officeDocument/2006/relationships" r:id="R6676e39e4e2a4a9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1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4" hidden="0" customWidth="1"/>
    <x:col min="10" max="10" width="14" hidden="0" customWidth="1"/>
    <x:col min="11" max="11" width="11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1" hidden="0" customWidth="1"/>
    <x:col min="18" max="18" width="12" hidden="0" customWidth="1"/>
    <x:col min="19" max="19" width="12" hidden="0" customWidth="1"/>
    <x:col min="20" max="20" width="13" hidden="0" customWidth="1"/>
    <x:col min="21" max="21" width="12" hidden="0" customWidth="1"/>
    <x:col min="22" max="22" width="12" hidden="0" customWidth="1"/>
  </x:cols>
  <x:sheetData>
    <x:row r="1" ht="34" customHeight="1">
      <x:c r="A1" s="137" t="str">
        <x:v>Project Profitability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</x:row>
    <x:row r="2" ht="24" customHeight="1">
      <x:c r="A2" s="138" t="str">
        <x:v>Budget, actual delivery cost, margin, variance, and risk by engagement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</x:row>
    <x:row r="3">
      <x:c r="A3" s="139"/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  <x:c r="L3" s="139"/>
      <x:c r="M3" s="139"/>
      <x:c r="N3" s="139"/>
      <x:c r="O3" s="139"/>
      <x:c r="P3" s="139"/>
      <x:c r="Q3" s="139"/>
      <x:c r="R3" s="139"/>
      <x:c r="S3" s="139"/>
      <x:c r="T3" s="139"/>
      <x:c r="U3" s="139"/>
      <x:c r="V3" s="139"/>
    </x:row>
    <x:row r="4">
      <x:c r="A4" s="185" t="str">
        <x:v>Project ID</x:v>
      </x:c>
      <x:c r="B4" s="186" t="str">
        <x:v>Client ID</x:v>
      </x:c>
      <x:c r="C4" s="186" t="str">
        <x:v>Client</x:v>
      </x:c>
      <x:c r="D4" s="186" t="str">
        <x:v>Type</x:v>
      </x:c>
      <x:c r="E4" s="186" t="str">
        <x:v>Start</x:v>
      </x:c>
      <x:c r="F4" s="186" t="str">
        <x:v>End</x:v>
      </x:c>
      <x:c r="G4" s="186" t="str">
        <x:v>Status</x:v>
      </x:c>
      <x:c r="H4" s="186" t="str">
        <x:v>Budget Hours</x:v>
      </x:c>
      <x:c r="I4" s="186" t="str">
        <x:v>Revenue</x:v>
      </x:c>
      <x:c r="J4" s="186" t="str">
        <x:v>Budget Cost</x:v>
      </x:c>
      <x:c r="K4" s="186" t="str">
        <x:v>Rate</x:v>
      </x:c>
      <x:c r="L4" s="186" t="str">
        <x:v>Actual Hours</x:v>
      </x:c>
      <x:c r="M4" s="186" t="str">
        <x:v>Labor Cost</x:v>
      </x:c>
      <x:c r="N4" s="186" t="str">
        <x:v>Vendor Cost</x:v>
      </x:c>
      <x:c r="O4" s="186" t="str">
        <x:v>Actual Cost</x:v>
      </x:c>
      <x:c r="P4" s="186" t="str">
        <x:v>Gross Profit</x:v>
      </x:c>
      <x:c r="Q4" s="186" t="str">
        <x:v>Margin</x:v>
      </x:c>
      <x:c r="R4" s="186" t="str">
        <x:v>Hours Var</x:v>
      </x:c>
      <x:c r="S4" s="186" t="str">
        <x:v>Hours Var %</x:v>
      </x:c>
      <x:c r="T4" s="186" t="str">
        <x:v>Cost Var</x:v>
      </x:c>
      <x:c r="U4" s="186" t="str">
        <x:v>Cost Var %</x:v>
      </x:c>
      <x:c r="V4" s="187" t="str">
        <x:v>Risk</x:v>
      </x:c>
    </x:row>
    <x:row r="5">
      <x:c r="A5" s="188" t="str">
        <x:v>P001</x:v>
      </x:c>
      <x:c r="B5" s="189" t="str">
        <x:v>C01</x:v>
      </x:c>
      <x:c r="C5" s="189" t="str">
        <x:v>Northstar Retail</x:v>
      </x:c>
      <x:c r="D5" s="189" t="str">
        <x:v>Dashboard</x:v>
      </x:c>
      <x:c r="E5" s="190" t="n">
        <x:v>46023</x:v>
      </x:c>
      <x:c r="F5" s="190" t="n">
        <x:v>46110</x:v>
      </x:c>
      <x:c r="G5" s="189" t="str">
        <x:v>Completed</x:v>
      </x:c>
      <x:c r="H5" s="189" t="n">
        <x:v>496</x:v>
      </x:c>
      <x:c r="I5" s="191" t="n">
        <x:v>100700</x:v>
      </x:c>
      <x:c r="J5" s="191" t="n">
        <x:v>47600</x:v>
      </x:c>
      <x:c r="K5" s="191" t="n">
        <x:v>181</x:v>
      </x:c>
      <x:c r="L5" s="189" t="n">
        <x:f>SUMIF('Time Entries'!$B$5:$B$400,A5,'Time Entries'!$G$5:$G$400)</x:f>
        <x:v>635</x:v>
      </x:c>
      <x:c r="M5" s="191" t="n">
        <x:f>SUMIF('Time Entries'!$B$5:$B$400,A5,'Time Entries'!$H$5:$H$400)</x:f>
        <x:v>50125</x:v>
      </x:c>
      <x:c r="N5" s="191" t="n">
        <x:f>SUMIF('Vendor Costs'!$B$5:$B$40,A5,'Vendor Costs'!$E$5:$E$40)</x:f>
        <x:v>6838.22</x:v>
      </x:c>
      <x:c r="O5" s="191" t="n">
        <x:f>M5+N5</x:f>
        <x:v>56963.22</x:v>
      </x:c>
      <x:c r="P5" s="191" t="n">
        <x:f>I5-O5</x:f>
        <x:v>43736.78</x:v>
      </x:c>
      <x:c r="Q5" s="192" t="n">
        <x:f>P5/I5</x:f>
        <x:v>0.4343275074478649</x:v>
      </x:c>
      <x:c r="R5" s="189" t="n">
        <x:f>L5-H5</x:f>
        <x:v>139</x:v>
      </x:c>
      <x:c r="S5" s="192" t="n">
        <x:f>R5/H5</x:f>
        <x:v>0.28024193548387094</x:v>
      </x:c>
      <x:c r="T5" s="191" t="n">
        <x:f>O5-J5</x:f>
        <x:v>9363.220000000001</x:v>
      </x:c>
      <x:c r="U5" s="192" t="n">
        <x:f>T5/J5</x:f>
        <x:v>0.19670630252100843</x:v>
      </x:c>
      <x:c r="V5" s="193" t="str">
        <x:f>IF(OR(Q5&lt;20%,L5&gt;H5*115%),"Critical",IF(OR(Q5&lt;30%,L5&gt;H5*105%),"Watch","Healthy"))</x:f>
        <x:v>Critical</x:v>
      </x:c>
    </x:row>
    <x:row r="6">
      <x:c r="A6" s="188" t="str">
        <x:v>P002</x:v>
      </x:c>
      <x:c r="B6" s="189" t="str">
        <x:v>C02</x:v>
      </x:c>
      <x:c r="C6" s="189" t="str">
        <x:v>Lumen Health</x:v>
      </x:c>
      <x:c r="D6" s="189" t="str">
        <x:v>Website</x:v>
      </x:c>
      <x:c r="E6" s="190" t="n">
        <x:v>46028</x:v>
      </x:c>
      <x:c r="F6" s="190" t="n">
        <x:v>46145</x:v>
      </x:c>
      <x:c r="G6" s="189" t="str">
        <x:v>Completed</x:v>
      </x:c>
      <x:c r="H6" s="189" t="n">
        <x:v>288</x:v>
      </x:c>
      <x:c r="I6" s="191" t="n">
        <x:v>50100</x:v>
      </x:c>
      <x:c r="J6" s="191" t="n">
        <x:v>28400</x:v>
      </x:c>
      <x:c r="K6" s="191" t="n">
        <x:v>190</x:v>
      </x:c>
      <x:c r="L6" s="189" t="n">
        <x:f>SUMIF('Time Entries'!$B$5:$B$400,A6,'Time Entries'!$G$5:$G$400)</x:f>
        <x:v>260</x:v>
      </x:c>
      <x:c r="M6" s="191" t="n">
        <x:f>SUMIF('Time Entries'!$B$5:$B$400,A6,'Time Entries'!$H$5:$H$400)</x:f>
        <x:v>20500</x:v>
      </x:c>
      <x:c r="N6" s="191" t="n">
        <x:f>SUMIF('Vendor Costs'!$B$5:$B$40,A6,'Vendor Costs'!$E$5:$E$40)</x:f>
        <x:v>2990.88</x:v>
      </x:c>
      <x:c r="O6" s="191" t="n">
        <x:f>M6+N6</x:f>
        <x:v>23490.88</x:v>
      </x:c>
      <x:c r="P6" s="191" t="n">
        <x:f>I6-O6</x:f>
        <x:v>26609.12</x:v>
      </x:c>
      <x:c r="Q6" s="192" t="n">
        <x:f>P6/I6</x:f>
        <x:v>0.5311201596806387</x:v>
      </x:c>
      <x:c r="R6" s="189" t="n">
        <x:f>L6-H6</x:f>
        <x:v>-28</x:v>
      </x:c>
      <x:c r="S6" s="192" t="n">
        <x:f>R6/H6</x:f>
        <x:v>-0.09722222222222222</x:v>
      </x:c>
      <x:c r="T6" s="191" t="n">
        <x:f>O6-J6</x:f>
        <x:v>-4909.119999999999</x:v>
      </x:c>
      <x:c r="U6" s="192" t="n">
        <x:f>T6/J6</x:f>
        <x:v>-0.17285633802816897</x:v>
      </x:c>
      <x:c r="V6" s="193" t="str">
        <x:f>IF(OR(Q6&lt;20%,L6&gt;H6*115%),"Critical",IF(OR(Q6&lt;30%,L6&gt;H6*105%),"Watch","Healthy"))</x:f>
        <x:v>Healthy</x:v>
      </x:c>
    </x:row>
    <x:row r="7">
      <x:c r="A7" s="188" t="str">
        <x:v>P003</x:v>
      </x:c>
      <x:c r="B7" s="189" t="str">
        <x:v>C03</x:v>
      </x:c>
      <x:c r="C7" s="189" t="str">
        <x:v>Atlas Property</x:v>
      </x:c>
      <x:c r="D7" s="189" t="str">
        <x:v>Campaign</x:v>
      </x:c>
      <x:c r="E7" s="190" t="n">
        <x:v>46033</x:v>
      </x:c>
      <x:c r="F7" s="190" t="n">
        <x:v>46128</x:v>
      </x:c>
      <x:c r="G7" s="189" t="str">
        <x:v>Completed</x:v>
      </x:c>
      <x:c r="H7" s="189" t="n">
        <x:v>302</x:v>
      </x:c>
      <x:c r="I7" s="191" t="n">
        <x:v>52700</x:v>
      </x:c>
      <x:c r="J7" s="191" t="n">
        <x:v>30200</x:v>
      </x:c>
      <x:c r="K7" s="191" t="n">
        <x:v>154</x:v>
      </x:c>
      <x:c r="L7" s="189" t="n">
        <x:f>SUMIF('Time Entries'!$B$5:$B$400,A7,'Time Entries'!$G$5:$G$400)</x:f>
        <x:v>266</x:v>
      </x:c>
      <x:c r="M7" s="191" t="n">
        <x:f>SUMIF('Time Entries'!$B$5:$B$400,A7,'Time Entries'!$H$5:$H$400)</x:f>
        <x:v>21234</x:v>
      </x:c>
      <x:c r="N7" s="191" t="n">
        <x:f>SUMIF('Vendor Costs'!$B$5:$B$40,A7,'Vendor Costs'!$E$5:$E$40)</x:f>
        <x:v>1677.57</x:v>
      </x:c>
      <x:c r="O7" s="191" t="n">
        <x:f>M7+N7</x:f>
        <x:v>22911.57</x:v>
      </x:c>
      <x:c r="P7" s="191" t="n">
        <x:f>I7-O7</x:f>
        <x:v>29788.43</x:v>
      </x:c>
      <x:c r="Q7" s="192" t="n">
        <x:f>P7/I7</x:f>
        <x:v>0.5652453510436433</x:v>
      </x:c>
      <x:c r="R7" s="189" t="n">
        <x:f>L7-H7</x:f>
        <x:v>-36</x:v>
      </x:c>
      <x:c r="S7" s="192" t="n">
        <x:f>R7/H7</x:f>
        <x:v>-0.11920529801324503</x:v>
      </x:c>
      <x:c r="T7" s="191" t="n">
        <x:f>O7-J7</x:f>
        <x:v>-7288.43</x:v>
      </x:c>
      <x:c r="U7" s="192" t="n">
        <x:f>T7/J7</x:f>
        <x:v>-0.24133874172185432</x:v>
      </x:c>
      <x:c r="V7" s="193" t="str">
        <x:f>IF(OR(Q7&lt;20%,L7&gt;H7*115%),"Critical",IF(OR(Q7&lt;30%,L7&gt;H7*105%),"Watch","Healthy"))</x:f>
        <x:v>Healthy</x:v>
      </x:c>
    </x:row>
    <x:row r="8">
      <x:c r="A8" s="188" t="str">
        <x:v>P004</x:v>
      </x:c>
      <x:c r="B8" s="189" t="str">
        <x:v>C04</x:v>
      </x:c>
      <x:c r="C8" s="189" t="str">
        <x:v>Orbit SaaS</x:v>
      </x:c>
      <x:c r="D8" s="189" t="str">
        <x:v>Automation</x:v>
      </x:c>
      <x:c r="E8" s="190" t="n">
        <x:v>46038</x:v>
      </x:c>
      <x:c r="F8" s="190" t="n">
        <x:v>46138</x:v>
      </x:c>
      <x:c r="G8" s="189" t="str">
        <x:v>Completed</x:v>
      </x:c>
      <x:c r="H8" s="189" t="n">
        <x:v>532</x:v>
      </x:c>
      <x:c r="I8" s="191" t="n">
        <x:v>104900</x:v>
      </x:c>
      <x:c r="J8" s="191" t="n">
        <x:v>47100</x:v>
      </x:c>
      <x:c r="K8" s="191" t="n">
        <x:v>194</x:v>
      </x:c>
      <x:c r="L8" s="189" t="n">
        <x:f>SUMIF('Time Entries'!$B$5:$B$400,A8,'Time Entries'!$G$5:$G$400)</x:f>
        <x:v>526</x:v>
      </x:c>
      <x:c r="M8" s="191" t="n">
        <x:f>SUMIF('Time Entries'!$B$5:$B$400,A8,'Time Entries'!$H$5:$H$400)</x:f>
        <x:v>40748</x:v>
      </x:c>
      <x:c r="N8" s="191" t="n">
        <x:f>SUMIF('Vendor Costs'!$B$5:$B$40,A8,'Vendor Costs'!$E$5:$E$40)</x:f>
        <x:v>7808.129999999999</x:v>
      </x:c>
      <x:c r="O8" s="191" t="n">
        <x:f>M8+N8</x:f>
        <x:v>48556.13</x:v>
      </x:c>
      <x:c r="P8" s="191" t="n">
        <x:f>I8-O8</x:f>
        <x:v>56343.87</x:v>
      </x:c>
      <x:c r="Q8" s="192" t="n">
        <x:f>P8/I8</x:f>
        <x:v>0.5371198284080076</x:v>
      </x:c>
      <x:c r="R8" s="189" t="n">
        <x:f>L8-H8</x:f>
        <x:v>-6</x:v>
      </x:c>
      <x:c r="S8" s="192" t="n">
        <x:f>R8/H8</x:f>
        <x:v>-0.011278195488721804</x:v>
      </x:c>
      <x:c r="T8" s="191" t="n">
        <x:f>O8-J8</x:f>
        <x:v>1456.1299999999974</x:v>
      </x:c>
      <x:c r="U8" s="192" t="n">
        <x:f>T8/J8</x:f>
        <x:v>0.030915711252653872</x:v>
      </x:c>
      <x:c r="V8" s="193" t="str">
        <x:f>IF(OR(Q8&lt;20%,L8&gt;H8*115%),"Critical",IF(OR(Q8&lt;30%,L8&gt;H8*105%),"Watch","Healthy"))</x:f>
        <x:v>Healthy</x:v>
      </x:c>
    </x:row>
    <x:row r="9">
      <x:c r="A9" s="188" t="str">
        <x:v>P005</x:v>
      </x:c>
      <x:c r="B9" s="189" t="str">
        <x:v>C05</x:v>
      </x:c>
      <x:c r="C9" s="189" t="str">
        <x:v>Cedar Finance</x:v>
      </x:c>
      <x:c r="D9" s="189" t="str">
        <x:v>Analytics Retainer</x:v>
      </x:c>
      <x:c r="E9" s="190" t="n">
        <x:v>46054</x:v>
      </x:c>
      <x:c r="F9" s="190" t="n">
        <x:v>46120</x:v>
      </x:c>
      <x:c r="G9" s="189" t="str">
        <x:v>Completed</x:v>
      </x:c>
      <x:c r="H9" s="189" t="n">
        <x:v>181</x:v>
      </x:c>
      <x:c r="I9" s="191" t="n">
        <x:v>31400</x:v>
      </x:c>
      <x:c r="J9" s="191" t="n">
        <x:v>17300</x:v>
      </x:c>
      <x:c r="K9" s="191" t="n">
        <x:v>150</x:v>
      </x:c>
      <x:c r="L9" s="189" t="n">
        <x:f>SUMIF('Time Entries'!$B$5:$B$400,A9,'Time Entries'!$G$5:$G$400)</x:f>
        <x:v>186</x:v>
      </x:c>
      <x:c r="M9" s="191" t="n">
        <x:f>SUMIF('Time Entries'!$B$5:$B$400,A9,'Time Entries'!$H$5:$H$400)</x:f>
        <x:v>14772</x:v>
      </x:c>
      <x:c r="N9" s="191" t="n">
        <x:f>SUMIF('Vendor Costs'!$B$5:$B$40,A9,'Vendor Costs'!$E$5:$E$40)</x:f>
        <x:v>3130.29</x:v>
      </x:c>
      <x:c r="O9" s="191" t="n">
        <x:f>M9+N9</x:f>
        <x:v>17902.29</x:v>
      </x:c>
      <x:c r="P9" s="191" t="n">
        <x:f>I9-O9</x:f>
        <x:v>13497.71</x:v>
      </x:c>
      <x:c r="Q9" s="192" t="n">
        <x:f>P9/I9</x:f>
        <x:v>0.42986337579617834</x:v>
      </x:c>
      <x:c r="R9" s="189" t="n">
        <x:f>L9-H9</x:f>
        <x:v>5</x:v>
      </x:c>
      <x:c r="S9" s="192" t="n">
        <x:f>R9/H9</x:f>
        <x:v>0.027624309392265192</x:v>
      </x:c>
      <x:c r="T9" s="191" t="n">
        <x:f>O9-J9</x:f>
        <x:v>602.2900000000009</x:v>
      </x:c>
      <x:c r="U9" s="192" t="n">
        <x:f>T9/J9</x:f>
        <x:v>0.03481445086705207</x:v>
      </x:c>
      <x:c r="V9" s="193" t="str">
        <x:f>IF(OR(Q9&lt;20%,L9&gt;H9*115%),"Critical",IF(OR(Q9&lt;30%,L9&gt;H9*105%),"Watch","Healthy"))</x:f>
        <x:v>Healthy</x:v>
      </x:c>
    </x:row>
    <x:row r="10">
      <x:c r="A10" s="188" t="str">
        <x:v>P006</x:v>
      </x:c>
      <x:c r="B10" s="189" t="str">
        <x:v>C06</x:v>
      </x:c>
      <x:c r="C10" s="189" t="str">
        <x:v>BrightPath Learning</x:v>
      </x:c>
      <x:c r="D10" s="189" t="str">
        <x:v>Dashboard</x:v>
      </x:c>
      <x:c r="E10" s="190" t="n">
        <x:v>46059</x:v>
      </x:c>
      <x:c r="F10" s="190" t="n">
        <x:v>46177</x:v>
      </x:c>
      <x:c r="G10" s="189" t="str">
        <x:v>Completed</x:v>
      </x:c>
      <x:c r="H10" s="189" t="n">
        <x:v>305</x:v>
      </x:c>
      <x:c r="I10" s="191" t="n">
        <x:v>51500</x:v>
      </x:c>
      <x:c r="J10" s="191" t="n">
        <x:v>30900</x:v>
      </x:c>
      <x:c r="K10" s="191" t="n">
        <x:v>150</x:v>
      </x:c>
      <x:c r="L10" s="189" t="n">
        <x:f>SUMIF('Time Entries'!$B$5:$B$400,A10,'Time Entries'!$G$5:$G$400)</x:f>
        <x:v>342</x:v>
      </x:c>
      <x:c r="M10" s="191" t="n">
        <x:f>SUMIF('Time Entries'!$B$5:$B$400,A10,'Time Entries'!$H$5:$H$400)</x:f>
        <x:v>26324</x:v>
      </x:c>
      <x:c r="N10" s="191" t="n">
        <x:f>SUMIF('Vendor Costs'!$B$5:$B$40,A10,'Vendor Costs'!$E$5:$E$40)</x:f>
        <x:v>1018.75</x:v>
      </x:c>
      <x:c r="O10" s="191" t="n">
        <x:f>M10+N10</x:f>
        <x:v>27342.75</x:v>
      </x:c>
      <x:c r="P10" s="191" t="n">
        <x:f>I10-O10</x:f>
        <x:v>24157.25</x:v>
      </x:c>
      <x:c r="Q10" s="192" t="n">
        <x:f>P10/I10</x:f>
        <x:v>0.46907281553398056</x:v>
      </x:c>
      <x:c r="R10" s="189" t="n">
        <x:f>L10-H10</x:f>
        <x:v>37</x:v>
      </x:c>
      <x:c r="S10" s="192" t="n">
        <x:f>R10/H10</x:f>
        <x:v>0.12131147540983607</x:v>
      </x:c>
      <x:c r="T10" s="191" t="n">
        <x:f>O10-J10</x:f>
        <x:v>-3557.25</x:v>
      </x:c>
      <x:c r="U10" s="192" t="n">
        <x:f>T10/J10</x:f>
        <x:v>-0.11512135922330097</x:v>
      </x:c>
      <x:c r="V10" s="193" t="str">
        <x:f>IF(OR(Q10&lt;20%,L10&gt;H10*115%),"Critical",IF(OR(Q10&lt;30%,L10&gt;H10*105%),"Watch","Healthy"))</x:f>
        <x:v>Watch</x:v>
      </x:c>
    </x:row>
    <x:row r="11">
      <x:c r="A11" s="188" t="str">
        <x:v>P007</x:v>
      </x:c>
      <x:c r="B11" s="189" t="str">
        <x:v>C07</x:v>
      </x:c>
      <x:c r="C11" s="189" t="str">
        <x:v>Harbor Legal</x:v>
      </x:c>
      <x:c r="D11" s="189" t="str">
        <x:v>Website</x:v>
      </x:c>
      <x:c r="E11" s="190" t="n">
        <x:v>46064</x:v>
      </x:c>
      <x:c r="F11" s="190" t="n">
        <x:v>46131</x:v>
      </x:c>
      <x:c r="G11" s="189" t="str">
        <x:v>Completed</x:v>
      </x:c>
      <x:c r="H11" s="189" t="n">
        <x:v>463</x:v>
      </x:c>
      <x:c r="I11" s="191" t="n">
        <x:v>57100</x:v>
      </x:c>
      <x:c r="J11" s="191" t="n">
        <x:v>38300</x:v>
      </x:c>
      <x:c r="K11" s="191" t="n">
        <x:v>138</x:v>
      </x:c>
      <x:c r="L11" s="189" t="n">
        <x:f>SUMIF('Time Entries'!$B$5:$B$400,A11,'Time Entries'!$G$5:$G$400)</x:f>
        <x:v>426</x:v>
      </x:c>
      <x:c r="M11" s="191" t="n">
        <x:f>SUMIF('Time Entries'!$B$5:$B$400,A11,'Time Entries'!$H$5:$H$400)</x:f>
        <x:v>32407</x:v>
      </x:c>
      <x:c r="N11" s="191" t="n">
        <x:f>SUMIF('Vendor Costs'!$B$5:$B$40,A11,'Vendor Costs'!$E$5:$E$40)</x:f>
        <x:v>3340.06</x:v>
      </x:c>
      <x:c r="O11" s="191" t="n">
        <x:f>M11+N11</x:f>
        <x:v>35747.06</x:v>
      </x:c>
      <x:c r="P11" s="191" t="n">
        <x:f>I11-O11</x:f>
        <x:v>21352.940000000002</x:v>
      </x:c>
      <x:c r="Q11" s="192" t="n">
        <x:f>P11/I11</x:f>
        <x:v>0.3739569176882662</x:v>
      </x:c>
      <x:c r="R11" s="189" t="n">
        <x:f>L11-H11</x:f>
        <x:v>-37</x:v>
      </x:c>
      <x:c r="S11" s="192" t="n">
        <x:f>R11/H11</x:f>
        <x:v>-0.07991360691144708</x:v>
      </x:c>
      <x:c r="T11" s="191" t="n">
        <x:f>O11-J11</x:f>
        <x:v>-2552.9400000000023</x:v>
      </x:c>
      <x:c r="U11" s="192" t="n">
        <x:f>T11/J11</x:f>
        <x:v>-0.06665639686684079</x:v>
      </x:c>
      <x:c r="V11" s="193" t="str">
        <x:f>IF(OR(Q11&lt;20%,L11&gt;H11*115%),"Critical",IF(OR(Q11&lt;30%,L11&gt;H11*105%),"Watch","Healthy"))</x:f>
        <x:v>Healthy</x:v>
      </x:c>
    </x:row>
    <x:row r="12">
      <x:c r="A12" s="188" t="str">
        <x:v>P008</x:v>
      </x:c>
      <x:c r="B12" s="189" t="str">
        <x:v>C08</x:v>
      </x:c>
      <x:c r="C12" s="189" t="str">
        <x:v>PeakFit Clubs</x:v>
      </x:c>
      <x:c r="D12" s="189" t="str">
        <x:v>Campaign</x:v>
      </x:c>
      <x:c r="E12" s="190" t="n">
        <x:v>46069</x:v>
      </x:c>
      <x:c r="F12" s="190" t="n">
        <x:v>46163</x:v>
      </x:c>
      <x:c r="G12" s="189" t="str">
        <x:v>Completed</x:v>
      </x:c>
      <x:c r="H12" s="189" t="n">
        <x:v>570</x:v>
      </x:c>
      <x:c r="I12" s="191" t="n">
        <x:v>94500</x:v>
      </x:c>
      <x:c r="J12" s="191" t="n">
        <x:v>51900</x:v>
      </x:c>
      <x:c r="K12" s="191" t="n">
        <x:v>159</x:v>
      </x:c>
      <x:c r="L12" s="189" t="n">
        <x:f>SUMIF('Time Entries'!$B$5:$B$400,A12,'Time Entries'!$G$5:$G$400)</x:f>
        <x:v>730</x:v>
      </x:c>
      <x:c r="M12" s="191" t="n">
        <x:f>SUMIF('Time Entries'!$B$5:$B$400,A12,'Time Entries'!$H$5:$H$400)</x:f>
        <x:v>56371</x:v>
      </x:c>
      <x:c r="N12" s="191" t="n">
        <x:f>SUMIF('Vendor Costs'!$B$5:$B$40,A12,'Vendor Costs'!$E$5:$E$40)</x:f>
        <x:v>947.09</x:v>
      </x:c>
      <x:c r="O12" s="191" t="n">
        <x:f>M12+N12</x:f>
        <x:v>57318.09</x:v>
      </x:c>
      <x:c r="P12" s="191" t="n">
        <x:f>I12-O12</x:f>
        <x:v>37181.91</x:v>
      </x:c>
      <x:c r="Q12" s="192" t="n">
        <x:f>P12/I12</x:f>
        <x:v>0.39345936507936513</x:v>
      </x:c>
      <x:c r="R12" s="189" t="n">
        <x:f>L12-H12</x:f>
        <x:v>160</x:v>
      </x:c>
      <x:c r="S12" s="192" t="n">
        <x:f>R12/H12</x:f>
        <x:v>0.2807017543859649</x:v>
      </x:c>
      <x:c r="T12" s="191" t="n">
        <x:f>O12-J12</x:f>
        <x:v>5418.0899999999965</x:v>
      </x:c>
      <x:c r="U12" s="192" t="n">
        <x:f>T12/J12</x:f>
        <x:v>0.10439479768786121</x:v>
      </x:c>
      <x:c r="V12" s="193" t="str">
        <x:f>IF(OR(Q12&lt;20%,L12&gt;H12*115%),"Critical",IF(OR(Q12&lt;30%,L12&gt;H12*105%),"Watch","Healthy"))</x:f>
        <x:v>Critical</x:v>
      </x:c>
    </x:row>
    <x:row r="13">
      <x:c r="A13" s="188" t="str">
        <x:v>P009</x:v>
      </x:c>
      <x:c r="B13" s="189" t="str">
        <x:v>C01</x:v>
      </x:c>
      <x:c r="C13" s="189" t="str">
        <x:v>Northstar Retail</x:v>
      </x:c>
      <x:c r="D13" s="189" t="str">
        <x:v>Automation</x:v>
      </x:c>
      <x:c r="E13" s="190" t="n">
        <x:v>46082</x:v>
      </x:c>
      <x:c r="F13" s="190" t="n">
        <x:v>46164</x:v>
      </x:c>
      <x:c r="G13" s="189" t="str">
        <x:v>Completed</x:v>
      </x:c>
      <x:c r="H13" s="189" t="n">
        <x:v>348</x:v>
      </x:c>
      <x:c r="I13" s="191" t="n">
        <x:v>56400</x:v>
      </x:c>
      <x:c r="J13" s="191" t="n">
        <x:v>29900</x:v>
      </x:c>
      <x:c r="K13" s="191" t="n">
        <x:v>157</x:v>
      </x:c>
      <x:c r="L13" s="189" t="n">
        <x:f>SUMIF('Time Entries'!$B$5:$B$400,A13,'Time Entries'!$G$5:$G$400)</x:f>
        <x:v>343</x:v>
      </x:c>
      <x:c r="M13" s="191" t="n">
        <x:f>SUMIF('Time Entries'!$B$5:$B$400,A13,'Time Entries'!$H$5:$H$400)</x:f>
        <x:v>27075</x:v>
      </x:c>
      <x:c r="N13" s="191" t="n">
        <x:f>SUMIF('Vendor Costs'!$B$5:$B$40,A13,'Vendor Costs'!$E$5:$E$40)</x:f>
        <x:v>2175.3</x:v>
      </x:c>
      <x:c r="O13" s="191" t="n">
        <x:f>M13+N13</x:f>
        <x:v>29250.3</x:v>
      </x:c>
      <x:c r="P13" s="191" t="n">
        <x:f>I13-O13</x:f>
        <x:v>27149.7</x:v>
      </x:c>
      <x:c r="Q13" s="192" t="n">
        <x:f>P13/I13</x:f>
        <x:v>0.4813776595744681</x:v>
      </x:c>
      <x:c r="R13" s="189" t="n">
        <x:f>L13-H13</x:f>
        <x:v>-5</x:v>
      </x:c>
      <x:c r="S13" s="192" t="n">
        <x:f>R13/H13</x:f>
        <x:v>-0.014367816091954023</x:v>
      </x:c>
      <x:c r="T13" s="191" t="n">
        <x:f>O13-J13</x:f>
        <x:v>-649.7000000000007</x:v>
      </x:c>
      <x:c r="U13" s="192" t="n">
        <x:f>T13/J13</x:f>
        <x:v>-0.02172909698996658</x:v>
      </x:c>
      <x:c r="V13" s="193" t="str">
        <x:f>IF(OR(Q13&lt;20%,L13&gt;H13*115%),"Critical",IF(OR(Q13&lt;30%,L13&gt;H13*105%),"Watch","Healthy"))</x:f>
        <x:v>Healthy</x:v>
      </x:c>
    </x:row>
    <x:row r="14">
      <x:c r="A14" s="188" t="str">
        <x:v>P010</x:v>
      </x:c>
      <x:c r="B14" s="189" t="str">
        <x:v>C02</x:v>
      </x:c>
      <x:c r="C14" s="189" t="str">
        <x:v>Lumen Health</x:v>
      </x:c>
      <x:c r="D14" s="189" t="str">
        <x:v>Analytics Retainer</x:v>
      </x:c>
      <x:c r="E14" s="190" t="n">
        <x:v>46087</x:v>
      </x:c>
      <x:c r="F14" s="190" t="n">
        <x:v>46193</x:v>
      </x:c>
      <x:c r="G14" s="189" t="str">
        <x:v>Completed</x:v>
      </x:c>
      <x:c r="H14" s="189" t="n">
        <x:v>289</x:v>
      </x:c>
      <x:c r="I14" s="191" t="n">
        <x:v>62100</x:v>
      </x:c>
      <x:c r="J14" s="191" t="n">
        <x:v>30200</x:v>
      </x:c>
      <x:c r="K14" s="191" t="n">
        <x:v>186</x:v>
      </x:c>
      <x:c r="L14" s="189" t="n">
        <x:f>SUMIF('Time Entries'!$B$5:$B$400,A14,'Time Entries'!$G$5:$G$400)</x:f>
        <x:v>298</x:v>
      </x:c>
      <x:c r="M14" s="191" t="n">
        <x:f>SUMIF('Time Entries'!$B$5:$B$400,A14,'Time Entries'!$H$5:$H$400)</x:f>
        <x:v>24722</x:v>
      </x:c>
      <x:c r="N14" s="191" t="n">
        <x:f>SUMIF('Vendor Costs'!$B$5:$B$40,A14,'Vendor Costs'!$E$5:$E$40)</x:f>
        <x:v>9421.79</x:v>
      </x:c>
      <x:c r="O14" s="191" t="n">
        <x:f>M14+N14</x:f>
        <x:v>34143.79</x:v>
      </x:c>
      <x:c r="P14" s="191" t="n">
        <x:f>I14-O14</x:f>
        <x:v>27956.21</x:v>
      </x:c>
      <x:c r="Q14" s="192" t="n">
        <x:f>P14/I14</x:f>
        <x:v>0.4501805152979066</x:v>
      </x:c>
      <x:c r="R14" s="189" t="n">
        <x:f>L14-H14</x:f>
        <x:v>9</x:v>
      </x:c>
      <x:c r="S14" s="192" t="n">
        <x:f>R14/H14</x:f>
        <x:v>0.031141868512110725</x:v>
      </x:c>
      <x:c r="T14" s="191" t="n">
        <x:f>O14-J14</x:f>
        <x:v>3943.790000000001</x:v>
      </x:c>
      <x:c r="U14" s="192" t="n">
        <x:f>T14/J14</x:f>
        <x:v>0.13058907284768215</x:v>
      </x:c>
      <x:c r="V14" s="193" t="str">
        <x:f>IF(OR(Q14&lt;20%,L14&gt;H14*115%),"Critical",IF(OR(Q14&lt;30%,L14&gt;H14*105%),"Watch","Healthy"))</x:f>
        <x:v>Healthy</x:v>
      </x:c>
    </x:row>
    <x:row r="15">
      <x:c r="A15" s="188" t="str">
        <x:v>P011</x:v>
      </x:c>
      <x:c r="B15" s="189" t="str">
        <x:v>C03</x:v>
      </x:c>
      <x:c r="C15" s="189" t="str">
        <x:v>Atlas Property</x:v>
      </x:c>
      <x:c r="D15" s="189" t="str">
        <x:v>Dashboard</x:v>
      </x:c>
      <x:c r="E15" s="190" t="n">
        <x:v>46092</x:v>
      </x:c>
      <x:c r="F15" s="190" t="n">
        <x:v>46154</x:v>
      </x:c>
      <x:c r="G15" s="189" t="str">
        <x:v>Completed</x:v>
      </x:c>
      <x:c r="H15" s="189" t="n">
        <x:v>392</x:v>
      </x:c>
      <x:c r="I15" s="191" t="n">
        <x:v>67200</x:v>
      </x:c>
      <x:c r="J15" s="191" t="n">
        <x:v>37500</x:v>
      </x:c>
      <x:c r="K15" s="191" t="n">
        <x:v>192</x:v>
      </x:c>
      <x:c r="L15" s="189" t="n">
        <x:f>SUMIF('Time Entries'!$B$5:$B$400,A15,'Time Entries'!$G$5:$G$400)</x:f>
        <x:v>439</x:v>
      </x:c>
      <x:c r="M15" s="191" t="n">
        <x:f>SUMIF('Time Entries'!$B$5:$B$400,A15,'Time Entries'!$H$5:$H$400)</x:f>
        <x:v>35184</x:v>
      </x:c>
      <x:c r="N15" s="191" t="n">
        <x:f>SUMIF('Vendor Costs'!$B$5:$B$40,A15,'Vendor Costs'!$E$5:$E$40)</x:f>
        <x:v>1438.09</x:v>
      </x:c>
      <x:c r="O15" s="191" t="n">
        <x:f>M15+N15</x:f>
        <x:v>36622.09</x:v>
      </x:c>
      <x:c r="P15" s="191" t="n">
        <x:f>I15-O15</x:f>
        <x:v>30577.910000000003</x:v>
      </x:c>
      <x:c r="Q15" s="192" t="n">
        <x:f>P15/I15</x:f>
        <x:v>0.4550284226190477</x:v>
      </x:c>
      <x:c r="R15" s="189" t="n">
        <x:f>L15-H15</x:f>
        <x:v>47</x:v>
      </x:c>
      <x:c r="S15" s="192" t="n">
        <x:f>R15/H15</x:f>
        <x:v>0.11989795918367346</x:v>
      </x:c>
      <x:c r="T15" s="191" t="n">
        <x:f>O15-J15</x:f>
        <x:v>-877.9100000000035</x:v>
      </x:c>
      <x:c r="U15" s="192" t="n">
        <x:f>T15/J15</x:f>
        <x:v>-0.023410933333333425</x:v>
      </x:c>
      <x:c r="V15" s="193" t="str">
        <x:f>IF(OR(Q15&lt;20%,L15&gt;H15*115%),"Critical",IF(OR(Q15&lt;30%,L15&gt;H15*105%),"Watch","Healthy"))</x:f>
        <x:v>Watch</x:v>
      </x:c>
    </x:row>
    <x:row r="16">
      <x:c r="A16" s="188" t="str">
        <x:v>P012</x:v>
      </x:c>
      <x:c r="B16" s="189" t="str">
        <x:v>C04</x:v>
      </x:c>
      <x:c r="C16" s="189" t="str">
        <x:v>Orbit SaaS</x:v>
      </x:c>
      <x:c r="D16" s="189" t="str">
        <x:v>Website</x:v>
      </x:c>
      <x:c r="E16" s="190" t="n">
        <x:v>46097</x:v>
      </x:c>
      <x:c r="F16" s="190" t="n">
        <x:v>46179</x:v>
      </x:c>
      <x:c r="G16" s="189" t="str">
        <x:v>Completed</x:v>
      </x:c>
      <x:c r="H16" s="189" t="n">
        <x:v>176</x:v>
      </x:c>
      <x:c r="I16" s="191" t="n">
        <x:v>29200</x:v>
      </x:c>
      <x:c r="J16" s="191" t="n">
        <x:v>16400</x:v>
      </x:c>
      <x:c r="K16" s="191" t="n">
        <x:v>164</x:v>
      </x:c>
      <x:c r="L16" s="189" t="n">
        <x:f>SUMIF('Time Entries'!$B$5:$B$400,A16,'Time Entries'!$G$5:$G$400)</x:f>
        <x:v>166</x:v>
      </x:c>
      <x:c r="M16" s="191" t="n">
        <x:f>SUMIF('Time Entries'!$B$5:$B$400,A16,'Time Entries'!$H$5:$H$400)</x:f>
        <x:v>13110</x:v>
      </x:c>
      <x:c r="N16" s="191" t="n">
        <x:f>SUMIF('Vendor Costs'!$B$5:$B$40,A16,'Vendor Costs'!$E$5:$E$40)</x:f>
        <x:v>5572.21</x:v>
      </x:c>
      <x:c r="O16" s="191" t="n">
        <x:f>M16+N16</x:f>
        <x:v>18682.21</x:v>
      </x:c>
      <x:c r="P16" s="191" t="n">
        <x:f>I16-O16</x:f>
        <x:v>10517.79</x:v>
      </x:c>
      <x:c r="Q16" s="192" t="n">
        <x:f>P16/I16</x:f>
        <x:v>0.3601982876712329</x:v>
      </x:c>
      <x:c r="R16" s="189" t="n">
        <x:f>L16-H16</x:f>
        <x:v>-10</x:v>
      </x:c>
      <x:c r="S16" s="192" t="n">
        <x:f>R16/H16</x:f>
        <x:v>-0.056818181818181816</x:v>
      </x:c>
      <x:c r="T16" s="191" t="n">
        <x:f>O16-J16</x:f>
        <x:v>2282.209999999999</x:v>
      </x:c>
      <x:c r="U16" s="192" t="n">
        <x:f>T16/J16</x:f>
        <x:v>0.13915914634146337</x:v>
      </x:c>
      <x:c r="V16" s="193" t="str">
        <x:f>IF(OR(Q16&lt;20%,L16&gt;H16*115%),"Critical",IF(OR(Q16&lt;30%,L16&gt;H16*105%),"Watch","Healthy"))</x:f>
        <x:v>Healthy</x:v>
      </x:c>
    </x:row>
    <x:row r="17">
      <x:c r="A17" s="188" t="str">
        <x:v>P013</x:v>
      </x:c>
      <x:c r="B17" s="189" t="str">
        <x:v>C05</x:v>
      </x:c>
      <x:c r="C17" s="189" t="str">
        <x:v>Cedar Finance</x:v>
      </x:c>
      <x:c r="D17" s="189" t="str">
        <x:v>Campaign</x:v>
      </x:c>
      <x:c r="E17" s="190" t="n">
        <x:v>46113</x:v>
      </x:c>
      <x:c r="F17" s="190" t="n">
        <x:v>46215</x:v>
      </x:c>
      <x:c r="G17" s="189" t="str">
        <x:v>Completed</x:v>
      </x:c>
      <x:c r="H17" s="189" t="n">
        <x:v>310</x:v>
      </x:c>
      <x:c r="I17" s="191" t="n">
        <x:v>55300</x:v>
      </x:c>
      <x:c r="J17" s="191" t="n">
        <x:v>31500</x:v>
      </x:c>
      <x:c r="K17" s="191" t="n">
        <x:v>182</x:v>
      </x:c>
      <x:c r="L17" s="189" t="n">
        <x:f>SUMIF('Time Entries'!$B$5:$B$400,A17,'Time Entries'!$G$5:$G$400)</x:f>
        <x:v>267</x:v>
      </x:c>
      <x:c r="M17" s="191" t="n">
        <x:f>SUMIF('Time Entries'!$B$5:$B$400,A17,'Time Entries'!$H$5:$H$400)</x:f>
        <x:v>21386</x:v>
      </x:c>
      <x:c r="N17" s="191" t="n">
        <x:f>SUMIF('Vendor Costs'!$B$5:$B$40,A17,'Vendor Costs'!$E$5:$E$40)</x:f>
        <x:v>8950.130000000001</x:v>
      </x:c>
      <x:c r="O17" s="191" t="n">
        <x:f>M17+N17</x:f>
        <x:v>30336.13</x:v>
      </x:c>
      <x:c r="P17" s="191" t="n">
        <x:f>I17-O17</x:f>
        <x:v>24963.87</x:v>
      </x:c>
      <x:c r="Q17" s="192" t="n">
        <x:f>P17/I17</x:f>
        <x:v>0.4514262206148282</x:v>
      </x:c>
      <x:c r="R17" s="189" t="n">
        <x:f>L17-H17</x:f>
        <x:v>-43</x:v>
      </x:c>
      <x:c r="S17" s="192" t="n">
        <x:f>R17/H17</x:f>
        <x:v>-0.13870967741935483</x:v>
      </x:c>
      <x:c r="T17" s="191" t="n">
        <x:f>O17-J17</x:f>
        <x:v>-1163.869999999999</x:v>
      </x:c>
      <x:c r="U17" s="192" t="n">
        <x:f>T17/J17</x:f>
        <x:v>-0.036948253968253936</x:v>
      </x:c>
      <x:c r="V17" s="193" t="str">
        <x:f>IF(OR(Q17&lt;20%,L17&gt;H17*115%),"Critical",IF(OR(Q17&lt;30%,L17&gt;H17*105%),"Watch","Healthy"))</x:f>
        <x:v>Healthy</x:v>
      </x:c>
    </x:row>
    <x:row r="18">
      <x:c r="A18" s="188" t="str">
        <x:v>P014</x:v>
      </x:c>
      <x:c r="B18" s="189" t="str">
        <x:v>C06</x:v>
      </x:c>
      <x:c r="C18" s="189" t="str">
        <x:v>BrightPath Learning</x:v>
      </x:c>
      <x:c r="D18" s="189" t="str">
        <x:v>Automation</x:v>
      </x:c>
      <x:c r="E18" s="190" t="n">
        <x:v>46118</x:v>
      </x:c>
      <x:c r="F18" s="190" t="n">
        <x:v>46216</x:v>
      </x:c>
      <x:c r="G18" s="189" t="str">
        <x:v>Completed</x:v>
      </x:c>
      <x:c r="H18" s="189" t="n">
        <x:v>179</x:v>
      </x:c>
      <x:c r="I18" s="191" t="n">
        <x:v>34500</x:v>
      </x:c>
      <x:c r="J18" s="191" t="n">
        <x:v>16900</x:v>
      </x:c>
      <x:c r="K18" s="191" t="n">
        <x:v>193</x:v>
      </x:c>
      <x:c r="L18" s="189" t="n">
        <x:f>SUMIF('Time Entries'!$B$5:$B$400,A18,'Time Entries'!$G$5:$G$400)</x:f>
        <x:v>162</x:v>
      </x:c>
      <x:c r="M18" s="191" t="n">
        <x:f>SUMIF('Time Entries'!$B$5:$B$400,A18,'Time Entries'!$H$5:$H$400)</x:f>
        <x:v>12695</x:v>
      </x:c>
      <x:c r="N18" s="191" t="n">
        <x:f>SUMIF('Vendor Costs'!$B$5:$B$40,A18,'Vendor Costs'!$E$5:$E$40)</x:f>
        <x:v>3747.86</x:v>
      </x:c>
      <x:c r="O18" s="191" t="n">
        <x:f>M18+N18</x:f>
        <x:v>16442.86</x:v>
      </x:c>
      <x:c r="P18" s="191" t="n">
        <x:f>I18-O18</x:f>
        <x:v>18057.14</x:v>
      </x:c>
      <x:c r="Q18" s="192" t="n">
        <x:f>P18/I18</x:f>
        <x:v>0.5233953623188405</x:v>
      </x:c>
      <x:c r="R18" s="189" t="n">
        <x:f>L18-H18</x:f>
        <x:v>-17</x:v>
      </x:c>
      <x:c r="S18" s="192" t="n">
        <x:f>R18/H18</x:f>
        <x:v>-0.09497206703910614</x:v>
      </x:c>
      <x:c r="T18" s="191" t="n">
        <x:f>O18-J18</x:f>
        <x:v>-457.1399999999994</x:v>
      </x:c>
      <x:c r="U18" s="192" t="n">
        <x:f>T18/J18</x:f>
        <x:v>-0.0270497041420118</x:v>
      </x:c>
      <x:c r="V18" s="193" t="str">
        <x:f>IF(OR(Q18&lt;20%,L18&gt;H18*115%),"Critical",IF(OR(Q18&lt;30%,L18&gt;H18*105%),"Watch","Healthy"))</x:f>
        <x:v>Healthy</x:v>
      </x:c>
    </x:row>
    <x:row r="19">
      <x:c r="A19" s="188" t="str">
        <x:v>P015</x:v>
      </x:c>
      <x:c r="B19" s="189" t="str">
        <x:v>C07</x:v>
      </x:c>
      <x:c r="C19" s="189" t="str">
        <x:v>Harbor Legal</x:v>
      </x:c>
      <x:c r="D19" s="189" t="str">
        <x:v>Analytics Retainer</x:v>
      </x:c>
      <x:c r="E19" s="190" t="n">
        <x:v>46123</x:v>
      </x:c>
      <x:c r="F19" s="190" t="n">
        <x:v>46187</x:v>
      </x:c>
      <x:c r="G19" s="189" t="str">
        <x:v>Completed</x:v>
      </x:c>
      <x:c r="H19" s="189" t="n">
        <x:v>317</x:v>
      </x:c>
      <x:c r="I19" s="191" t="n">
        <x:v>60800</x:v>
      </x:c>
      <x:c r="J19" s="191" t="n">
        <x:v>31500</x:v>
      </x:c>
      <x:c r="K19" s="191" t="n">
        <x:v>179</x:v>
      </x:c>
      <x:c r="L19" s="189" t="n">
        <x:f>SUMIF('Time Entries'!$B$5:$B$400,A19,'Time Entries'!$G$5:$G$400)</x:f>
        <x:v>406</x:v>
      </x:c>
      <x:c r="M19" s="191" t="n">
        <x:f>SUMIF('Time Entries'!$B$5:$B$400,A19,'Time Entries'!$H$5:$H$400)</x:f>
        <x:v>31321</x:v>
      </x:c>
      <x:c r="N19" s="191" t="n">
        <x:f>SUMIF('Vendor Costs'!$B$5:$B$40,A19,'Vendor Costs'!$E$5:$E$40)</x:f>
        <x:v>5084.02</x:v>
      </x:c>
      <x:c r="O19" s="191" t="n">
        <x:f>M19+N19</x:f>
        <x:v>36405.020000000004</x:v>
      </x:c>
      <x:c r="P19" s="191" t="n">
        <x:f>I19-O19</x:f>
        <x:v>24394.979999999996</x:v>
      </x:c>
      <x:c r="Q19" s="192" t="n">
        <x:f>P19/I19</x:f>
        <x:v>0.40123322368421044</x:v>
      </x:c>
      <x:c r="R19" s="189" t="n">
        <x:f>L19-H19</x:f>
        <x:v>89</x:v>
      </x:c>
      <x:c r="S19" s="192" t="n">
        <x:f>R19/H19</x:f>
        <x:v>0.2807570977917981</x:v>
      </x:c>
      <x:c r="T19" s="191" t="n">
        <x:f>O19-J19</x:f>
        <x:v>4905.020000000004</x:v>
      </x:c>
      <x:c r="U19" s="192" t="n">
        <x:f>T19/J19</x:f>
        <x:v>0.15571492063492076</x:v>
      </x:c>
      <x:c r="V19" s="193" t="str">
        <x:f>IF(OR(Q19&lt;20%,L19&gt;H19*115%),"Critical",IF(OR(Q19&lt;30%,L19&gt;H19*105%),"Watch","Healthy"))</x:f>
        <x:v>Critical</x:v>
      </x:c>
    </x:row>
    <x:row r="20">
      <x:c r="A20" s="188" t="str">
        <x:v>P016</x:v>
      </x:c>
      <x:c r="B20" s="189" t="str">
        <x:v>C08</x:v>
      </x:c>
      <x:c r="C20" s="189" t="str">
        <x:v>PeakFit Clubs</x:v>
      </x:c>
      <x:c r="D20" s="189" t="str">
        <x:v>Dashboard</x:v>
      </x:c>
      <x:c r="E20" s="190" t="n">
        <x:v>46128</x:v>
      </x:c>
      <x:c r="F20" s="190" t="n">
        <x:v>46187</x:v>
      </x:c>
      <x:c r="G20" s="189" t="str">
        <x:v>At Risk</x:v>
      </x:c>
      <x:c r="H20" s="189" t="n">
        <x:v>302</x:v>
      </x:c>
      <x:c r="I20" s="191" t="n">
        <x:v>51200</x:v>
      </x:c>
      <x:c r="J20" s="191" t="n">
        <x:v>26600</x:v>
      </x:c>
      <x:c r="K20" s="191" t="n">
        <x:v>164</x:v>
      </x:c>
      <x:c r="L20" s="189" t="n">
        <x:f>SUMIF('Time Entries'!$B$5:$B$400,A20,'Time Entries'!$G$5:$G$400)</x:f>
        <x:v>338</x:v>
      </x:c>
      <x:c r="M20" s="191" t="n">
        <x:f>SUMIF('Time Entries'!$B$5:$B$400,A20,'Time Entries'!$H$5:$H$400)</x:f>
        <x:v>27083</x:v>
      </x:c>
      <x:c r="N20" s="191" t="n">
        <x:f>SUMIF('Vendor Costs'!$B$5:$B$40,A20,'Vendor Costs'!$E$5:$E$40)</x:f>
        <x:v>10820.01</x:v>
      </x:c>
      <x:c r="O20" s="191" t="n">
        <x:f>M20+N20</x:f>
        <x:v>37903.01</x:v>
      </x:c>
      <x:c r="P20" s="191" t="n">
        <x:f>I20-O20</x:f>
        <x:v>13296.989999999998</x:v>
      </x:c>
      <x:c r="Q20" s="192" t="n">
        <x:f>P20/I20</x:f>
        <x:v>0.25970683593749994</x:v>
      </x:c>
      <x:c r="R20" s="189" t="n">
        <x:f>L20-H20</x:f>
        <x:v>36</x:v>
      </x:c>
      <x:c r="S20" s="192" t="n">
        <x:f>R20/H20</x:f>
        <x:v>0.11920529801324503</x:v>
      </x:c>
      <x:c r="T20" s="191" t="n">
        <x:f>O20-J20</x:f>
        <x:v>11303.010000000002</x:v>
      </x:c>
      <x:c r="U20" s="192" t="n">
        <x:f>T20/J20</x:f>
        <x:v>0.4249251879699249</x:v>
      </x:c>
      <x:c r="V20" s="193" t="str">
        <x:f>IF(OR(Q20&lt;20%,L20&gt;H20*115%),"Critical",IF(OR(Q20&lt;30%,L20&gt;H20*105%),"Watch","Healthy"))</x:f>
        <x:v>Watch</x:v>
      </x:c>
    </x:row>
    <x:row r="21">
      <x:c r="A21" s="188" t="str">
        <x:v>P017</x:v>
      </x:c>
      <x:c r="B21" s="189" t="str">
        <x:v>C01</x:v>
      </x:c>
      <x:c r="C21" s="189" t="str">
        <x:v>Northstar Retail</x:v>
      </x:c>
      <x:c r="D21" s="189" t="str">
        <x:v>Website</x:v>
      </x:c>
      <x:c r="E21" s="190" t="n">
        <x:v>46143</x:v>
      </x:c>
      <x:c r="F21" s="190" t="n">
        <x:v>46203</x:v>
      </x:c>
      <x:c r="G21" s="189" t="str">
        <x:v>Active</x:v>
      </x:c>
      <x:c r="H21" s="189" t="n">
        <x:v>557</x:v>
      </x:c>
      <x:c r="I21" s="191" t="n">
        <x:v>92700</x:v>
      </x:c>
      <x:c r="J21" s="191" t="n">
        <x:v>54100</x:v>
      </x:c>
      <x:c r="K21" s="191" t="n">
        <x:v>187</x:v>
      </x:c>
      <x:c r="L21" s="189" t="n">
        <x:f>SUMIF('Time Entries'!$B$5:$B$400,A21,'Time Entries'!$G$5:$G$400)</x:f>
        <x:v>467</x:v>
      </x:c>
      <x:c r="M21" s="191" t="n">
        <x:f>SUMIF('Time Entries'!$B$5:$B$400,A21,'Time Entries'!$H$5:$H$400)</x:f>
        <x:v>36667</x:v>
      </x:c>
      <x:c r="N21" s="191" t="n">
        <x:f>SUMIF('Vendor Costs'!$B$5:$B$40,A21,'Vendor Costs'!$E$5:$E$40)</x:f>
        <x:v>1097.69</x:v>
      </x:c>
      <x:c r="O21" s="191" t="n">
        <x:f>M21+N21</x:f>
        <x:v>37764.69</x:v>
      </x:c>
      <x:c r="P21" s="191" t="n">
        <x:f>I21-O21</x:f>
        <x:v>54935.31</x:v>
      </x:c>
      <x:c r="Q21" s="192" t="n">
        <x:f>P21/I21</x:f>
        <x:v>0.5926139158576051</x:v>
      </x:c>
      <x:c r="R21" s="189" t="n">
        <x:f>L21-H21</x:f>
        <x:v>-90</x:v>
      </x:c>
      <x:c r="S21" s="192" t="n">
        <x:f>R21/H21</x:f>
        <x:v>-0.1615798922800718</x:v>
      </x:c>
      <x:c r="T21" s="191" t="n">
        <x:f>O21-J21</x:f>
        <x:v>-16335.309999999998</x:v>
      </x:c>
      <x:c r="U21" s="192" t="n">
        <x:f>T21/J21</x:f>
        <x:v>-0.3019465804066543</x:v>
      </x:c>
      <x:c r="V21" s="193" t="str">
        <x:f>IF(OR(Q21&lt;20%,L21&gt;H21*115%),"Critical",IF(OR(Q21&lt;30%,L21&gt;H21*105%),"Watch","Healthy"))</x:f>
        <x:v>Healthy</x:v>
      </x:c>
    </x:row>
    <x:row r="22">
      <x:c r="A22" s="188" t="str">
        <x:v>P018</x:v>
      </x:c>
      <x:c r="B22" s="189" t="str">
        <x:v>C02</x:v>
      </x:c>
      <x:c r="C22" s="189" t="str">
        <x:v>Lumen Health</x:v>
      </x:c>
      <x:c r="D22" s="189" t="str">
        <x:v>Campaign</x:v>
      </x:c>
      <x:c r="E22" s="190" t="n">
        <x:v>46148</x:v>
      </x:c>
      <x:c r="F22" s="190" t="n">
        <x:v>46226</x:v>
      </x:c>
      <x:c r="G22" s="189" t="str">
        <x:v>At Risk</x:v>
      </x:c>
      <x:c r="H22" s="189" t="n">
        <x:v>196</x:v>
      </x:c>
      <x:c r="I22" s="191" t="n">
        <x:v>29900</x:v>
      </x:c>
      <x:c r="J22" s="191" t="n">
        <x:v>18300</x:v>
      </x:c>
      <x:c r="K22" s="191" t="n">
        <x:v>147</x:v>
      </x:c>
      <x:c r="L22" s="189" t="n">
        <x:f>SUMIF('Time Entries'!$B$5:$B$400,A22,'Time Entries'!$G$5:$G$400)</x:f>
        <x:v>169</x:v>
      </x:c>
      <x:c r="M22" s="191" t="n">
        <x:f>SUMIF('Time Entries'!$B$5:$B$400,A22,'Time Entries'!$H$5:$H$400)</x:f>
        <x:v>13456</x:v>
      </x:c>
      <x:c r="N22" s="191" t="n">
        <x:f>SUMIF('Vendor Costs'!$B$5:$B$40,A22,'Vendor Costs'!$E$5:$E$40)</x:f>
        <x:v>2019.93</x:v>
      </x:c>
      <x:c r="O22" s="191" t="n">
        <x:f>M22+N22</x:f>
        <x:v>15475.93</x:v>
      </x:c>
      <x:c r="P22" s="191" t="n">
        <x:f>I22-O22</x:f>
        <x:v>14424.07</x:v>
      </x:c>
      <x:c r="Q22" s="192" t="n">
        <x:f>P22/I22</x:f>
        <x:v>0.4824103678929766</x:v>
      </x:c>
      <x:c r="R22" s="189" t="n">
        <x:f>L22-H22</x:f>
        <x:v>-27</x:v>
      </x:c>
      <x:c r="S22" s="192" t="n">
        <x:f>R22/H22</x:f>
        <x:v>-0.1377551020408163</x:v>
      </x:c>
      <x:c r="T22" s="191" t="n">
        <x:f>O22-J22</x:f>
        <x:v>-2824.0699999999997</x:v>
      </x:c>
      <x:c r="U22" s="192" t="n">
        <x:f>T22/J22</x:f>
        <x:v>-0.1543207650273224</x:v>
      </x:c>
      <x:c r="V22" s="193" t="str">
        <x:f>IF(OR(Q22&lt;20%,L22&gt;H22*115%),"Critical",IF(OR(Q22&lt;30%,L22&gt;H22*105%),"Watch","Healthy"))</x:f>
        <x:v>Healthy</x:v>
      </x:c>
    </x:row>
    <x:row r="23">
      <x:c r="A23" s="188" t="str">
        <x:v>P019</x:v>
      </x:c>
      <x:c r="B23" s="189" t="str">
        <x:v>C03</x:v>
      </x:c>
      <x:c r="C23" s="189" t="str">
        <x:v>Atlas Property</x:v>
      </x:c>
      <x:c r="D23" s="189" t="str">
        <x:v>Automation</x:v>
      </x:c>
      <x:c r="E23" s="190" t="n">
        <x:v>46153</x:v>
      </x:c>
      <x:c r="F23" s="190" t="n">
        <x:v>46239</x:v>
      </x:c>
      <x:c r="G23" s="189" t="str">
        <x:v>Active</x:v>
      </x:c>
      <x:c r="H23" s="189" t="n">
        <x:v>242</x:v>
      </x:c>
      <x:c r="I23" s="191" t="n">
        <x:v>31200</x:v>
      </x:c>
      <x:c r="J23" s="191" t="n">
        <x:v>23700</x:v>
      </x:c>
      <x:c r="K23" s="191" t="n">
        <x:v>140</x:v>
      </x:c>
      <x:c r="L23" s="189" t="n">
        <x:f>SUMIF('Time Entries'!$B$5:$B$400,A23,'Time Entries'!$G$5:$G$400)</x:f>
        <x:v>241</x:v>
      </x:c>
      <x:c r="M23" s="191" t="n">
        <x:f>SUMIF('Time Entries'!$B$5:$B$400,A23,'Time Entries'!$H$5:$H$400)</x:f>
        <x:v>19104</x:v>
      </x:c>
      <x:c r="N23" s="191" t="n">
        <x:f>SUMIF('Vendor Costs'!$B$5:$B$40,A23,'Vendor Costs'!$E$5:$E$40)</x:f>
        <x:v>8263.48</x:v>
      </x:c>
      <x:c r="O23" s="191" t="n">
        <x:f>M23+N23</x:f>
        <x:v>27367.48</x:v>
      </x:c>
      <x:c r="P23" s="191" t="n">
        <x:f>I23-O23</x:f>
        <x:v>3832.5200000000004</x:v>
      </x:c>
      <x:c r="Q23" s="192" t="n">
        <x:f>P23/I23</x:f>
        <x:v>0.1228371794871795</x:v>
      </x:c>
      <x:c r="R23" s="189" t="n">
        <x:f>L23-H23</x:f>
        <x:v>-1</x:v>
      </x:c>
      <x:c r="S23" s="192" t="n">
        <x:f>R23/H23</x:f>
        <x:v>-0.004132231404958678</x:v>
      </x:c>
      <x:c r="T23" s="191" t="n">
        <x:f>O23-J23</x:f>
        <x:v>3667.4799999999996</x:v>
      </x:c>
      <x:c r="U23" s="192" t="n">
        <x:f>T23/J23</x:f>
        <x:v>0.1547459915611814</x:v>
      </x:c>
      <x:c r="V23" s="193" t="str">
        <x:f>IF(OR(Q23&lt;20%,L23&gt;H23*115%),"Critical",IF(OR(Q23&lt;30%,L23&gt;H23*105%),"Watch","Healthy"))</x:f>
        <x:v>Critical</x:v>
      </x:c>
    </x:row>
    <x:row r="24">
      <x:c r="A24" s="188" t="str">
        <x:v>P020</x:v>
      </x:c>
      <x:c r="B24" s="189" t="str">
        <x:v>C04</x:v>
      </x:c>
      <x:c r="C24" s="189" t="str">
        <x:v>Orbit SaaS</x:v>
      </x:c>
      <x:c r="D24" s="189" t="str">
        <x:v>Analytics Retainer</x:v>
      </x:c>
      <x:c r="E24" s="190" t="n">
        <x:v>46158</x:v>
      </x:c>
      <x:c r="F24" s="190" t="n">
        <x:v>46206</x:v>
      </x:c>
      <x:c r="G24" s="189" t="str">
        <x:v>At Risk</x:v>
      </x:c>
      <x:c r="H24" s="189" t="n">
        <x:v>335</x:v>
      </x:c>
      <x:c r="I24" s="191" t="n">
        <x:v>46500</x:v>
      </x:c>
      <x:c r="J24" s="191" t="n">
        <x:v>29500</x:v>
      </x:c>
      <x:c r="K24" s="191" t="n">
        <x:v>149</x:v>
      </x:c>
      <x:c r="L24" s="189" t="n">
        <x:f>SUMIF('Time Entries'!$B$5:$B$400,A24,'Time Entries'!$G$5:$G$400)</x:f>
        <x:v>336</x:v>
      </x:c>
      <x:c r="M24" s="191" t="n">
        <x:f>SUMIF('Time Entries'!$B$5:$B$400,A24,'Time Entries'!$H$5:$H$400)</x:f>
        <x:v>26918</x:v>
      </x:c>
      <x:c r="N24" s="191" t="n">
        <x:f>SUMIF('Vendor Costs'!$B$5:$B$40,A24,'Vendor Costs'!$E$5:$E$40)</x:f>
        <x:v>4439.42</x:v>
      </x:c>
      <x:c r="O24" s="191" t="n">
        <x:f>M24+N24</x:f>
        <x:v>31357.42</x:v>
      </x:c>
      <x:c r="P24" s="191" t="n">
        <x:f>I24-O24</x:f>
        <x:v>15142.580000000002</x:v>
      </x:c>
      <x:c r="Q24" s="192" t="n">
        <x:f>P24/I24</x:f>
        <x:v>0.32564688172043016</x:v>
      </x:c>
      <x:c r="R24" s="189" t="n">
        <x:f>L24-H24</x:f>
        <x:v>1</x:v>
      </x:c>
      <x:c r="S24" s="192" t="n">
        <x:f>R24/H24</x:f>
        <x:v>0.0029850746268656717</x:v>
      </x:c>
      <x:c r="T24" s="191" t="n">
        <x:f>O24-J24</x:f>
        <x:v>1857.4199999999983</x:v>
      </x:c>
      <x:c r="U24" s="192" t="n">
        <x:f>T24/J24</x:f>
        <x:v>0.06296338983050842</x:v>
      </x:c>
      <x:c r="V24" s="193" t="str">
        <x:f>IF(OR(Q24&lt;20%,L24&gt;H24*115%),"Critical",IF(OR(Q24&lt;30%,L24&gt;H24*105%),"Watch","Healthy"))</x:f>
        <x:v>Healthy</x:v>
      </x:c>
    </x:row>
    <x:row r="25">
      <x:c r="A25" s="188" t="str">
        <x:v>P021</x:v>
      </x:c>
      <x:c r="B25" s="189" t="str">
        <x:v>C05</x:v>
      </x:c>
      <x:c r="C25" s="189" t="str">
        <x:v>Cedar Finance</x:v>
      </x:c>
      <x:c r="D25" s="189" t="str">
        <x:v>Dashboard</x:v>
      </x:c>
      <x:c r="E25" s="190" t="n">
        <x:v>46174</x:v>
      </x:c>
      <x:c r="F25" s="190" t="n">
        <x:v>46234</x:v>
      </x:c>
      <x:c r="G25" s="189" t="str">
        <x:v>Active</x:v>
      </x:c>
      <x:c r="H25" s="189" t="n">
        <x:v>525</x:v>
      </x:c>
      <x:c r="I25" s="191" t="n">
        <x:v>79900</x:v>
      </x:c>
      <x:c r="J25" s="191" t="n">
        <x:v>45100</x:v>
      </x:c>
      <x:c r="K25" s="191" t="n">
        <x:v>162</x:v>
      </x:c>
      <x:c r="L25" s="189" t="n">
        <x:f>SUMIF('Time Entries'!$B$5:$B$400,A25,'Time Entries'!$G$5:$G$400)</x:f>
        <x:v>588</x:v>
      </x:c>
      <x:c r="M25" s="191" t="n">
        <x:f>SUMIF('Time Entries'!$B$5:$B$400,A25,'Time Entries'!$H$5:$H$400)</x:f>
        <x:v>45683</x:v>
      </x:c>
      <x:c r="N25" s="191" t="n">
        <x:f>SUMIF('Vendor Costs'!$B$5:$B$40,A25,'Vendor Costs'!$E$5:$E$40)</x:f>
        <x:v>3834</x:v>
      </x:c>
      <x:c r="O25" s="191" t="n">
        <x:f>M25+N25</x:f>
        <x:v>49517</x:v>
      </x:c>
      <x:c r="P25" s="191" t="n">
        <x:f>I25-O25</x:f>
        <x:v>30383</x:v>
      </x:c>
      <x:c r="Q25" s="192" t="n">
        <x:f>P25/I25</x:f>
        <x:v>0.38026282853566956</x:v>
      </x:c>
      <x:c r="R25" s="189" t="n">
        <x:f>L25-H25</x:f>
        <x:v>63</x:v>
      </x:c>
      <x:c r="S25" s="192" t="n">
        <x:f>R25/H25</x:f>
        <x:v>0.12</x:v>
      </x:c>
      <x:c r="T25" s="191" t="n">
        <x:f>O25-J25</x:f>
        <x:v>4417</x:v>
      </x:c>
      <x:c r="U25" s="192" t="n">
        <x:f>T25/J25</x:f>
        <x:v>0.09793791574279379</x:v>
      </x:c>
      <x:c r="V25" s="193" t="str">
        <x:f>IF(OR(Q25&lt;20%,L25&gt;H25*115%),"Critical",IF(OR(Q25&lt;30%,L25&gt;H25*105%),"Watch","Healthy"))</x:f>
        <x:v>Watch</x:v>
      </x:c>
    </x:row>
    <x:row r="26">
      <x:c r="A26" s="188" t="str">
        <x:v>P022</x:v>
      </x:c>
      <x:c r="B26" s="189" t="str">
        <x:v>C06</x:v>
      </x:c>
      <x:c r="C26" s="189" t="str">
        <x:v>BrightPath Learning</x:v>
      </x:c>
      <x:c r="D26" s="189" t="str">
        <x:v>Website</x:v>
      </x:c>
      <x:c r="E26" s="190" t="n">
        <x:v>46179</x:v>
      </x:c>
      <x:c r="F26" s="190" t="n">
        <x:v>46271</x:v>
      </x:c>
      <x:c r="G26" s="189" t="str">
        <x:v>At Risk</x:v>
      </x:c>
      <x:c r="H26" s="189" t="n">
        <x:v>408</x:v>
      </x:c>
      <x:c r="I26" s="191" t="n">
        <x:v>77500</x:v>
      </x:c>
      <x:c r="J26" s="191" t="n">
        <x:v>35700</x:v>
      </x:c>
      <x:c r="K26" s="191" t="n">
        <x:v>169</x:v>
      </x:c>
      <x:c r="L26" s="189" t="n">
        <x:f>SUMIF('Time Entries'!$B$5:$B$400,A26,'Time Entries'!$G$5:$G$400)</x:f>
        <x:v>522</x:v>
      </x:c>
      <x:c r="M26" s="191" t="n">
        <x:f>SUMIF('Time Entries'!$B$5:$B$400,A26,'Time Entries'!$H$5:$H$400)</x:f>
        <x:v>41383</x:v>
      </x:c>
      <x:c r="N26" s="191" t="n">
        <x:f>SUMIF('Vendor Costs'!$B$5:$B$40,A26,'Vendor Costs'!$E$5:$E$40)</x:f>
        <x:v>8038.84</x:v>
      </x:c>
      <x:c r="O26" s="191" t="n">
        <x:f>M26+N26</x:f>
        <x:v>49421.84</x:v>
      </x:c>
      <x:c r="P26" s="191" t="n">
        <x:f>I26-O26</x:f>
        <x:v>28078.160000000003</x:v>
      </x:c>
      <x:c r="Q26" s="192" t="n">
        <x:f>P26/I26</x:f>
        <x:v>0.36229883870967744</x:v>
      </x:c>
      <x:c r="R26" s="189" t="n">
        <x:f>L26-H26</x:f>
        <x:v>114</x:v>
      </x:c>
      <x:c r="S26" s="192" t="n">
        <x:f>R26/H26</x:f>
        <x:v>0.27941176470588236</x:v>
      </x:c>
      <x:c r="T26" s="191" t="n">
        <x:f>O26-J26</x:f>
        <x:v>13721.839999999997</x:v>
      </x:c>
      <x:c r="U26" s="192" t="n">
        <x:f>T26/J26</x:f>
        <x:v>0.3843652661064425</x:v>
      </x:c>
      <x:c r="V26" s="193" t="str">
        <x:f>IF(OR(Q26&lt;20%,L26&gt;H26*115%),"Critical",IF(OR(Q26&lt;30%,L26&gt;H26*105%),"Watch","Healthy"))</x:f>
        <x:v>Critical</x:v>
      </x:c>
    </x:row>
    <x:row r="27">
      <x:c r="A27" s="188" t="str">
        <x:v>P023</x:v>
      </x:c>
      <x:c r="B27" s="189" t="str">
        <x:v>C07</x:v>
      </x:c>
      <x:c r="C27" s="189" t="str">
        <x:v>Harbor Legal</x:v>
      </x:c>
      <x:c r="D27" s="189" t="str">
        <x:v>Campaign</x:v>
      </x:c>
      <x:c r="E27" s="190" t="n">
        <x:v>46184</x:v>
      </x:c>
      <x:c r="F27" s="190" t="n">
        <x:v>46261</x:v>
      </x:c>
      <x:c r="G27" s="189" t="str">
        <x:v>Active</x:v>
      </x:c>
      <x:c r="H27" s="189" t="n">
        <x:v>539</x:v>
      </x:c>
      <x:c r="I27" s="191" t="n">
        <x:v>83300</x:v>
      </x:c>
      <x:c r="J27" s="191" t="n">
        <x:v>47500</x:v>
      </x:c>
      <x:c r="K27" s="191" t="n">
        <x:v>159</x:v>
      </x:c>
      <x:c r="L27" s="189" t="n">
        <x:f>SUMIF('Time Entries'!$B$5:$B$400,A27,'Time Entries'!$G$5:$G$400)</x:f>
        <x:v>476</x:v>
      </x:c>
      <x:c r="M27" s="191" t="n">
        <x:f>SUMIF('Time Entries'!$B$5:$B$400,A27,'Time Entries'!$H$5:$H$400)</x:f>
        <x:v>37363</x:v>
      </x:c>
      <x:c r="N27" s="191" t="n">
        <x:f>SUMIF('Vendor Costs'!$B$5:$B$40,A27,'Vendor Costs'!$E$5:$E$40)</x:f>
        <x:v>1434.42</x:v>
      </x:c>
      <x:c r="O27" s="191" t="n">
        <x:f>M27+N27</x:f>
        <x:v>38797.42</x:v>
      </x:c>
      <x:c r="P27" s="191" t="n">
        <x:f>I27-O27</x:f>
        <x:v>44502.58</x:v>
      </x:c>
      <x:c r="Q27" s="192" t="n">
        <x:f>P27/I27</x:f>
        <x:v>0.5342446578631452</x:v>
      </x:c>
      <x:c r="R27" s="189" t="n">
        <x:f>L27-H27</x:f>
        <x:v>-63</x:v>
      </x:c>
      <x:c r="S27" s="192" t="n">
        <x:f>R27/H27</x:f>
        <x:v>-0.11688311688311688</x:v>
      </x:c>
      <x:c r="T27" s="191" t="n">
        <x:f>O27-J27</x:f>
        <x:v>-8702.580000000002</x:v>
      </x:c>
      <x:c r="U27" s="192" t="n">
        <x:f>T27/J27</x:f>
        <x:v>-0.18321221052631584</x:v>
      </x:c>
      <x:c r="V27" s="193" t="str">
        <x:f>IF(OR(Q27&lt;20%,L27&gt;H27*115%),"Critical",IF(OR(Q27&lt;30%,L27&gt;H27*105%),"Watch","Healthy"))</x:f>
        <x:v>Healthy</x:v>
      </x:c>
    </x:row>
    <x:row r="28">
      <x:c r="A28" s="194" t="str">
        <x:v>P024</x:v>
      </x:c>
      <x:c r="B28" s="195" t="str">
        <x:v>C08</x:v>
      </x:c>
      <x:c r="C28" s="195" t="str">
        <x:v>PeakFit Clubs</x:v>
      </x:c>
      <x:c r="D28" s="195" t="str">
        <x:v>Automation</x:v>
      </x:c>
      <x:c r="E28" s="196" t="n">
        <x:v>46189</x:v>
      </x:c>
      <x:c r="F28" s="196" t="n">
        <x:v>46298</x:v>
      </x:c>
      <x:c r="G28" s="195" t="str">
        <x:v>At Risk</x:v>
      </x:c>
      <x:c r="H28" s="195" t="n">
        <x:v>180</x:v>
      </x:c>
      <x:c r="I28" s="197" t="n">
        <x:v>31200</x:v>
      </x:c>
      <x:c r="J28" s="197" t="n">
        <x:v>17100</x:v>
      </x:c>
      <x:c r="K28" s="197" t="n">
        <x:v>176</x:v>
      </x:c>
      <x:c r="L28" s="195" t="n">
        <x:f>SUMIF('Time Entries'!$B$5:$B$400,A28,'Time Entries'!$G$5:$G$400)</x:f>
        <x:v>149</x:v>
      </x:c>
      <x:c r="M28" s="197" t="n">
        <x:f>SUMIF('Time Entries'!$B$5:$B$400,A28,'Time Entries'!$H$5:$H$400)</x:f>
        <x:v>11649</x:v>
      </x:c>
      <x:c r="N28" s="197" t="n">
        <x:f>SUMIF('Vendor Costs'!$B$5:$B$40,A28,'Vendor Costs'!$E$5:$E$40)</x:f>
        <x:v>2360.3</x:v>
      </x:c>
      <x:c r="O28" s="197" t="n">
        <x:f>M28+N28</x:f>
        <x:v>14009.3</x:v>
      </x:c>
      <x:c r="P28" s="197" t="n">
        <x:f>I28-O28</x:f>
        <x:v>17190.7</x:v>
      </x:c>
      <x:c r="Q28" s="198" t="n">
        <x:f>P28/I28</x:f>
        <x:v>0.5509839743589744</x:v>
      </x:c>
      <x:c r="R28" s="195" t="n">
        <x:f>L28-H28</x:f>
        <x:v>-31</x:v>
      </x:c>
      <x:c r="S28" s="198" t="n">
        <x:f>R28/H28</x:f>
        <x:v>-0.17222222222222222</x:v>
      </x:c>
      <x:c r="T28" s="197" t="n">
        <x:f>O28-J28</x:f>
        <x:v>-3090.7000000000007</x:v>
      </x:c>
      <x:c r="U28" s="198" t="n">
        <x:f>T28/J28</x:f>
        <x:v>-0.18074269005847957</x:v>
      </x:c>
      <x:c r="V28" s="199" t="str">
        <x:f>IF(OR(Q28&lt;20%,L28&gt;H28*115%),"Critical",IF(OR(Q28&lt;30%,L28&gt;H28*105%),"Watch","Healthy"))</x:f>
        <x:v>Healthy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12" hidden="0" customWidth="1"/>
    <x:col min="7" max="7" width="10" hidden="0" customWidth="1"/>
    <x:col min="8" max="8" width="14" hidden="0" customWidth="1"/>
    <x:col min="9" max="9" width="14" hidden="0" customWidth="1"/>
  </x:cols>
  <x:sheetData>
    <x:row r="1" ht="34" customHeight="1">
      <x:c r="A1" s="137" t="str">
        <x:v>Time Entries</x:v>
      </x:c>
      <x:c r="B1" s="137"/>
      <x:c r="C1" s="137"/>
      <x:c r="D1" s="137"/>
      <x:c r="E1" s="137"/>
      <x:c r="F1" s="137"/>
      <x:c r="G1" s="137"/>
      <x:c r="H1" s="137"/>
      <x:c r="I1" s="137"/>
    </x:row>
    <x:row r="2" ht="24" customHeight="1">
      <x:c r="A2" s="138" t="str">
        <x:v>Source-level hours and labor cost; billable hours support utilization</x:v>
      </x:c>
      <x:c r="B2" s="138"/>
      <x:c r="C2" s="138"/>
      <x:c r="D2" s="138"/>
      <x:c r="E2" s="138"/>
      <x:c r="F2" s="138"/>
      <x:c r="G2" s="138"/>
      <x:c r="H2" s="138"/>
      <x:c r="I2" s="138"/>
    </x:row>
    <x:row r="3">
      <x:c r="A3" s="139"/>
      <x:c r="B3" s="139"/>
      <x:c r="C3" s="139"/>
      <x:c r="D3" s="139"/>
      <x:c r="E3" s="139"/>
      <x:c r="F3" s="139"/>
      <x:c r="G3" s="139"/>
      <x:c r="H3" s="139"/>
      <x:c r="I3" s="139"/>
    </x:row>
    <x:row r="4">
      <x:c r="A4" s="200" t="str">
        <x:v>Time ID</x:v>
      </x:c>
      <x:c r="B4" s="201" t="str">
        <x:v>Project ID</x:v>
      </x:c>
      <x:c r="C4" s="201" t="str">
        <x:v>Staff ID</x:v>
      </x:c>
      <x:c r="D4" s="201" t="str">
        <x:v>Staff</x:v>
      </x:c>
      <x:c r="E4" s="201" t="str">
        <x:v>Role</x:v>
      </x:c>
      <x:c r="F4" s="201" t="str">
        <x:v>Date</x:v>
      </x:c>
      <x:c r="G4" s="201" t="str">
        <x:v>Hours</x:v>
      </x:c>
      <x:c r="H4" s="201" t="str">
        <x:v>Labor Cost</x:v>
      </x:c>
      <x:c r="I4" s="202" t="str">
        <x:v>Billable Hours</x:v>
      </x:c>
    </x:row>
    <x:row r="5">
      <x:c r="A5" s="188" t="str">
        <x:v>T00001</x:v>
      </x:c>
      <x:c r="B5" s="189" t="str">
        <x:v>P001</x:v>
      </x:c>
      <x:c r="C5" s="189" t="str">
        <x:v>S01</x:v>
      </x:c>
      <x:c r="D5" s="189" t="str">
        <x:v>Maya Chen</x:v>
      </x:c>
      <x:c r="E5" s="189" t="str">
        <x:v>Strategy</x:v>
      </x:c>
      <x:c r="F5" s="190" t="n">
        <x:v>46026</x:v>
      </x:c>
      <x:c r="G5" s="189" t="n">
        <x:v>44</x:v>
      </x:c>
      <x:c r="H5" s="203" t="n">
        <x:v>4180</x:v>
      </x:c>
      <x:c r="I5" s="193" t="n">
        <x:v>44</x:v>
      </x:c>
    </x:row>
    <x:row r="6">
      <x:c r="A6" s="188" t="str">
        <x:v>T00002</x:v>
      </x:c>
      <x:c r="B6" s="189" t="str">
        <x:v>P001</x:v>
      </x:c>
      <x:c r="C6" s="189" t="str">
        <x:v>S02</x:v>
      </x:c>
      <x:c r="D6" s="189" t="str">
        <x:v>Elias Ward</x:v>
      </x:c>
      <x:c r="E6" s="189" t="str">
        <x:v>Design</x:v>
      </x:c>
      <x:c r="F6" s="190" t="n">
        <x:v>46064</x:v>
      </x:c>
      <x:c r="G6" s="189" t="n">
        <x:v>41</x:v>
      </x:c>
      <x:c r="H6" s="203" t="n">
        <x:v>2952</x:v>
      </x:c>
      <x:c r="I6" s="193" t="n">
        <x:v>41</x:v>
      </x:c>
    </x:row>
    <x:row r="7">
      <x:c r="A7" s="188" t="str">
        <x:v>T00003</x:v>
      </x:c>
      <x:c r="B7" s="189" t="str">
        <x:v>P001</x:v>
      </x:c>
      <x:c r="C7" s="189" t="str">
        <x:v>S03</x:v>
      </x:c>
      <x:c r="D7" s="189" t="str">
        <x:v>Nora Patel</x:v>
      </x:c>
      <x:c r="E7" s="189" t="str">
        <x:v>Analytics</x:v>
      </x:c>
      <x:c r="F7" s="190" t="n">
        <x:v>46062</x:v>
      </x:c>
      <x:c r="G7" s="189" t="n">
        <x:v>34</x:v>
      </x:c>
      <x:c r="H7" s="203" t="n">
        <x:v>2788</x:v>
      </x:c>
      <x:c r="I7" s="193" t="n">
        <x:v>34</x:v>
      </x:c>
    </x:row>
    <x:row r="8">
      <x:c r="A8" s="188" t="str">
        <x:v>T00004</x:v>
      </x:c>
      <x:c r="B8" s="189" t="str">
        <x:v>P001</x:v>
      </x:c>
      <x:c r="C8" s="189" t="str">
        <x:v>S04</x:v>
      </x:c>
      <x:c r="D8" s="189" t="str">
        <x:v>Owen Brooks</x:v>
      </x:c>
      <x:c r="E8" s="189" t="str">
        <x:v>Development</x:v>
      </x:c>
      <x:c r="F8" s="190" t="n">
        <x:v>46057</x:v>
      </x:c>
      <x:c r="G8" s="189" t="n">
        <x:v>37</x:v>
      </x:c>
      <x:c r="H8" s="203" t="n">
        <x:v>3256</x:v>
      </x:c>
      <x:c r="I8" s="193" t="n">
        <x:v>37</x:v>
      </x:c>
    </x:row>
    <x:row r="9">
      <x:c r="A9" s="188" t="str">
        <x:v>T00005</x:v>
      </x:c>
      <x:c r="B9" s="189" t="str">
        <x:v>P001</x:v>
      </x:c>
      <x:c r="C9" s="189" t="str">
        <x:v>S05</x:v>
      </x:c>
      <x:c r="D9" s="189" t="str">
        <x:v>Sara Lin</x:v>
      </x:c>
      <x:c r="E9" s="189" t="str">
        <x:v>Project Management</x:v>
      </x:c>
      <x:c r="F9" s="190" t="n">
        <x:v>46103</x:v>
      </x:c>
      <x:c r="G9" s="189" t="n">
        <x:v>30</x:v>
      </x:c>
      <x:c r="H9" s="203" t="n">
        <x:v>2100</x:v>
      </x:c>
      <x:c r="I9" s="193" t="n">
        <x:v>30</x:v>
      </x:c>
    </x:row>
    <x:row r="10">
      <x:c r="A10" s="188" t="str">
        <x:v>T00006</x:v>
      </x:c>
      <x:c r="B10" s="189" t="str">
        <x:v>P001</x:v>
      </x:c>
      <x:c r="C10" s="189" t="str">
        <x:v>S06</x:v>
      </x:c>
      <x:c r="D10" s="189" t="str">
        <x:v>Leo Martin</x:v>
      </x:c>
      <x:c r="E10" s="189" t="str">
        <x:v>Development</x:v>
      </x:c>
      <x:c r="F10" s="190" t="n">
        <x:v>46067</x:v>
      </x:c>
      <x:c r="G10" s="189" t="n">
        <x:v>40</x:v>
      </x:c>
      <x:c r="H10" s="203" t="n">
        <x:v>3680</x:v>
      </x:c>
      <x:c r="I10" s="193" t="n">
        <x:v>40</x:v>
      </x:c>
    </x:row>
    <x:row r="11">
      <x:c r="A11" s="188" t="str">
        <x:v>T00007</x:v>
      </x:c>
      <x:c r="B11" s="189" t="str">
        <x:v>P001</x:v>
      </x:c>
      <x:c r="C11" s="189" t="str">
        <x:v>S07</x:v>
      </x:c>
      <x:c r="D11" s="189" t="str">
        <x:v>Ava Stone</x:v>
      </x:c>
      <x:c r="E11" s="189" t="str">
        <x:v>Content</x:v>
      </x:c>
      <x:c r="F11" s="190" t="n">
        <x:v>46026</x:v>
      </x:c>
      <x:c r="G11" s="189" t="n">
        <x:v>25</x:v>
      </x:c>
      <x:c r="H11" s="203" t="n">
        <x:v>1450</x:v>
      </x:c>
      <x:c r="I11" s="193" t="n">
        <x:v>25</x:v>
      </x:c>
    </x:row>
    <x:row r="12">
      <x:c r="A12" s="188" t="str">
        <x:v>T00008</x:v>
      </x:c>
      <x:c r="B12" s="189" t="str">
        <x:v>P001</x:v>
      </x:c>
      <x:c r="C12" s="189" t="str">
        <x:v>S08</x:v>
      </x:c>
      <x:c r="D12" s="189" t="str">
        <x:v>Theo King</x:v>
      </x:c>
      <x:c r="E12" s="189" t="str">
        <x:v>Analytics</x:v>
      </x:c>
      <x:c r="F12" s="190" t="n">
        <x:v>46077</x:v>
      </x:c>
      <x:c r="G12" s="189" t="n">
        <x:v>26</x:v>
      </x:c>
      <x:c r="H12" s="203" t="n">
        <x:v>2028</x:v>
      </x:c>
      <x:c r="I12" s="193" t="n">
        <x:v>26</x:v>
      </x:c>
    </x:row>
    <x:row r="13">
      <x:c r="A13" s="188" t="str">
        <x:v>T00009</x:v>
      </x:c>
      <x:c r="B13" s="189" t="str">
        <x:v>P001</x:v>
      </x:c>
      <x:c r="C13" s="189" t="str">
        <x:v>S09</x:v>
      </x:c>
      <x:c r="D13" s="189" t="str">
        <x:v>Emma Hayes</x:v>
      </x:c>
      <x:c r="E13" s="189" t="str">
        <x:v>Design</x:v>
      </x:c>
      <x:c r="F13" s="190" t="n">
        <x:v>46025</x:v>
      </x:c>
      <x:c r="G13" s="189" t="n">
        <x:v>28</x:v>
      </x:c>
      <x:c r="H13" s="203" t="n">
        <x:v>1904</x:v>
      </x:c>
      <x:c r="I13" s="193" t="n">
        <x:v>28</x:v>
      </x:c>
    </x:row>
    <x:row r="14">
      <x:c r="A14" s="188" t="str">
        <x:v>T00010</x:v>
      </x:c>
      <x:c r="B14" s="189" t="str">
        <x:v>P001</x:v>
      </x:c>
      <x:c r="C14" s="189" t="str">
        <x:v>S10</x:v>
      </x:c>
      <x:c r="D14" s="189" t="str">
        <x:v>Noah Reed</x:v>
      </x:c>
      <x:c r="E14" s="189" t="str">
        <x:v>Strategy</x:v>
      </x:c>
      <x:c r="F14" s="190" t="n">
        <x:v>46092</x:v>
      </x:c>
      <x:c r="G14" s="189" t="n">
        <x:v>29</x:v>
      </x:c>
      <x:c r="H14" s="203" t="n">
        <x:v>2610</x:v>
      </x:c>
      <x:c r="I14" s="193" t="n">
        <x:v>0</x:v>
      </x:c>
    </x:row>
    <x:row r="15">
      <x:c r="A15" s="188" t="str">
        <x:v>T00011</x:v>
      </x:c>
      <x:c r="B15" s="189" t="str">
        <x:v>P001</x:v>
      </x:c>
      <x:c r="C15" s="189" t="str">
        <x:v>S01</x:v>
      </x:c>
      <x:c r="D15" s="189" t="str">
        <x:v>Maya Chen</x:v>
      </x:c>
      <x:c r="E15" s="189" t="str">
        <x:v>Strategy</x:v>
      </x:c>
      <x:c r="F15" s="190" t="n">
        <x:v>46091</x:v>
      </x:c>
      <x:c r="G15" s="189" t="n">
        <x:v>29</x:v>
      </x:c>
      <x:c r="H15" s="203" t="n">
        <x:v>2755</x:v>
      </x:c>
      <x:c r="I15" s="193" t="n">
        <x:v>29</x:v>
      </x:c>
    </x:row>
    <x:row r="16">
      <x:c r="A16" s="188" t="str">
        <x:v>T00012</x:v>
      </x:c>
      <x:c r="B16" s="189" t="str">
        <x:v>P001</x:v>
      </x:c>
      <x:c r="C16" s="189" t="str">
        <x:v>S02</x:v>
      </x:c>
      <x:c r="D16" s="189" t="str">
        <x:v>Elias Ward</x:v>
      </x:c>
      <x:c r="E16" s="189" t="str">
        <x:v>Design</x:v>
      </x:c>
      <x:c r="F16" s="190" t="n">
        <x:v>46062</x:v>
      </x:c>
      <x:c r="G16" s="189" t="n">
        <x:v>35</x:v>
      </x:c>
      <x:c r="H16" s="203" t="n">
        <x:v>2520</x:v>
      </x:c>
      <x:c r="I16" s="193" t="n">
        <x:v>0</x:v>
      </x:c>
    </x:row>
    <x:row r="17">
      <x:c r="A17" s="188" t="str">
        <x:v>T00013</x:v>
      </x:c>
      <x:c r="B17" s="189" t="str">
        <x:v>P001</x:v>
      </x:c>
      <x:c r="C17" s="189" t="str">
        <x:v>S03</x:v>
      </x:c>
      <x:c r="D17" s="189" t="str">
        <x:v>Nora Patel</x:v>
      </x:c>
      <x:c r="E17" s="189" t="str">
        <x:v>Analytics</x:v>
      </x:c>
      <x:c r="F17" s="190" t="n">
        <x:v>46026</x:v>
      </x:c>
      <x:c r="G17" s="189" t="n">
        <x:v>46</x:v>
      </x:c>
      <x:c r="H17" s="203" t="n">
        <x:v>3772</x:v>
      </x:c>
      <x:c r="I17" s="193" t="n">
        <x:v>46</x:v>
      </x:c>
    </x:row>
    <x:row r="18">
      <x:c r="A18" s="188" t="str">
        <x:v>T00014</x:v>
      </x:c>
      <x:c r="B18" s="189" t="str">
        <x:v>P001</x:v>
      </x:c>
      <x:c r="C18" s="189" t="str">
        <x:v>S04</x:v>
      </x:c>
      <x:c r="D18" s="189" t="str">
        <x:v>Owen Brooks</x:v>
      </x:c>
      <x:c r="E18" s="189" t="str">
        <x:v>Development</x:v>
      </x:c>
      <x:c r="F18" s="190" t="n">
        <x:v>46056</x:v>
      </x:c>
      <x:c r="G18" s="189" t="n">
        <x:v>50</x:v>
      </x:c>
      <x:c r="H18" s="203" t="n">
        <x:v>4400</x:v>
      </x:c>
      <x:c r="I18" s="193" t="n">
        <x:v>50</x:v>
      </x:c>
    </x:row>
    <x:row r="19">
      <x:c r="A19" s="188" t="str">
        <x:v>T00015</x:v>
      </x:c>
      <x:c r="B19" s="189" t="str">
        <x:v>P001</x:v>
      </x:c>
      <x:c r="C19" s="189" t="str">
        <x:v>S05</x:v>
      </x:c>
      <x:c r="D19" s="189" t="str">
        <x:v>Sara Lin</x:v>
      </x:c>
      <x:c r="E19" s="189" t="str">
        <x:v>Project Management</x:v>
      </x:c>
      <x:c r="F19" s="190" t="n">
        <x:v>46026</x:v>
      </x:c>
      <x:c r="G19" s="189" t="n">
        <x:v>33</x:v>
      </x:c>
      <x:c r="H19" s="203" t="n">
        <x:v>2310</x:v>
      </x:c>
      <x:c r="I19" s="193" t="n">
        <x:v>33</x:v>
      </x:c>
    </x:row>
    <x:row r="20">
      <x:c r="A20" s="188" t="str">
        <x:v>T00016</x:v>
      </x:c>
      <x:c r="B20" s="189" t="str">
        <x:v>P001</x:v>
      </x:c>
      <x:c r="C20" s="189" t="str">
        <x:v>S06</x:v>
      </x:c>
      <x:c r="D20" s="189" t="str">
        <x:v>Leo Martin</x:v>
      </x:c>
      <x:c r="E20" s="189" t="str">
        <x:v>Development</x:v>
      </x:c>
      <x:c r="F20" s="190" t="n">
        <x:v>46052</x:v>
      </x:c>
      <x:c r="G20" s="189" t="n">
        <x:v>34</x:v>
      </x:c>
      <x:c r="H20" s="203" t="n">
        <x:v>3128</x:v>
      </x:c>
      <x:c r="I20" s="193" t="n">
        <x:v>34</x:v>
      </x:c>
    </x:row>
    <x:row r="21">
      <x:c r="A21" s="188" t="str">
        <x:v>T00017</x:v>
      </x:c>
      <x:c r="B21" s="189" t="str">
        <x:v>P001</x:v>
      </x:c>
      <x:c r="C21" s="189" t="str">
        <x:v>S07</x:v>
      </x:c>
      <x:c r="D21" s="189" t="str">
        <x:v>Ava Stone</x:v>
      </x:c>
      <x:c r="E21" s="189" t="str">
        <x:v>Content</x:v>
      </x:c>
      <x:c r="F21" s="190" t="n">
        <x:v>46075</x:v>
      </x:c>
      <x:c r="G21" s="189" t="n">
        <x:v>74</x:v>
      </x:c>
      <x:c r="H21" s="203" t="n">
        <x:v>4292</x:v>
      </x:c>
      <x:c r="I21" s="193" t="n">
        <x:v>74</x:v>
      </x:c>
    </x:row>
    <x:row r="22">
      <x:c r="A22" s="188" t="str">
        <x:v>T00018</x:v>
      </x:c>
      <x:c r="B22" s="189" t="str">
        <x:v>P002</x:v>
      </x:c>
      <x:c r="C22" s="189" t="str">
        <x:v>S02</x:v>
      </x:c>
      <x:c r="D22" s="189" t="str">
        <x:v>Elias Ward</x:v>
      </x:c>
      <x:c r="E22" s="189" t="str">
        <x:v>Design</x:v>
      </x:c>
      <x:c r="F22" s="190" t="n">
        <x:v>46123</x:v>
      </x:c>
      <x:c r="G22" s="189" t="n">
        <x:v>13</x:v>
      </x:c>
      <x:c r="H22" s="203" t="n">
        <x:v>936</x:v>
      </x:c>
      <x:c r="I22" s="193" t="n">
        <x:v>13</x:v>
      </x:c>
    </x:row>
    <x:row r="23">
      <x:c r="A23" s="188" t="str">
        <x:v>T00019</x:v>
      </x:c>
      <x:c r="B23" s="189" t="str">
        <x:v>P002</x:v>
      </x:c>
      <x:c r="C23" s="189" t="str">
        <x:v>S03</x:v>
      </x:c>
      <x:c r="D23" s="189" t="str">
        <x:v>Nora Patel</x:v>
      </x:c>
      <x:c r="E23" s="189" t="str">
        <x:v>Analytics</x:v>
      </x:c>
      <x:c r="F23" s="190" t="n">
        <x:v>46035</x:v>
      </x:c>
      <x:c r="G23" s="189" t="n">
        <x:v>12</x:v>
      </x:c>
      <x:c r="H23" s="203" t="n">
        <x:v>984</x:v>
      </x:c>
      <x:c r="I23" s="193" t="n">
        <x:v>12</x:v>
      </x:c>
    </x:row>
    <x:row r="24">
      <x:c r="A24" s="188" t="str">
        <x:v>T00020</x:v>
      </x:c>
      <x:c r="B24" s="189" t="str">
        <x:v>P002</x:v>
      </x:c>
      <x:c r="C24" s="189" t="str">
        <x:v>S04</x:v>
      </x:c>
      <x:c r="D24" s="189" t="str">
        <x:v>Owen Brooks</x:v>
      </x:c>
      <x:c r="E24" s="189" t="str">
        <x:v>Development</x:v>
      </x:c>
      <x:c r="F24" s="190" t="n">
        <x:v>46096</x:v>
      </x:c>
      <x:c r="G24" s="189" t="n">
        <x:v>13</x:v>
      </x:c>
      <x:c r="H24" s="203" t="n">
        <x:v>1144</x:v>
      </x:c>
      <x:c r="I24" s="193" t="n">
        <x:v>0</x:v>
      </x:c>
    </x:row>
    <x:row r="25">
      <x:c r="A25" s="188" t="str">
        <x:v>T00021</x:v>
      </x:c>
      <x:c r="B25" s="189" t="str">
        <x:v>P002</x:v>
      </x:c>
      <x:c r="C25" s="189" t="str">
        <x:v>S05</x:v>
      </x:c>
      <x:c r="D25" s="189" t="str">
        <x:v>Sara Lin</x:v>
      </x:c>
      <x:c r="E25" s="189" t="str">
        <x:v>Project Management</x:v>
      </x:c>
      <x:c r="F25" s="190" t="n">
        <x:v>46074</x:v>
      </x:c>
      <x:c r="G25" s="189" t="n">
        <x:v>9</x:v>
      </x:c>
      <x:c r="H25" s="203" t="n">
        <x:v>630</x:v>
      </x:c>
      <x:c r="I25" s="193" t="n">
        <x:v>9</x:v>
      </x:c>
    </x:row>
    <x:row r="26">
      <x:c r="A26" s="188" t="str">
        <x:v>T00022</x:v>
      </x:c>
      <x:c r="B26" s="189" t="str">
        <x:v>P002</x:v>
      </x:c>
      <x:c r="C26" s="189" t="str">
        <x:v>S06</x:v>
      </x:c>
      <x:c r="D26" s="189" t="str">
        <x:v>Leo Martin</x:v>
      </x:c>
      <x:c r="E26" s="189" t="str">
        <x:v>Development</x:v>
      </x:c>
      <x:c r="F26" s="190" t="n">
        <x:v>46047</x:v>
      </x:c>
      <x:c r="G26" s="189" t="n">
        <x:v>12</x:v>
      </x:c>
      <x:c r="H26" s="203" t="n">
        <x:v>1104</x:v>
      </x:c>
      <x:c r="I26" s="193" t="n">
        <x:v>12</x:v>
      </x:c>
    </x:row>
    <x:row r="27">
      <x:c r="A27" s="188" t="str">
        <x:v>T00023</x:v>
      </x:c>
      <x:c r="B27" s="189" t="str">
        <x:v>P002</x:v>
      </x:c>
      <x:c r="C27" s="189" t="str">
        <x:v>S07</x:v>
      </x:c>
      <x:c r="D27" s="189" t="str">
        <x:v>Ava Stone</x:v>
      </x:c>
      <x:c r="E27" s="189" t="str">
        <x:v>Content</x:v>
      </x:c>
      <x:c r="F27" s="190" t="n">
        <x:v>46141</x:v>
      </x:c>
      <x:c r="G27" s="189" t="n">
        <x:v>17</x:v>
      </x:c>
      <x:c r="H27" s="203" t="n">
        <x:v>986</x:v>
      </x:c>
      <x:c r="I27" s="193" t="n">
        <x:v>17</x:v>
      </x:c>
    </x:row>
    <x:row r="28">
      <x:c r="A28" s="188" t="str">
        <x:v>T00024</x:v>
      </x:c>
      <x:c r="B28" s="189" t="str">
        <x:v>P002</x:v>
      </x:c>
      <x:c r="C28" s="189" t="str">
        <x:v>S08</x:v>
      </x:c>
      <x:c r="D28" s="189" t="str">
        <x:v>Theo King</x:v>
      </x:c>
      <x:c r="E28" s="189" t="str">
        <x:v>Analytics</x:v>
      </x:c>
      <x:c r="F28" s="190" t="n">
        <x:v>46120</x:v>
      </x:c>
      <x:c r="G28" s="189" t="n">
        <x:v>13</x:v>
      </x:c>
      <x:c r="H28" s="203" t="n">
        <x:v>1014</x:v>
      </x:c>
      <x:c r="I28" s="193" t="n">
        <x:v>13</x:v>
      </x:c>
    </x:row>
    <x:row r="29">
      <x:c r="A29" s="188" t="str">
        <x:v>T00025</x:v>
      </x:c>
      <x:c r="B29" s="189" t="str">
        <x:v>P002</x:v>
      </x:c>
      <x:c r="C29" s="189" t="str">
        <x:v>S09</x:v>
      </x:c>
      <x:c r="D29" s="189" t="str">
        <x:v>Emma Hayes</x:v>
      </x:c>
      <x:c r="E29" s="189" t="str">
        <x:v>Design</x:v>
      </x:c>
      <x:c r="F29" s="190" t="n">
        <x:v>46138</x:v>
      </x:c>
      <x:c r="G29" s="189" t="n">
        <x:v>11</x:v>
      </x:c>
      <x:c r="H29" s="203" t="n">
        <x:v>748</x:v>
      </x:c>
      <x:c r="I29" s="193" t="n">
        <x:v>11</x:v>
      </x:c>
    </x:row>
    <x:row r="30">
      <x:c r="A30" s="188" t="str">
        <x:v>T00026</x:v>
      </x:c>
      <x:c r="B30" s="189" t="str">
        <x:v>P002</x:v>
      </x:c>
      <x:c r="C30" s="189" t="str">
        <x:v>S10</x:v>
      </x:c>
      <x:c r="D30" s="189" t="str">
        <x:v>Noah Reed</x:v>
      </x:c>
      <x:c r="E30" s="189" t="str">
        <x:v>Strategy</x:v>
      </x:c>
      <x:c r="F30" s="190" t="n">
        <x:v>46048</x:v>
      </x:c>
      <x:c r="G30" s="189" t="n">
        <x:v>16</x:v>
      </x:c>
      <x:c r="H30" s="203" t="n">
        <x:v>1440</x:v>
      </x:c>
      <x:c r="I30" s="193" t="n">
        <x:v>16</x:v>
      </x:c>
    </x:row>
    <x:row r="31">
      <x:c r="A31" s="188" t="str">
        <x:v>T00027</x:v>
      </x:c>
      <x:c r="B31" s="189" t="str">
        <x:v>P002</x:v>
      </x:c>
      <x:c r="C31" s="189" t="str">
        <x:v>S01</x:v>
      </x:c>
      <x:c r="D31" s="189" t="str">
        <x:v>Maya Chen</x:v>
      </x:c>
      <x:c r="E31" s="189" t="str">
        <x:v>Strategy</x:v>
      </x:c>
      <x:c r="F31" s="190" t="n">
        <x:v>46062</x:v>
      </x:c>
      <x:c r="G31" s="189" t="n">
        <x:v>16</x:v>
      </x:c>
      <x:c r="H31" s="203" t="n">
        <x:v>1520</x:v>
      </x:c>
      <x:c r="I31" s="193" t="n">
        <x:v>0</x:v>
      </x:c>
    </x:row>
    <x:row r="32">
      <x:c r="A32" s="188" t="str">
        <x:v>T00028</x:v>
      </x:c>
      <x:c r="B32" s="189" t="str">
        <x:v>P002</x:v>
      </x:c>
      <x:c r="C32" s="189" t="str">
        <x:v>S02</x:v>
      </x:c>
      <x:c r="D32" s="189" t="str">
        <x:v>Elias Ward</x:v>
      </x:c>
      <x:c r="E32" s="189" t="str">
        <x:v>Design</x:v>
      </x:c>
      <x:c r="F32" s="190" t="n">
        <x:v>46138</x:v>
      </x:c>
      <x:c r="G32" s="189" t="n">
        <x:v>12</x:v>
      </x:c>
      <x:c r="H32" s="203" t="n">
        <x:v>864</x:v>
      </x:c>
      <x:c r="I32" s="193" t="n">
        <x:v>12</x:v>
      </x:c>
    </x:row>
    <x:row r="33">
      <x:c r="A33" s="188" t="str">
        <x:v>T00029</x:v>
      </x:c>
      <x:c r="B33" s="189" t="str">
        <x:v>P002</x:v>
      </x:c>
      <x:c r="C33" s="189" t="str">
        <x:v>S03</x:v>
      </x:c>
      <x:c r="D33" s="189" t="str">
        <x:v>Nora Patel</x:v>
      </x:c>
      <x:c r="E33" s="189" t="str">
        <x:v>Analytics</x:v>
      </x:c>
      <x:c r="F33" s="190" t="n">
        <x:v>46083</x:v>
      </x:c>
      <x:c r="G33" s="189" t="n">
        <x:v>11</x:v>
      </x:c>
      <x:c r="H33" s="203" t="n">
        <x:v>902</x:v>
      </x:c>
      <x:c r="I33" s="193" t="n">
        <x:v>11</x:v>
      </x:c>
    </x:row>
    <x:row r="34">
      <x:c r="A34" s="188" t="str">
        <x:v>T00030</x:v>
      </x:c>
      <x:c r="B34" s="189" t="str">
        <x:v>P002</x:v>
      </x:c>
      <x:c r="C34" s="189" t="str">
        <x:v>S04</x:v>
      </x:c>
      <x:c r="D34" s="189" t="str">
        <x:v>Owen Brooks</x:v>
      </x:c>
      <x:c r="E34" s="189" t="str">
        <x:v>Development</x:v>
      </x:c>
      <x:c r="F34" s="190" t="n">
        <x:v>46077</x:v>
      </x:c>
      <x:c r="G34" s="189" t="n">
        <x:v>11</x:v>
      </x:c>
      <x:c r="H34" s="203" t="n">
        <x:v>968</x:v>
      </x:c>
      <x:c r="I34" s="193" t="n">
        <x:v>11</x:v>
      </x:c>
    </x:row>
    <x:row r="35">
      <x:c r="A35" s="188" t="str">
        <x:v>T00031</x:v>
      </x:c>
      <x:c r="B35" s="189" t="str">
        <x:v>P002</x:v>
      </x:c>
      <x:c r="C35" s="189" t="str">
        <x:v>S05</x:v>
      </x:c>
      <x:c r="D35" s="189" t="str">
        <x:v>Sara Lin</x:v>
      </x:c>
      <x:c r="E35" s="189" t="str">
        <x:v>Project Management</x:v>
      </x:c>
      <x:c r="F35" s="190" t="n">
        <x:v>46142</x:v>
      </x:c>
      <x:c r="G35" s="189" t="n">
        <x:v>17</x:v>
      </x:c>
      <x:c r="H35" s="203" t="n">
        <x:v>1190</x:v>
      </x:c>
      <x:c r="I35" s="193" t="n">
        <x:v>17</x:v>
      </x:c>
    </x:row>
    <x:row r="36">
      <x:c r="A36" s="188" t="str">
        <x:v>T00032</x:v>
      </x:c>
      <x:c r="B36" s="189" t="str">
        <x:v>P002</x:v>
      </x:c>
      <x:c r="C36" s="189" t="str">
        <x:v>S06</x:v>
      </x:c>
      <x:c r="D36" s="189" t="str">
        <x:v>Leo Martin</x:v>
      </x:c>
      <x:c r="E36" s="189" t="str">
        <x:v>Development</x:v>
      </x:c>
      <x:c r="F36" s="190" t="n">
        <x:v>46130</x:v>
      </x:c>
      <x:c r="G36" s="189" t="n">
        <x:v>14</x:v>
      </x:c>
      <x:c r="H36" s="203" t="n">
        <x:v>1288</x:v>
      </x:c>
      <x:c r="I36" s="193" t="n">
        <x:v>14</x:v>
      </x:c>
    </x:row>
    <x:row r="37">
      <x:c r="A37" s="188" t="str">
        <x:v>T00033</x:v>
      </x:c>
      <x:c r="B37" s="189" t="str">
        <x:v>P002</x:v>
      </x:c>
      <x:c r="C37" s="189" t="str">
        <x:v>S07</x:v>
      </x:c>
      <x:c r="D37" s="189" t="str">
        <x:v>Ava Stone</x:v>
      </x:c>
      <x:c r="E37" s="189" t="str">
        <x:v>Content</x:v>
      </x:c>
      <x:c r="F37" s="190" t="n">
        <x:v>46062</x:v>
      </x:c>
      <x:c r="G37" s="189" t="n">
        <x:v>16</x:v>
      </x:c>
      <x:c r="H37" s="203" t="n">
        <x:v>928</x:v>
      </x:c>
      <x:c r="I37" s="193" t="n">
        <x:v>16</x:v>
      </x:c>
    </x:row>
    <x:row r="38">
      <x:c r="A38" s="188" t="str">
        <x:v>T00034</x:v>
      </x:c>
      <x:c r="B38" s="189" t="str">
        <x:v>P002</x:v>
      </x:c>
      <x:c r="C38" s="189" t="str">
        <x:v>S08</x:v>
      </x:c>
      <x:c r="D38" s="189" t="str">
        <x:v>Theo King</x:v>
      </x:c>
      <x:c r="E38" s="189" t="str">
        <x:v>Analytics</x:v>
      </x:c>
      <x:c r="F38" s="190" t="n">
        <x:v>46087</x:v>
      </x:c>
      <x:c r="G38" s="189" t="n">
        <x:v>9</x:v>
      </x:c>
      <x:c r="H38" s="203" t="n">
        <x:v>702</x:v>
      </x:c>
      <x:c r="I38" s="193" t="n">
        <x:v>9</x:v>
      </x:c>
    </x:row>
    <x:row r="39">
      <x:c r="A39" s="188" t="str">
        <x:v>T00035</x:v>
      </x:c>
      <x:c r="B39" s="189" t="str">
        <x:v>P002</x:v>
      </x:c>
      <x:c r="C39" s="189" t="str">
        <x:v>S09</x:v>
      </x:c>
      <x:c r="D39" s="189" t="str">
        <x:v>Emma Hayes</x:v>
      </x:c>
      <x:c r="E39" s="189" t="str">
        <x:v>Design</x:v>
      </x:c>
      <x:c r="F39" s="190" t="n">
        <x:v>46088</x:v>
      </x:c>
      <x:c r="G39" s="189" t="n">
        <x:v>14</x:v>
      </x:c>
      <x:c r="H39" s="203" t="n">
        <x:v>952</x:v>
      </x:c>
      <x:c r="I39" s="193" t="n">
        <x:v>14</x:v>
      </x:c>
    </x:row>
    <x:row r="40">
      <x:c r="A40" s="188" t="str">
        <x:v>T00036</x:v>
      </x:c>
      <x:c r="B40" s="189" t="str">
        <x:v>P002</x:v>
      </x:c>
      <x:c r="C40" s="189" t="str">
        <x:v>S10</x:v>
      </x:c>
      <x:c r="D40" s="189" t="str">
        <x:v>Noah Reed</x:v>
      </x:c>
      <x:c r="E40" s="189" t="str">
        <x:v>Strategy</x:v>
      </x:c>
      <x:c r="F40" s="190" t="n">
        <x:v>46071</x:v>
      </x:c>
      <x:c r="G40" s="189" t="n">
        <x:v>16</x:v>
      </x:c>
      <x:c r="H40" s="203" t="n">
        <x:v>1440</x:v>
      </x:c>
      <x:c r="I40" s="193" t="n">
        <x:v>16</x:v>
      </x:c>
    </x:row>
    <x:row r="41">
      <x:c r="A41" s="188" t="str">
        <x:v>T00037</x:v>
      </x:c>
      <x:c r="B41" s="189" t="str">
        <x:v>P002</x:v>
      </x:c>
      <x:c r="C41" s="189" t="str">
        <x:v>S01</x:v>
      </x:c>
      <x:c r="D41" s="189" t="str">
        <x:v>Maya Chen</x:v>
      </x:c>
      <x:c r="E41" s="189" t="str">
        <x:v>Strategy</x:v>
      </x:c>
      <x:c r="F41" s="190" t="n">
        <x:v>46082</x:v>
      </x:c>
      <x:c r="G41" s="189" t="n">
        <x:v>8</x:v>
      </x:c>
      <x:c r="H41" s="203" t="n">
        <x:v>760</x:v>
      </x:c>
      <x:c r="I41" s="193" t="n">
        <x:v>8</x:v>
      </x:c>
    </x:row>
    <x:row r="42">
      <x:c r="A42" s="188" t="str">
        <x:v>T00038</x:v>
      </x:c>
      <x:c r="B42" s="189" t="str">
        <x:v>P003</x:v>
      </x:c>
      <x:c r="C42" s="189" t="str">
        <x:v>S03</x:v>
      </x:c>
      <x:c r="D42" s="189" t="str">
        <x:v>Nora Patel</x:v>
      </x:c>
      <x:c r="E42" s="189" t="str">
        <x:v>Analytics</x:v>
      </x:c>
      <x:c r="F42" s="190" t="n">
        <x:v>46039</x:v>
      </x:c>
      <x:c r="G42" s="189" t="n">
        <x:v>26</x:v>
      </x:c>
      <x:c r="H42" s="203" t="n">
        <x:v>2132</x:v>
      </x:c>
      <x:c r="I42" s="193" t="n">
        <x:v>26</x:v>
      </x:c>
    </x:row>
    <x:row r="43">
      <x:c r="A43" s="188" t="str">
        <x:v>T00039</x:v>
      </x:c>
      <x:c r="B43" s="189" t="str">
        <x:v>P003</x:v>
      </x:c>
      <x:c r="C43" s="189" t="str">
        <x:v>S04</x:v>
      </x:c>
      <x:c r="D43" s="189" t="str">
        <x:v>Owen Brooks</x:v>
      </x:c>
      <x:c r="E43" s="189" t="str">
        <x:v>Development</x:v>
      </x:c>
      <x:c r="F43" s="190" t="n">
        <x:v>46080</x:v>
      </x:c>
      <x:c r="G43" s="189" t="n">
        <x:v>24</x:v>
      </x:c>
      <x:c r="H43" s="203" t="n">
        <x:v>2112</x:v>
      </x:c>
      <x:c r="I43" s="193" t="n">
        <x:v>0</x:v>
      </x:c>
    </x:row>
    <x:row r="44">
      <x:c r="A44" s="188" t="str">
        <x:v>T00040</x:v>
      </x:c>
      <x:c r="B44" s="189" t="str">
        <x:v>P003</x:v>
      </x:c>
      <x:c r="C44" s="189" t="str">
        <x:v>S05</x:v>
      </x:c>
      <x:c r="D44" s="189" t="str">
        <x:v>Sara Lin</x:v>
      </x:c>
      <x:c r="E44" s="189" t="str">
        <x:v>Project Management</x:v>
      </x:c>
      <x:c r="F44" s="190" t="n">
        <x:v>46076</x:v>
      </x:c>
      <x:c r="G44" s="189" t="n">
        <x:v>20</x:v>
      </x:c>
      <x:c r="H44" s="203" t="n">
        <x:v>1400</x:v>
      </x:c>
      <x:c r="I44" s="193" t="n">
        <x:v>20</x:v>
      </x:c>
    </x:row>
    <x:row r="45">
      <x:c r="A45" s="188" t="str">
        <x:v>T00041</x:v>
      </x:c>
      <x:c r="B45" s="189" t="str">
        <x:v>P003</x:v>
      </x:c>
      <x:c r="C45" s="189" t="str">
        <x:v>S06</x:v>
      </x:c>
      <x:c r="D45" s="189" t="str">
        <x:v>Leo Martin</x:v>
      </x:c>
      <x:c r="E45" s="189" t="str">
        <x:v>Development</x:v>
      </x:c>
      <x:c r="F45" s="190" t="n">
        <x:v>46123</x:v>
      </x:c>
      <x:c r="G45" s="189" t="n">
        <x:v>22</x:v>
      </x:c>
      <x:c r="H45" s="203" t="n">
        <x:v>2024</x:v>
      </x:c>
      <x:c r="I45" s="193" t="n">
        <x:v>22</x:v>
      </x:c>
    </x:row>
    <x:row r="46">
      <x:c r="A46" s="188" t="str">
        <x:v>T00042</x:v>
      </x:c>
      <x:c r="B46" s="189" t="str">
        <x:v>P003</x:v>
      </x:c>
      <x:c r="C46" s="189" t="str">
        <x:v>S07</x:v>
      </x:c>
      <x:c r="D46" s="189" t="str">
        <x:v>Ava Stone</x:v>
      </x:c>
      <x:c r="E46" s="189" t="str">
        <x:v>Content</x:v>
      </x:c>
      <x:c r="F46" s="190" t="n">
        <x:v>46056</x:v>
      </x:c>
      <x:c r="G46" s="189" t="n">
        <x:v>28</x:v>
      </x:c>
      <x:c r="H46" s="203" t="n">
        <x:v>1624</x:v>
      </x:c>
      <x:c r="I46" s="193" t="n">
        <x:v>28</x:v>
      </x:c>
    </x:row>
    <x:row r="47">
      <x:c r="A47" s="188" t="str">
        <x:v>T00043</x:v>
      </x:c>
      <x:c r="B47" s="189" t="str">
        <x:v>P003</x:v>
      </x:c>
      <x:c r="C47" s="189" t="str">
        <x:v>S08</x:v>
      </x:c>
      <x:c r="D47" s="189" t="str">
        <x:v>Theo King</x:v>
      </x:c>
      <x:c r="E47" s="189" t="str">
        <x:v>Analytics</x:v>
      </x:c>
      <x:c r="F47" s="190" t="n">
        <x:v>46108</x:v>
      </x:c>
      <x:c r="G47" s="189" t="n">
        <x:v>19</x:v>
      </x:c>
      <x:c r="H47" s="203" t="n">
        <x:v>1482</x:v>
      </x:c>
      <x:c r="I47" s="193" t="n">
        <x:v>19</x:v>
      </x:c>
    </x:row>
    <x:row r="48">
      <x:c r="A48" s="188" t="str">
        <x:v>T00044</x:v>
      </x:c>
      <x:c r="B48" s="189" t="str">
        <x:v>P003</x:v>
      </x:c>
      <x:c r="C48" s="189" t="str">
        <x:v>S09</x:v>
      </x:c>
      <x:c r="D48" s="189" t="str">
        <x:v>Emma Hayes</x:v>
      </x:c>
      <x:c r="E48" s="189" t="str">
        <x:v>Design</x:v>
      </x:c>
      <x:c r="F48" s="190" t="n">
        <x:v>46081</x:v>
      </x:c>
      <x:c r="G48" s="189" t="n">
        <x:v>26</x:v>
      </x:c>
      <x:c r="H48" s="203" t="n">
        <x:v>1768</x:v>
      </x:c>
      <x:c r="I48" s="193" t="n">
        <x:v>0</x:v>
      </x:c>
    </x:row>
    <x:row r="49">
      <x:c r="A49" s="188" t="str">
        <x:v>T00045</x:v>
      </x:c>
      <x:c r="B49" s="189" t="str">
        <x:v>P003</x:v>
      </x:c>
      <x:c r="C49" s="189" t="str">
        <x:v>S10</x:v>
      </x:c>
      <x:c r="D49" s="189" t="str">
        <x:v>Noah Reed</x:v>
      </x:c>
      <x:c r="E49" s="189" t="str">
        <x:v>Strategy</x:v>
      </x:c>
      <x:c r="F49" s="190" t="n">
        <x:v>46127</x:v>
      </x:c>
      <x:c r="G49" s="189" t="n">
        <x:v>21</x:v>
      </x:c>
      <x:c r="H49" s="203" t="n">
        <x:v>1890</x:v>
      </x:c>
      <x:c r="I49" s="193" t="n">
        <x:v>0</x:v>
      </x:c>
    </x:row>
    <x:row r="50">
      <x:c r="A50" s="188" t="str">
        <x:v>T00046</x:v>
      </x:c>
      <x:c r="B50" s="189" t="str">
        <x:v>P003</x:v>
      </x:c>
      <x:c r="C50" s="189" t="str">
        <x:v>S01</x:v>
      </x:c>
      <x:c r="D50" s="189" t="str">
        <x:v>Maya Chen</x:v>
      </x:c>
      <x:c r="E50" s="189" t="str">
        <x:v>Strategy</x:v>
      </x:c>
      <x:c r="F50" s="190" t="n">
        <x:v>46065</x:v>
      </x:c>
      <x:c r="G50" s="189" t="n">
        <x:v>28</x:v>
      </x:c>
      <x:c r="H50" s="203" t="n">
        <x:v>2660</x:v>
      </x:c>
      <x:c r="I50" s="193" t="n">
        <x:v>28</x:v>
      </x:c>
    </x:row>
    <x:row r="51">
      <x:c r="A51" s="188" t="str">
        <x:v>T00047</x:v>
      </x:c>
      <x:c r="B51" s="189" t="str">
        <x:v>P003</x:v>
      </x:c>
      <x:c r="C51" s="189" t="str">
        <x:v>S02</x:v>
      </x:c>
      <x:c r="D51" s="189" t="str">
        <x:v>Elias Ward</x:v>
      </x:c>
      <x:c r="E51" s="189" t="str">
        <x:v>Design</x:v>
      </x:c>
      <x:c r="F51" s="190" t="n">
        <x:v>46047</x:v>
      </x:c>
      <x:c r="G51" s="189" t="n">
        <x:v>17</x:v>
      </x:c>
      <x:c r="H51" s="203" t="n">
        <x:v>1224</x:v>
      </x:c>
      <x:c r="I51" s="193" t="n">
        <x:v>17</x:v>
      </x:c>
    </x:row>
    <x:row r="52">
      <x:c r="A52" s="188" t="str">
        <x:v>T00048</x:v>
      </x:c>
      <x:c r="B52" s="189" t="str">
        <x:v>P003</x:v>
      </x:c>
      <x:c r="C52" s="189" t="str">
        <x:v>S03</x:v>
      </x:c>
      <x:c r="D52" s="189" t="str">
        <x:v>Nora Patel</x:v>
      </x:c>
      <x:c r="E52" s="189" t="str">
        <x:v>Analytics</x:v>
      </x:c>
      <x:c r="F52" s="190" t="n">
        <x:v>46061</x:v>
      </x:c>
      <x:c r="G52" s="189" t="n">
        <x:v>27</x:v>
      </x:c>
      <x:c r="H52" s="203" t="n">
        <x:v>2214</x:v>
      </x:c>
      <x:c r="I52" s="193" t="n">
        <x:v>27</x:v>
      </x:c>
    </x:row>
    <x:row r="53">
      <x:c r="A53" s="188" t="str">
        <x:v>T00049</x:v>
      </x:c>
      <x:c r="B53" s="189" t="str">
        <x:v>P003</x:v>
      </x:c>
      <x:c r="C53" s="189" t="str">
        <x:v>S04</x:v>
      </x:c>
      <x:c r="D53" s="189" t="str">
        <x:v>Owen Brooks</x:v>
      </x:c>
      <x:c r="E53" s="189" t="str">
        <x:v>Development</x:v>
      </x:c>
      <x:c r="F53" s="190" t="n">
        <x:v>46110</x:v>
      </x:c>
      <x:c r="G53" s="189" t="n">
        <x:v>8</x:v>
      </x:c>
      <x:c r="H53" s="203" t="n">
        <x:v>704</x:v>
      </x:c>
      <x:c r="I53" s="193" t="n">
        <x:v>0</x:v>
      </x:c>
    </x:row>
    <x:row r="54">
      <x:c r="A54" s="188" t="str">
        <x:v>T00050</x:v>
      </x:c>
      <x:c r="B54" s="189" t="str">
        <x:v>P004</x:v>
      </x:c>
      <x:c r="C54" s="189" t="str">
        <x:v>S04</x:v>
      </x:c>
      <x:c r="D54" s="189" t="str">
        <x:v>Owen Brooks</x:v>
      </x:c>
      <x:c r="E54" s="189" t="str">
        <x:v>Development</x:v>
      </x:c>
      <x:c r="F54" s="190" t="n">
        <x:v>46124</x:v>
      </x:c>
      <x:c r="G54" s="189" t="n">
        <x:v>25</x:v>
      </x:c>
      <x:c r="H54" s="203" t="n">
        <x:v>2200</x:v>
      </x:c>
      <x:c r="I54" s="193" t="n">
        <x:v>25</x:v>
      </x:c>
    </x:row>
    <x:row r="55">
      <x:c r="A55" s="188" t="str">
        <x:v>T00051</x:v>
      </x:c>
      <x:c r="B55" s="189" t="str">
        <x:v>P004</x:v>
      </x:c>
      <x:c r="C55" s="189" t="str">
        <x:v>S05</x:v>
      </x:c>
      <x:c r="D55" s="189" t="str">
        <x:v>Sara Lin</x:v>
      </x:c>
      <x:c r="E55" s="189" t="str">
        <x:v>Project Management</x:v>
      </x:c>
      <x:c r="F55" s="190" t="n">
        <x:v>46051</x:v>
      </x:c>
      <x:c r="G55" s="189" t="n">
        <x:v>32</x:v>
      </x:c>
      <x:c r="H55" s="203" t="n">
        <x:v>2240</x:v>
      </x:c>
      <x:c r="I55" s="193" t="n">
        <x:v>32</x:v>
      </x:c>
    </x:row>
    <x:row r="56">
      <x:c r="A56" s="188" t="str">
        <x:v>T00052</x:v>
      </x:c>
      <x:c r="B56" s="189" t="str">
        <x:v>P004</x:v>
      </x:c>
      <x:c r="C56" s="189" t="str">
        <x:v>S06</x:v>
      </x:c>
      <x:c r="D56" s="189" t="str">
        <x:v>Leo Martin</x:v>
      </x:c>
      <x:c r="E56" s="189" t="str">
        <x:v>Development</x:v>
      </x:c>
      <x:c r="F56" s="190" t="n">
        <x:v>46121</x:v>
      </x:c>
      <x:c r="G56" s="189" t="n">
        <x:v>22</x:v>
      </x:c>
      <x:c r="H56" s="203" t="n">
        <x:v>2024</x:v>
      </x:c>
      <x:c r="I56" s="193" t="n">
        <x:v>22</x:v>
      </x:c>
    </x:row>
    <x:row r="57">
      <x:c r="A57" s="188" t="str">
        <x:v>T00053</x:v>
      </x:c>
      <x:c r="B57" s="189" t="str">
        <x:v>P004</x:v>
      </x:c>
      <x:c r="C57" s="189" t="str">
        <x:v>S07</x:v>
      </x:c>
      <x:c r="D57" s="189" t="str">
        <x:v>Ava Stone</x:v>
      </x:c>
      <x:c r="E57" s="189" t="str">
        <x:v>Content</x:v>
      </x:c>
      <x:c r="F57" s="190" t="n">
        <x:v>46127</x:v>
      </x:c>
      <x:c r="G57" s="189" t="n">
        <x:v>35</x:v>
      </x:c>
      <x:c r="H57" s="203" t="n">
        <x:v>2030</x:v>
      </x:c>
      <x:c r="I57" s="193" t="n">
        <x:v>35</x:v>
      </x:c>
    </x:row>
    <x:row r="58">
      <x:c r="A58" s="188" t="str">
        <x:v>T00054</x:v>
      </x:c>
      <x:c r="B58" s="189" t="str">
        <x:v>P004</x:v>
      </x:c>
      <x:c r="C58" s="189" t="str">
        <x:v>S08</x:v>
      </x:c>
      <x:c r="D58" s="189" t="str">
        <x:v>Theo King</x:v>
      </x:c>
      <x:c r="E58" s="189" t="str">
        <x:v>Analytics</x:v>
      </x:c>
      <x:c r="F58" s="190" t="n">
        <x:v>46134</x:v>
      </x:c>
      <x:c r="G58" s="189" t="n">
        <x:v>25</x:v>
      </x:c>
      <x:c r="H58" s="203" t="n">
        <x:v>1950</x:v>
      </x:c>
      <x:c r="I58" s="193" t="n">
        <x:v>25</x:v>
      </x:c>
    </x:row>
    <x:row r="59">
      <x:c r="A59" s="188" t="str">
        <x:v>T00055</x:v>
      </x:c>
      <x:c r="B59" s="189" t="str">
        <x:v>P004</x:v>
      </x:c>
      <x:c r="C59" s="189" t="str">
        <x:v>S09</x:v>
      </x:c>
      <x:c r="D59" s="189" t="str">
        <x:v>Emma Hayes</x:v>
      </x:c>
      <x:c r="E59" s="189" t="str">
        <x:v>Design</x:v>
      </x:c>
      <x:c r="F59" s="190" t="n">
        <x:v>46088</x:v>
      </x:c>
      <x:c r="G59" s="189" t="n">
        <x:v>33</x:v>
      </x:c>
      <x:c r="H59" s="203" t="n">
        <x:v>2244</x:v>
      </x:c>
      <x:c r="I59" s="193" t="n">
        <x:v>33</x:v>
      </x:c>
    </x:row>
    <x:row r="60">
      <x:c r="A60" s="188" t="str">
        <x:v>T00056</x:v>
      </x:c>
      <x:c r="B60" s="189" t="str">
        <x:v>P004</x:v>
      </x:c>
      <x:c r="C60" s="189" t="str">
        <x:v>S10</x:v>
      </x:c>
      <x:c r="D60" s="189" t="str">
        <x:v>Noah Reed</x:v>
      </x:c>
      <x:c r="E60" s="189" t="str">
        <x:v>Strategy</x:v>
      </x:c>
      <x:c r="F60" s="190" t="n">
        <x:v>46078</x:v>
      </x:c>
      <x:c r="G60" s="189" t="n">
        <x:v>39</x:v>
      </x:c>
      <x:c r="H60" s="203" t="n">
        <x:v>3510</x:v>
      </x:c>
      <x:c r="I60" s="193" t="n">
        <x:v>39</x:v>
      </x:c>
    </x:row>
    <x:row r="61">
      <x:c r="A61" s="188" t="str">
        <x:v>T00057</x:v>
      </x:c>
      <x:c r="B61" s="189" t="str">
        <x:v>P004</x:v>
      </x:c>
      <x:c r="C61" s="189" t="str">
        <x:v>S01</x:v>
      </x:c>
      <x:c r="D61" s="189" t="str">
        <x:v>Maya Chen</x:v>
      </x:c>
      <x:c r="E61" s="189" t="str">
        <x:v>Strategy</x:v>
      </x:c>
      <x:c r="F61" s="190" t="n">
        <x:v>46131</x:v>
      </x:c>
      <x:c r="G61" s="189" t="n">
        <x:v>28</x:v>
      </x:c>
      <x:c r="H61" s="203" t="n">
        <x:v>2660</x:v>
      </x:c>
      <x:c r="I61" s="193" t="n">
        <x:v>0</x:v>
      </x:c>
    </x:row>
    <x:row r="62">
      <x:c r="A62" s="188" t="str">
        <x:v>T00058</x:v>
      </x:c>
      <x:c r="B62" s="189" t="str">
        <x:v>P004</x:v>
      </x:c>
      <x:c r="C62" s="189" t="str">
        <x:v>S02</x:v>
      </x:c>
      <x:c r="D62" s="189" t="str">
        <x:v>Elias Ward</x:v>
      </x:c>
      <x:c r="E62" s="189" t="str">
        <x:v>Design</x:v>
      </x:c>
      <x:c r="F62" s="190" t="n">
        <x:v>46075</x:v>
      </x:c>
      <x:c r="G62" s="189" t="n">
        <x:v>36</x:v>
      </x:c>
      <x:c r="H62" s="203" t="n">
        <x:v>2592</x:v>
      </x:c>
      <x:c r="I62" s="193" t="n">
        <x:v>36</x:v>
      </x:c>
    </x:row>
    <x:row r="63">
      <x:c r="A63" s="188" t="str">
        <x:v>T00059</x:v>
      </x:c>
      <x:c r="B63" s="189" t="str">
        <x:v>P004</x:v>
      </x:c>
      <x:c r="C63" s="189" t="str">
        <x:v>S03</x:v>
      </x:c>
      <x:c r="D63" s="189" t="str">
        <x:v>Nora Patel</x:v>
      </x:c>
      <x:c r="E63" s="189" t="str">
        <x:v>Analytics</x:v>
      </x:c>
      <x:c r="F63" s="190" t="n">
        <x:v>46042</x:v>
      </x:c>
      <x:c r="G63" s="189" t="n">
        <x:v>36</x:v>
      </x:c>
      <x:c r="H63" s="203" t="n">
        <x:v>2952</x:v>
      </x:c>
      <x:c r="I63" s="193" t="n">
        <x:v>36</x:v>
      </x:c>
    </x:row>
    <x:row r="64">
      <x:c r="A64" s="188" t="str">
        <x:v>T00060</x:v>
      </x:c>
      <x:c r="B64" s="189" t="str">
        <x:v>P004</x:v>
      </x:c>
      <x:c r="C64" s="189" t="str">
        <x:v>S04</x:v>
      </x:c>
      <x:c r="D64" s="189" t="str">
        <x:v>Owen Brooks</x:v>
      </x:c>
      <x:c r="E64" s="189" t="str">
        <x:v>Development</x:v>
      </x:c>
      <x:c r="F64" s="190" t="n">
        <x:v>46114</x:v>
      </x:c>
      <x:c r="G64" s="189" t="n">
        <x:v>41</x:v>
      </x:c>
      <x:c r="H64" s="203" t="n">
        <x:v>3608</x:v>
      </x:c>
      <x:c r="I64" s="193" t="n">
        <x:v>41</x:v>
      </x:c>
    </x:row>
    <x:row r="65">
      <x:c r="A65" s="188" t="str">
        <x:v>T00061</x:v>
      </x:c>
      <x:c r="B65" s="189" t="str">
        <x:v>P004</x:v>
      </x:c>
      <x:c r="C65" s="189" t="str">
        <x:v>S05</x:v>
      </x:c>
      <x:c r="D65" s="189" t="str">
        <x:v>Sara Lin</x:v>
      </x:c>
      <x:c r="E65" s="189" t="str">
        <x:v>Project Management</x:v>
      </x:c>
      <x:c r="F65" s="190" t="n">
        <x:v>46045</x:v>
      </x:c>
      <x:c r="G65" s="189" t="n">
        <x:v>21</x:v>
      </x:c>
      <x:c r="H65" s="203" t="n">
        <x:v>1470</x:v>
      </x:c>
      <x:c r="I65" s="193" t="n">
        <x:v>21</x:v>
      </x:c>
    </x:row>
    <x:row r="66">
      <x:c r="A66" s="188" t="str">
        <x:v>T00062</x:v>
      </x:c>
      <x:c r="B66" s="189" t="str">
        <x:v>P004</x:v>
      </x:c>
      <x:c r="C66" s="189" t="str">
        <x:v>S06</x:v>
      </x:c>
      <x:c r="D66" s="189" t="str">
        <x:v>Leo Martin</x:v>
      </x:c>
      <x:c r="E66" s="189" t="str">
        <x:v>Development</x:v>
      </x:c>
      <x:c r="F66" s="190" t="n">
        <x:v>46123</x:v>
      </x:c>
      <x:c r="G66" s="189" t="n">
        <x:v>22</x:v>
      </x:c>
      <x:c r="H66" s="203" t="n">
        <x:v>2024</x:v>
      </x:c>
      <x:c r="I66" s="193" t="n">
        <x:v>22</x:v>
      </x:c>
    </x:row>
    <x:row r="67">
      <x:c r="A67" s="188" t="str">
        <x:v>T00063</x:v>
      </x:c>
      <x:c r="B67" s="189" t="str">
        <x:v>P004</x:v>
      </x:c>
      <x:c r="C67" s="189" t="str">
        <x:v>S07</x:v>
      </x:c>
      <x:c r="D67" s="189" t="str">
        <x:v>Ava Stone</x:v>
      </x:c>
      <x:c r="E67" s="189" t="str">
        <x:v>Content</x:v>
      </x:c>
      <x:c r="F67" s="190" t="n">
        <x:v>46110</x:v>
      </x:c>
      <x:c r="G67" s="189" t="n">
        <x:v>42</x:v>
      </x:c>
      <x:c r="H67" s="203" t="n">
        <x:v>2436</x:v>
      </x:c>
      <x:c r="I67" s="193" t="n">
        <x:v>42</x:v>
      </x:c>
    </x:row>
    <x:row r="68">
      <x:c r="A68" s="188" t="str">
        <x:v>T00064</x:v>
      </x:c>
      <x:c r="B68" s="189" t="str">
        <x:v>P004</x:v>
      </x:c>
      <x:c r="C68" s="189" t="str">
        <x:v>S08</x:v>
      </x:c>
      <x:c r="D68" s="189" t="str">
        <x:v>Theo King</x:v>
      </x:c>
      <x:c r="E68" s="189" t="str">
        <x:v>Analytics</x:v>
      </x:c>
      <x:c r="F68" s="190" t="n">
        <x:v>46050</x:v>
      </x:c>
      <x:c r="G68" s="189" t="n">
        <x:v>36</x:v>
      </x:c>
      <x:c r="H68" s="203" t="n">
        <x:v>2808</x:v>
      </x:c>
      <x:c r="I68" s="193" t="n">
        <x:v>36</x:v>
      </x:c>
    </x:row>
    <x:row r="69">
      <x:c r="A69" s="188" t="str">
        <x:v>T00065</x:v>
      </x:c>
      <x:c r="B69" s="189" t="str">
        <x:v>P004</x:v>
      </x:c>
      <x:c r="C69" s="189" t="str">
        <x:v>S09</x:v>
      </x:c>
      <x:c r="D69" s="189" t="str">
        <x:v>Emma Hayes</x:v>
      </x:c>
      <x:c r="E69" s="189" t="str">
        <x:v>Design</x:v>
      </x:c>
      <x:c r="F69" s="190" t="n">
        <x:v>46038</x:v>
      </x:c>
      <x:c r="G69" s="189" t="n">
        <x:v>35</x:v>
      </x:c>
      <x:c r="H69" s="203" t="n">
        <x:v>2380</x:v>
      </x:c>
      <x:c r="I69" s="193" t="n">
        <x:v>35</x:v>
      </x:c>
    </x:row>
    <x:row r="70">
      <x:c r="A70" s="188" t="str">
        <x:v>T00066</x:v>
      </x:c>
      <x:c r="B70" s="189" t="str">
        <x:v>P004</x:v>
      </x:c>
      <x:c r="C70" s="189" t="str">
        <x:v>S10</x:v>
      </x:c>
      <x:c r="D70" s="189" t="str">
        <x:v>Noah Reed</x:v>
      </x:c>
      <x:c r="E70" s="189" t="str">
        <x:v>Strategy</x:v>
      </x:c>
      <x:c r="F70" s="190" t="n">
        <x:v>46060</x:v>
      </x:c>
      <x:c r="G70" s="189" t="n">
        <x:v>18</x:v>
      </x:c>
      <x:c r="H70" s="203" t="n">
        <x:v>1620</x:v>
      </x:c>
      <x:c r="I70" s="193" t="n">
        <x:v>18</x:v>
      </x:c>
    </x:row>
    <x:row r="71">
      <x:c r="A71" s="188" t="str">
        <x:v>T00067</x:v>
      </x:c>
      <x:c r="B71" s="189" t="str">
        <x:v>P005</x:v>
      </x:c>
      <x:c r="C71" s="189" t="str">
        <x:v>S05</x:v>
      </x:c>
      <x:c r="D71" s="189" t="str">
        <x:v>Sara Lin</x:v>
      </x:c>
      <x:c r="E71" s="189" t="str">
        <x:v>Project Management</x:v>
      </x:c>
      <x:c r="F71" s="190" t="n">
        <x:v>46063</x:v>
      </x:c>
      <x:c r="G71" s="189" t="n">
        <x:v>17</x:v>
      </x:c>
      <x:c r="H71" s="203" t="n">
        <x:v>1190</x:v>
      </x:c>
      <x:c r="I71" s="193" t="n">
        <x:v>17</x:v>
      </x:c>
    </x:row>
    <x:row r="72">
      <x:c r="A72" s="188" t="str">
        <x:v>T00068</x:v>
      </x:c>
      <x:c r="B72" s="189" t="str">
        <x:v>P005</x:v>
      </x:c>
      <x:c r="C72" s="189" t="str">
        <x:v>S06</x:v>
      </x:c>
      <x:c r="D72" s="189" t="str">
        <x:v>Leo Martin</x:v>
      </x:c>
      <x:c r="E72" s="189" t="str">
        <x:v>Development</x:v>
      </x:c>
      <x:c r="F72" s="190" t="n">
        <x:v>46116</x:v>
      </x:c>
      <x:c r="G72" s="189" t="n">
        <x:v>12</x:v>
      </x:c>
      <x:c r="H72" s="203" t="n">
        <x:v>1104</x:v>
      </x:c>
      <x:c r="I72" s="193" t="n">
        <x:v>12</x:v>
      </x:c>
    </x:row>
    <x:row r="73">
      <x:c r="A73" s="188" t="str">
        <x:v>T00069</x:v>
      </x:c>
      <x:c r="B73" s="189" t="str">
        <x:v>P005</x:v>
      </x:c>
      <x:c r="C73" s="189" t="str">
        <x:v>S07</x:v>
      </x:c>
      <x:c r="D73" s="189" t="str">
        <x:v>Ava Stone</x:v>
      </x:c>
      <x:c r="E73" s="189" t="str">
        <x:v>Content</x:v>
      </x:c>
      <x:c r="F73" s="190" t="n">
        <x:v>46083</x:v>
      </x:c>
      <x:c r="G73" s="189" t="n">
        <x:v>11</x:v>
      </x:c>
      <x:c r="H73" s="203" t="n">
        <x:v>638</x:v>
      </x:c>
      <x:c r="I73" s="193" t="n">
        <x:v>11</x:v>
      </x:c>
    </x:row>
    <x:row r="74">
      <x:c r="A74" s="188" t="str">
        <x:v>T00070</x:v>
      </x:c>
      <x:c r="B74" s="189" t="str">
        <x:v>P005</x:v>
      </x:c>
      <x:c r="C74" s="189" t="str">
        <x:v>S08</x:v>
      </x:c>
      <x:c r="D74" s="189" t="str">
        <x:v>Theo King</x:v>
      </x:c>
      <x:c r="E74" s="189" t="str">
        <x:v>Analytics</x:v>
      </x:c>
      <x:c r="F74" s="190" t="n">
        <x:v>46114</x:v>
      </x:c>
      <x:c r="G74" s="189" t="n">
        <x:v>20</x:v>
      </x:c>
      <x:c r="H74" s="203" t="n">
        <x:v>1560</x:v>
      </x:c>
      <x:c r="I74" s="193" t="n">
        <x:v>0</x:v>
      </x:c>
    </x:row>
    <x:row r="75">
      <x:c r="A75" s="188" t="str">
        <x:v>T00071</x:v>
      </x:c>
      <x:c r="B75" s="189" t="str">
        <x:v>P005</x:v>
      </x:c>
      <x:c r="C75" s="189" t="str">
        <x:v>S09</x:v>
      </x:c>
      <x:c r="D75" s="189" t="str">
        <x:v>Emma Hayes</x:v>
      </x:c>
      <x:c r="E75" s="189" t="str">
        <x:v>Design</x:v>
      </x:c>
      <x:c r="F75" s="190" t="n">
        <x:v>46113</x:v>
      </x:c>
      <x:c r="G75" s="189" t="n">
        <x:v>18</x:v>
      </x:c>
      <x:c r="H75" s="203" t="n">
        <x:v>1224</x:v>
      </x:c>
      <x:c r="I75" s="193" t="n">
        <x:v>0</x:v>
      </x:c>
    </x:row>
    <x:row r="76">
      <x:c r="A76" s="188" t="str">
        <x:v>T00072</x:v>
      </x:c>
      <x:c r="B76" s="189" t="str">
        <x:v>P005</x:v>
      </x:c>
      <x:c r="C76" s="189" t="str">
        <x:v>S10</x:v>
      </x:c>
      <x:c r="D76" s="189" t="str">
        <x:v>Noah Reed</x:v>
      </x:c>
      <x:c r="E76" s="189" t="str">
        <x:v>Strategy</x:v>
      </x:c>
      <x:c r="F76" s="190" t="n">
        <x:v>46094</x:v>
      </x:c>
      <x:c r="G76" s="189" t="n">
        <x:v>13</x:v>
      </x:c>
      <x:c r="H76" s="203" t="n">
        <x:v>1170</x:v>
      </x:c>
      <x:c r="I76" s="193" t="n">
        <x:v>0</x:v>
      </x:c>
    </x:row>
    <x:row r="77">
      <x:c r="A77" s="188" t="str">
        <x:v>T00073</x:v>
      </x:c>
      <x:c r="B77" s="189" t="str">
        <x:v>P005</x:v>
      </x:c>
      <x:c r="C77" s="189" t="str">
        <x:v>S01</x:v>
      </x:c>
      <x:c r="D77" s="189" t="str">
        <x:v>Maya Chen</x:v>
      </x:c>
      <x:c r="E77" s="189" t="str">
        <x:v>Strategy</x:v>
      </x:c>
      <x:c r="F77" s="190" t="n">
        <x:v>46083</x:v>
      </x:c>
      <x:c r="G77" s="189" t="n">
        <x:v>16</x:v>
      </x:c>
      <x:c r="H77" s="203" t="n">
        <x:v>1520</x:v>
      </x:c>
      <x:c r="I77" s="193" t="n">
        <x:v>16</x:v>
      </x:c>
    </x:row>
    <x:row r="78">
      <x:c r="A78" s="188" t="str">
        <x:v>T00074</x:v>
      </x:c>
      <x:c r="B78" s="189" t="str">
        <x:v>P005</x:v>
      </x:c>
      <x:c r="C78" s="189" t="str">
        <x:v>S02</x:v>
      </x:c>
      <x:c r="D78" s="189" t="str">
        <x:v>Elias Ward</x:v>
      </x:c>
      <x:c r="E78" s="189" t="str">
        <x:v>Design</x:v>
      </x:c>
      <x:c r="F78" s="190" t="n">
        <x:v>46105</x:v>
      </x:c>
      <x:c r="G78" s="189" t="n">
        <x:v>14</x:v>
      </x:c>
      <x:c r="H78" s="203" t="n">
        <x:v>1008</x:v>
      </x:c>
      <x:c r="I78" s="193" t="n">
        <x:v>14</x:v>
      </x:c>
    </x:row>
    <x:row r="79">
      <x:c r="A79" s="188" t="str">
        <x:v>T00075</x:v>
      </x:c>
      <x:c r="B79" s="189" t="str">
        <x:v>P005</x:v>
      </x:c>
      <x:c r="C79" s="189" t="str">
        <x:v>S03</x:v>
      </x:c>
      <x:c r="D79" s="189" t="str">
        <x:v>Nora Patel</x:v>
      </x:c>
      <x:c r="E79" s="189" t="str">
        <x:v>Analytics</x:v>
      </x:c>
      <x:c r="F79" s="190" t="n">
        <x:v>46069</x:v>
      </x:c>
      <x:c r="G79" s="189" t="n">
        <x:v>11</x:v>
      </x:c>
      <x:c r="H79" s="203" t="n">
        <x:v>902</x:v>
      </x:c>
      <x:c r="I79" s="193" t="n">
        <x:v>11</x:v>
      </x:c>
    </x:row>
    <x:row r="80">
      <x:c r="A80" s="188" t="str">
        <x:v>T00076</x:v>
      </x:c>
      <x:c r="B80" s="189" t="str">
        <x:v>P005</x:v>
      </x:c>
      <x:c r="C80" s="189" t="str">
        <x:v>S04</x:v>
      </x:c>
      <x:c r="D80" s="189" t="str">
        <x:v>Owen Brooks</x:v>
      </x:c>
      <x:c r="E80" s="189" t="str">
        <x:v>Development</x:v>
      </x:c>
      <x:c r="F80" s="190" t="n">
        <x:v>46077</x:v>
      </x:c>
      <x:c r="G80" s="189" t="n">
        <x:v>18</x:v>
      </x:c>
      <x:c r="H80" s="203" t="n">
        <x:v>1584</x:v>
      </x:c>
      <x:c r="I80" s="193" t="n">
        <x:v>0</x:v>
      </x:c>
    </x:row>
    <x:row r="81">
      <x:c r="A81" s="188" t="str">
        <x:v>T00077</x:v>
      </x:c>
      <x:c r="B81" s="189" t="str">
        <x:v>P005</x:v>
      </x:c>
      <x:c r="C81" s="189" t="str">
        <x:v>S05</x:v>
      </x:c>
      <x:c r="D81" s="189" t="str">
        <x:v>Sara Lin</x:v>
      </x:c>
      <x:c r="E81" s="189" t="str">
        <x:v>Project Management</x:v>
      </x:c>
      <x:c r="F81" s="190" t="n">
        <x:v>46084</x:v>
      </x:c>
      <x:c r="G81" s="189" t="n">
        <x:v>20</x:v>
      </x:c>
      <x:c r="H81" s="203" t="n">
        <x:v>1400</x:v>
      </x:c>
      <x:c r="I81" s="193" t="n">
        <x:v>20</x:v>
      </x:c>
    </x:row>
    <x:row r="82">
      <x:c r="A82" s="188" t="str">
        <x:v>T00078</x:v>
      </x:c>
      <x:c r="B82" s="189" t="str">
        <x:v>P005</x:v>
      </x:c>
      <x:c r="C82" s="189" t="str">
        <x:v>S06</x:v>
      </x:c>
      <x:c r="D82" s="189" t="str">
        <x:v>Leo Martin</x:v>
      </x:c>
      <x:c r="E82" s="189" t="str">
        <x:v>Development</x:v>
      </x:c>
      <x:c r="F82" s="190" t="n">
        <x:v>46080</x:v>
      </x:c>
      <x:c r="G82" s="189" t="n">
        <x:v>16</x:v>
      </x:c>
      <x:c r="H82" s="203" t="n">
        <x:v>1472</x:v>
      </x:c>
      <x:c r="I82" s="193" t="n">
        <x:v>16</x:v>
      </x:c>
    </x:row>
    <x:row r="83">
      <x:c r="A83" s="188" t="str">
        <x:v>T00079</x:v>
      </x:c>
      <x:c r="B83" s="189" t="str">
        <x:v>P006</x:v>
      </x:c>
      <x:c r="C83" s="189" t="str">
        <x:v>S06</x:v>
      </x:c>
      <x:c r="D83" s="189" t="str">
        <x:v>Leo Martin</x:v>
      </x:c>
      <x:c r="E83" s="189" t="str">
        <x:v>Development</x:v>
      </x:c>
      <x:c r="F83" s="190" t="n">
        <x:v>46096</x:v>
      </x:c>
      <x:c r="G83" s="189" t="n">
        <x:v>29</x:v>
      </x:c>
      <x:c r="H83" s="203" t="n">
        <x:v>2668</x:v>
      </x:c>
      <x:c r="I83" s="193" t="n">
        <x:v>0</x:v>
      </x:c>
    </x:row>
    <x:row r="84">
      <x:c r="A84" s="188" t="str">
        <x:v>T00080</x:v>
      </x:c>
      <x:c r="B84" s="189" t="str">
        <x:v>P006</x:v>
      </x:c>
      <x:c r="C84" s="189" t="str">
        <x:v>S07</x:v>
      </x:c>
      <x:c r="D84" s="189" t="str">
        <x:v>Ava Stone</x:v>
      </x:c>
      <x:c r="E84" s="189" t="str">
        <x:v>Content</x:v>
      </x:c>
      <x:c r="F84" s="190" t="n">
        <x:v>46161</x:v>
      </x:c>
      <x:c r="G84" s="189" t="n">
        <x:v>28</x:v>
      </x:c>
      <x:c r="H84" s="203" t="n">
        <x:v>1624</x:v>
      </x:c>
      <x:c r="I84" s="193" t="n">
        <x:v>28</x:v>
      </x:c>
    </x:row>
    <x:row r="85">
      <x:c r="A85" s="188" t="str">
        <x:v>T00081</x:v>
      </x:c>
      <x:c r="B85" s="189" t="str">
        <x:v>P006</x:v>
      </x:c>
      <x:c r="C85" s="189" t="str">
        <x:v>S08</x:v>
      </x:c>
      <x:c r="D85" s="189" t="str">
        <x:v>Theo King</x:v>
      </x:c>
      <x:c r="E85" s="189" t="str">
        <x:v>Analytics</x:v>
      </x:c>
      <x:c r="F85" s="190" t="n">
        <x:v>46075</x:v>
      </x:c>
      <x:c r="G85" s="189" t="n">
        <x:v>23</x:v>
      </x:c>
      <x:c r="H85" s="203" t="n">
        <x:v>1794</x:v>
      </x:c>
      <x:c r="I85" s="193" t="n">
        <x:v>0</x:v>
      </x:c>
    </x:row>
    <x:row r="86">
      <x:c r="A86" s="188" t="str">
        <x:v>T00082</x:v>
      </x:c>
      <x:c r="B86" s="189" t="str">
        <x:v>P006</x:v>
      </x:c>
      <x:c r="C86" s="189" t="str">
        <x:v>S09</x:v>
      </x:c>
      <x:c r="D86" s="189" t="str">
        <x:v>Emma Hayes</x:v>
      </x:c>
      <x:c r="E86" s="189" t="str">
        <x:v>Design</x:v>
      </x:c>
      <x:c r="F86" s="190" t="n">
        <x:v>46143</x:v>
      </x:c>
      <x:c r="G86" s="189" t="n">
        <x:v>23</x:v>
      </x:c>
      <x:c r="H86" s="203" t="n">
        <x:v>1564</x:v>
      </x:c>
      <x:c r="I86" s="193" t="n">
        <x:v>23</x:v>
      </x:c>
    </x:row>
    <x:row r="87">
      <x:c r="A87" s="188" t="str">
        <x:v>T00083</x:v>
      </x:c>
      <x:c r="B87" s="189" t="str">
        <x:v>P006</x:v>
      </x:c>
      <x:c r="C87" s="189" t="str">
        <x:v>S10</x:v>
      </x:c>
      <x:c r="D87" s="189" t="str">
        <x:v>Noah Reed</x:v>
      </x:c>
      <x:c r="E87" s="189" t="str">
        <x:v>Strategy</x:v>
      </x:c>
      <x:c r="F87" s="190" t="n">
        <x:v>46090</x:v>
      </x:c>
      <x:c r="G87" s="189" t="n">
        <x:v>28</x:v>
      </x:c>
      <x:c r="H87" s="203" t="n">
        <x:v>2520</x:v>
      </x:c>
      <x:c r="I87" s="193" t="n">
        <x:v>28</x:v>
      </x:c>
    </x:row>
    <x:row r="88">
      <x:c r="A88" s="188" t="str">
        <x:v>T00084</x:v>
      </x:c>
      <x:c r="B88" s="189" t="str">
        <x:v>P006</x:v>
      </x:c>
      <x:c r="C88" s="189" t="str">
        <x:v>S01</x:v>
      </x:c>
      <x:c r="D88" s="189" t="str">
        <x:v>Maya Chen</x:v>
      </x:c>
      <x:c r="E88" s="189" t="str">
        <x:v>Strategy</x:v>
      </x:c>
      <x:c r="F88" s="190" t="n">
        <x:v>46136</x:v>
      </x:c>
      <x:c r="G88" s="189" t="n">
        <x:v>16</x:v>
      </x:c>
      <x:c r="H88" s="203" t="n">
        <x:v>1520</x:v>
      </x:c>
      <x:c r="I88" s="193" t="n">
        <x:v>16</x:v>
      </x:c>
    </x:row>
    <x:row r="89">
      <x:c r="A89" s="188" t="str">
        <x:v>T00085</x:v>
      </x:c>
      <x:c r="B89" s="189" t="str">
        <x:v>P006</x:v>
      </x:c>
      <x:c r="C89" s="189" t="str">
        <x:v>S02</x:v>
      </x:c>
      <x:c r="D89" s="189" t="str">
        <x:v>Elias Ward</x:v>
      </x:c>
      <x:c r="E89" s="189" t="str">
        <x:v>Design</x:v>
      </x:c>
      <x:c r="F89" s="190" t="n">
        <x:v>46131</x:v>
      </x:c>
      <x:c r="G89" s="189" t="n">
        <x:v>18</x:v>
      </x:c>
      <x:c r="H89" s="203" t="n">
        <x:v>1296</x:v>
      </x:c>
      <x:c r="I89" s="193" t="n">
        <x:v>18</x:v>
      </x:c>
    </x:row>
    <x:row r="90">
      <x:c r="A90" s="188" t="str">
        <x:v>T00086</x:v>
      </x:c>
      <x:c r="B90" s="189" t="str">
        <x:v>P006</x:v>
      </x:c>
      <x:c r="C90" s="189" t="str">
        <x:v>S03</x:v>
      </x:c>
      <x:c r="D90" s="189" t="str">
        <x:v>Nora Patel</x:v>
      </x:c>
      <x:c r="E90" s="189" t="str">
        <x:v>Analytics</x:v>
      </x:c>
      <x:c r="F90" s="190" t="n">
        <x:v>46131</x:v>
      </x:c>
      <x:c r="G90" s="189" t="n">
        <x:v>24</x:v>
      </x:c>
      <x:c r="H90" s="203" t="n">
        <x:v>1968</x:v>
      </x:c>
      <x:c r="I90" s="193" t="n">
        <x:v>24</x:v>
      </x:c>
    </x:row>
    <x:row r="91">
      <x:c r="A91" s="188" t="str">
        <x:v>T00087</x:v>
      </x:c>
      <x:c r="B91" s="189" t="str">
        <x:v>P006</x:v>
      </x:c>
      <x:c r="C91" s="189" t="str">
        <x:v>S04</x:v>
      </x:c>
      <x:c r="D91" s="189" t="str">
        <x:v>Owen Brooks</x:v>
      </x:c>
      <x:c r="E91" s="189" t="str">
        <x:v>Development</x:v>
      </x:c>
      <x:c r="F91" s="190" t="n">
        <x:v>46091</x:v>
      </x:c>
      <x:c r="G91" s="189" t="n">
        <x:v>17</x:v>
      </x:c>
      <x:c r="H91" s="203" t="n">
        <x:v>1496</x:v>
      </x:c>
      <x:c r="I91" s="193" t="n">
        <x:v>17</x:v>
      </x:c>
    </x:row>
    <x:row r="92">
      <x:c r="A92" s="188" t="str">
        <x:v>T00088</x:v>
      </x:c>
      <x:c r="B92" s="189" t="str">
        <x:v>P006</x:v>
      </x:c>
      <x:c r="C92" s="189" t="str">
        <x:v>S05</x:v>
      </x:c>
      <x:c r="D92" s="189" t="str">
        <x:v>Sara Lin</x:v>
      </x:c>
      <x:c r="E92" s="189" t="str">
        <x:v>Project Management</x:v>
      </x:c>
      <x:c r="F92" s="190" t="n">
        <x:v>46076</x:v>
      </x:c>
      <x:c r="G92" s="189" t="n">
        <x:v>29</x:v>
      </x:c>
      <x:c r="H92" s="203" t="n">
        <x:v>2030</x:v>
      </x:c>
      <x:c r="I92" s="193" t="n">
        <x:v>29</x:v>
      </x:c>
    </x:row>
    <x:row r="93">
      <x:c r="A93" s="188" t="str">
        <x:v>T00089</x:v>
      </x:c>
      <x:c r="B93" s="189" t="str">
        <x:v>P006</x:v>
      </x:c>
      <x:c r="C93" s="189" t="str">
        <x:v>S06</x:v>
      </x:c>
      <x:c r="D93" s="189" t="str">
        <x:v>Leo Martin</x:v>
      </x:c>
      <x:c r="E93" s="189" t="str">
        <x:v>Development</x:v>
      </x:c>
      <x:c r="F93" s="190" t="n">
        <x:v>46059</x:v>
      </x:c>
      <x:c r="G93" s="189" t="n">
        <x:v>22</x:v>
      </x:c>
      <x:c r="H93" s="203" t="n">
        <x:v>2024</x:v>
      </x:c>
      <x:c r="I93" s="193" t="n">
        <x:v>22</x:v>
      </x:c>
    </x:row>
    <x:row r="94">
      <x:c r="A94" s="188" t="str">
        <x:v>T00090</x:v>
      </x:c>
      <x:c r="B94" s="189" t="str">
        <x:v>P006</x:v>
      </x:c>
      <x:c r="C94" s="189" t="str">
        <x:v>S07</x:v>
      </x:c>
      <x:c r="D94" s="189" t="str">
        <x:v>Ava Stone</x:v>
      </x:c>
      <x:c r="E94" s="189" t="str">
        <x:v>Content</x:v>
      </x:c>
      <x:c r="F94" s="190" t="n">
        <x:v>46099</x:v>
      </x:c>
      <x:c r="G94" s="189" t="n">
        <x:v>19</x:v>
      </x:c>
      <x:c r="H94" s="203" t="n">
        <x:v>1102</x:v>
      </x:c>
      <x:c r="I94" s="193" t="n">
        <x:v>19</x:v>
      </x:c>
    </x:row>
    <x:row r="95">
      <x:c r="A95" s="188" t="str">
        <x:v>T00091</x:v>
      </x:c>
      <x:c r="B95" s="189" t="str">
        <x:v>P006</x:v>
      </x:c>
      <x:c r="C95" s="189" t="str">
        <x:v>S08</x:v>
      </x:c>
      <x:c r="D95" s="189" t="str">
        <x:v>Theo King</x:v>
      </x:c>
      <x:c r="E95" s="189" t="str">
        <x:v>Analytics</x:v>
      </x:c>
      <x:c r="F95" s="190" t="n">
        <x:v>46091</x:v>
      </x:c>
      <x:c r="G95" s="189" t="n">
        <x:v>23</x:v>
      </x:c>
      <x:c r="H95" s="203" t="n">
        <x:v>1794</x:v>
      </x:c>
      <x:c r="I95" s="193" t="n">
        <x:v>23</x:v>
      </x:c>
    </x:row>
    <x:row r="96">
      <x:c r="A96" s="188" t="str">
        <x:v>T00092</x:v>
      </x:c>
      <x:c r="B96" s="189" t="str">
        <x:v>P006</x:v>
      </x:c>
      <x:c r="C96" s="189" t="str">
        <x:v>S09</x:v>
      </x:c>
      <x:c r="D96" s="189" t="str">
        <x:v>Emma Hayes</x:v>
      </x:c>
      <x:c r="E96" s="189" t="str">
        <x:v>Design</x:v>
      </x:c>
      <x:c r="F96" s="190" t="n">
        <x:v>46111</x:v>
      </x:c>
      <x:c r="G96" s="189" t="n">
        <x:v>43</x:v>
      </x:c>
      <x:c r="H96" s="203" t="n">
        <x:v>2924</x:v>
      </x:c>
      <x:c r="I96" s="193" t="n">
        <x:v>0</x:v>
      </x:c>
    </x:row>
    <x:row r="97">
      <x:c r="A97" s="188" t="str">
        <x:v>T00093</x:v>
      </x:c>
      <x:c r="B97" s="189" t="str">
        <x:v>P007</x:v>
      </x:c>
      <x:c r="C97" s="189" t="str">
        <x:v>S07</x:v>
      </x:c>
      <x:c r="D97" s="189" t="str">
        <x:v>Ava Stone</x:v>
      </x:c>
      <x:c r="E97" s="189" t="str">
        <x:v>Content</x:v>
      </x:c>
      <x:c r="F97" s="190" t="n">
        <x:v>46073</x:v>
      </x:c>
      <x:c r="G97" s="189" t="n">
        <x:v>33</x:v>
      </x:c>
      <x:c r="H97" s="203" t="n">
        <x:v>1914</x:v>
      </x:c>
      <x:c r="I97" s="193" t="n">
        <x:v>33</x:v>
      </x:c>
    </x:row>
    <x:row r="98">
      <x:c r="A98" s="188" t="str">
        <x:v>T00094</x:v>
      </x:c>
      <x:c r="B98" s="189" t="str">
        <x:v>P007</x:v>
      </x:c>
      <x:c r="C98" s="189" t="str">
        <x:v>S08</x:v>
      </x:c>
      <x:c r="D98" s="189" t="str">
        <x:v>Theo King</x:v>
      </x:c>
      <x:c r="E98" s="189" t="str">
        <x:v>Analytics</x:v>
      </x:c>
      <x:c r="F98" s="190" t="n">
        <x:v>46087</x:v>
      </x:c>
      <x:c r="G98" s="189" t="n">
        <x:v>22</x:v>
      </x:c>
      <x:c r="H98" s="203" t="n">
        <x:v>1716</x:v>
      </x:c>
      <x:c r="I98" s="193" t="n">
        <x:v>22</x:v>
      </x:c>
    </x:row>
    <x:row r="99">
      <x:c r="A99" s="188" t="str">
        <x:v>T00095</x:v>
      </x:c>
      <x:c r="B99" s="189" t="str">
        <x:v>P007</x:v>
      </x:c>
      <x:c r="C99" s="189" t="str">
        <x:v>S09</x:v>
      </x:c>
      <x:c r="D99" s="189" t="str">
        <x:v>Emma Hayes</x:v>
      </x:c>
      <x:c r="E99" s="189" t="str">
        <x:v>Design</x:v>
      </x:c>
      <x:c r="F99" s="190" t="n">
        <x:v>46120</x:v>
      </x:c>
      <x:c r="G99" s="189" t="n">
        <x:v>25</x:v>
      </x:c>
      <x:c r="H99" s="203" t="n">
        <x:v>1700</x:v>
      </x:c>
      <x:c r="I99" s="193" t="n">
        <x:v>0</x:v>
      </x:c>
    </x:row>
    <x:row r="100">
      <x:c r="A100" s="188" t="str">
        <x:v>T00096</x:v>
      </x:c>
      <x:c r="B100" s="189" t="str">
        <x:v>P007</x:v>
      </x:c>
      <x:c r="C100" s="189" t="str">
        <x:v>S10</x:v>
      </x:c>
      <x:c r="D100" s="189" t="str">
        <x:v>Noah Reed</x:v>
      </x:c>
      <x:c r="E100" s="189" t="str">
        <x:v>Strategy</x:v>
      </x:c>
      <x:c r="F100" s="190" t="n">
        <x:v>46068</x:v>
      </x:c>
      <x:c r="G100" s="189" t="n">
        <x:v>41</x:v>
      </x:c>
      <x:c r="H100" s="203" t="n">
        <x:v>3690</x:v>
      </x:c>
      <x:c r="I100" s="193" t="n">
        <x:v>41</x:v>
      </x:c>
    </x:row>
    <x:row r="101">
      <x:c r="A101" s="188" t="str">
        <x:v>T00097</x:v>
      </x:c>
      <x:c r="B101" s="189" t="str">
        <x:v>P007</x:v>
      </x:c>
      <x:c r="C101" s="189" t="str">
        <x:v>S01</x:v>
      </x:c>
      <x:c r="D101" s="189" t="str">
        <x:v>Maya Chen</x:v>
      </x:c>
      <x:c r="E101" s="189" t="str">
        <x:v>Strategy</x:v>
      </x:c>
      <x:c r="F101" s="190" t="n">
        <x:v>46069</x:v>
      </x:c>
      <x:c r="G101" s="189" t="n">
        <x:v>37</x:v>
      </x:c>
      <x:c r="H101" s="203" t="n">
        <x:v>3515</x:v>
      </x:c>
      <x:c r="I101" s="193" t="n">
        <x:v>37</x:v>
      </x:c>
    </x:row>
    <x:row r="102">
      <x:c r="A102" s="188" t="str">
        <x:v>T00098</x:v>
      </x:c>
      <x:c r="B102" s="189" t="str">
        <x:v>P007</x:v>
      </x:c>
      <x:c r="C102" s="189" t="str">
        <x:v>S02</x:v>
      </x:c>
      <x:c r="D102" s="189" t="str">
        <x:v>Elias Ward</x:v>
      </x:c>
      <x:c r="E102" s="189" t="str">
        <x:v>Design</x:v>
      </x:c>
      <x:c r="F102" s="190" t="n">
        <x:v>46107</x:v>
      </x:c>
      <x:c r="G102" s="189" t="n">
        <x:v>31</x:v>
      </x:c>
      <x:c r="H102" s="203" t="n">
        <x:v>2232</x:v>
      </x:c>
      <x:c r="I102" s="193" t="n">
        <x:v>31</x:v>
      </x:c>
    </x:row>
    <x:row r="103">
      <x:c r="A103" s="188" t="str">
        <x:v>T00099</x:v>
      </x:c>
      <x:c r="B103" s="189" t="str">
        <x:v>P007</x:v>
      </x:c>
      <x:c r="C103" s="189" t="str">
        <x:v>S03</x:v>
      </x:c>
      <x:c r="D103" s="189" t="str">
        <x:v>Nora Patel</x:v>
      </x:c>
      <x:c r="E103" s="189" t="str">
        <x:v>Analytics</x:v>
      </x:c>
      <x:c r="F103" s="190" t="n">
        <x:v>46086</x:v>
      </x:c>
      <x:c r="G103" s="189" t="n">
        <x:v>24</x:v>
      </x:c>
      <x:c r="H103" s="203" t="n">
        <x:v>1968</x:v>
      </x:c>
      <x:c r="I103" s="193" t="n">
        <x:v>24</x:v>
      </x:c>
    </x:row>
    <x:row r="104">
      <x:c r="A104" s="188" t="str">
        <x:v>T00100</x:v>
      </x:c>
      <x:c r="B104" s="189" t="str">
        <x:v>P007</x:v>
      </x:c>
      <x:c r="C104" s="189" t="str">
        <x:v>S04</x:v>
      </x:c>
      <x:c r="D104" s="189" t="str">
        <x:v>Owen Brooks</x:v>
      </x:c>
      <x:c r="E104" s="189" t="str">
        <x:v>Development</x:v>
      </x:c>
      <x:c r="F104" s="190" t="n">
        <x:v>46064</x:v>
      </x:c>
      <x:c r="G104" s="189" t="n">
        <x:v>35</x:v>
      </x:c>
      <x:c r="H104" s="203" t="n">
        <x:v>3080</x:v>
      </x:c>
      <x:c r="I104" s="193" t="n">
        <x:v>35</x:v>
      </x:c>
    </x:row>
    <x:row r="105">
      <x:c r="A105" s="188" t="str">
        <x:v>T00101</x:v>
      </x:c>
      <x:c r="B105" s="189" t="str">
        <x:v>P007</x:v>
      </x:c>
      <x:c r="C105" s="189" t="str">
        <x:v>S05</x:v>
      </x:c>
      <x:c r="D105" s="189" t="str">
        <x:v>Sara Lin</x:v>
      </x:c>
      <x:c r="E105" s="189" t="str">
        <x:v>Project Management</x:v>
      </x:c>
      <x:c r="F105" s="190" t="n">
        <x:v>46088</x:v>
      </x:c>
      <x:c r="G105" s="189" t="n">
        <x:v>30</x:v>
      </x:c>
      <x:c r="H105" s="203" t="n">
        <x:v>2100</x:v>
      </x:c>
      <x:c r="I105" s="193" t="n">
        <x:v>30</x:v>
      </x:c>
    </x:row>
    <x:row r="106">
      <x:c r="A106" s="188" t="str">
        <x:v>T00102</x:v>
      </x:c>
      <x:c r="B106" s="189" t="str">
        <x:v>P007</x:v>
      </x:c>
      <x:c r="C106" s="189" t="str">
        <x:v>S06</x:v>
      </x:c>
      <x:c r="D106" s="189" t="str">
        <x:v>Leo Martin</x:v>
      </x:c>
      <x:c r="E106" s="189" t="str">
        <x:v>Development</x:v>
      </x:c>
      <x:c r="F106" s="190" t="n">
        <x:v>46091</x:v>
      </x:c>
      <x:c r="G106" s="189" t="n">
        <x:v>22</x:v>
      </x:c>
      <x:c r="H106" s="203" t="n">
        <x:v>2024</x:v>
      </x:c>
      <x:c r="I106" s="193" t="n">
        <x:v>22</x:v>
      </x:c>
    </x:row>
    <x:row r="107">
      <x:c r="A107" s="188" t="str">
        <x:v>T00103</x:v>
      </x:c>
      <x:c r="B107" s="189" t="str">
        <x:v>P007</x:v>
      </x:c>
      <x:c r="C107" s="189" t="str">
        <x:v>S07</x:v>
      </x:c>
      <x:c r="D107" s="189" t="str">
        <x:v>Ava Stone</x:v>
      </x:c>
      <x:c r="E107" s="189" t="str">
        <x:v>Content</x:v>
      </x:c>
      <x:c r="F107" s="190" t="n">
        <x:v>46093</x:v>
      </x:c>
      <x:c r="G107" s="189" t="n">
        <x:v>36</x:v>
      </x:c>
      <x:c r="H107" s="203" t="n">
        <x:v>2088</x:v>
      </x:c>
      <x:c r="I107" s="193" t="n">
        <x:v>36</x:v>
      </x:c>
    </x:row>
    <x:row r="108">
      <x:c r="A108" s="188" t="str">
        <x:v>T00104</x:v>
      </x:c>
      <x:c r="B108" s="189" t="str">
        <x:v>P007</x:v>
      </x:c>
      <x:c r="C108" s="189" t="str">
        <x:v>S08</x:v>
      </x:c>
      <x:c r="D108" s="189" t="str">
        <x:v>Theo King</x:v>
      </x:c>
      <x:c r="E108" s="189" t="str">
        <x:v>Analytics</x:v>
      </x:c>
      <x:c r="F108" s="190" t="n">
        <x:v>46090</x:v>
      </x:c>
      <x:c r="G108" s="189" t="n">
        <x:v>26</x:v>
      </x:c>
      <x:c r="H108" s="203" t="n">
        <x:v>2028</x:v>
      </x:c>
      <x:c r="I108" s="193" t="n">
        <x:v>26</x:v>
      </x:c>
    </x:row>
    <x:row r="109">
      <x:c r="A109" s="188" t="str">
        <x:v>T00105</x:v>
      </x:c>
      <x:c r="B109" s="189" t="str">
        <x:v>P007</x:v>
      </x:c>
      <x:c r="C109" s="189" t="str">
        <x:v>S09</x:v>
      </x:c>
      <x:c r="D109" s="189" t="str">
        <x:v>Emma Hayes</x:v>
      </x:c>
      <x:c r="E109" s="189" t="str">
        <x:v>Design</x:v>
      </x:c>
      <x:c r="F109" s="190" t="n">
        <x:v>46116</x:v>
      </x:c>
      <x:c r="G109" s="189" t="n">
        <x:v>64</x:v>
      </x:c>
      <x:c r="H109" s="203" t="n">
        <x:v>4352</x:v>
      </x:c>
      <x:c r="I109" s="193" t="n">
        <x:v>64</x:v>
      </x:c>
    </x:row>
    <x:row r="110">
      <x:c r="A110" s="188" t="str">
        <x:v>T00106</x:v>
      </x:c>
      <x:c r="B110" s="189" t="str">
        <x:v>P008</x:v>
      </x:c>
      <x:c r="C110" s="189" t="str">
        <x:v>S08</x:v>
      </x:c>
      <x:c r="D110" s="189" t="str">
        <x:v>Theo King</x:v>
      </x:c>
      <x:c r="E110" s="189" t="str">
        <x:v>Analytics</x:v>
      </x:c>
      <x:c r="F110" s="190" t="n">
        <x:v>46160</x:v>
      </x:c>
      <x:c r="G110" s="189" t="n">
        <x:v>28</x:v>
      </x:c>
      <x:c r="H110" s="203" t="n">
        <x:v>2184</x:v>
      </x:c>
      <x:c r="I110" s="193" t="n">
        <x:v>28</x:v>
      </x:c>
    </x:row>
    <x:row r="111">
      <x:c r="A111" s="188" t="str">
        <x:v>T00107</x:v>
      </x:c>
      <x:c r="B111" s="189" t="str">
        <x:v>P008</x:v>
      </x:c>
      <x:c r="C111" s="189" t="str">
        <x:v>S09</x:v>
      </x:c>
      <x:c r="D111" s="189" t="str">
        <x:v>Emma Hayes</x:v>
      </x:c>
      <x:c r="E111" s="189" t="str">
        <x:v>Design</x:v>
      </x:c>
      <x:c r="F111" s="190" t="n">
        <x:v>46139</x:v>
      </x:c>
      <x:c r="G111" s="189" t="n">
        <x:v>27</x:v>
      </x:c>
      <x:c r="H111" s="203" t="n">
        <x:v>1836</x:v>
      </x:c>
      <x:c r="I111" s="193" t="n">
        <x:v>27</x:v>
      </x:c>
    </x:row>
    <x:row r="112">
      <x:c r="A112" s="188" t="str">
        <x:v>T00108</x:v>
      </x:c>
      <x:c r="B112" s="189" t="str">
        <x:v>P008</x:v>
      </x:c>
      <x:c r="C112" s="189" t="str">
        <x:v>S10</x:v>
      </x:c>
      <x:c r="D112" s="189" t="str">
        <x:v>Noah Reed</x:v>
      </x:c>
      <x:c r="E112" s="189" t="str">
        <x:v>Strategy</x:v>
      </x:c>
      <x:c r="F112" s="190" t="n">
        <x:v>46126</x:v>
      </x:c>
      <x:c r="G112" s="189" t="n">
        <x:v>36</x:v>
      </x:c>
      <x:c r="H112" s="203" t="n">
        <x:v>3240</x:v>
      </x:c>
      <x:c r="I112" s="193" t="n">
        <x:v>36</x:v>
      </x:c>
    </x:row>
    <x:row r="113">
      <x:c r="A113" s="188" t="str">
        <x:v>T00109</x:v>
      </x:c>
      <x:c r="B113" s="189" t="str">
        <x:v>P008</x:v>
      </x:c>
      <x:c r="C113" s="189" t="str">
        <x:v>S01</x:v>
      </x:c>
      <x:c r="D113" s="189" t="str">
        <x:v>Maya Chen</x:v>
      </x:c>
      <x:c r="E113" s="189" t="str">
        <x:v>Strategy</x:v>
      </x:c>
      <x:c r="F113" s="190" t="n">
        <x:v>46109</x:v>
      </x:c>
      <x:c r="G113" s="189" t="n">
        <x:v>31</x:v>
      </x:c>
      <x:c r="H113" s="203" t="n">
        <x:v>2945</x:v>
      </x:c>
      <x:c r="I113" s="193" t="n">
        <x:v>31</x:v>
      </x:c>
    </x:row>
    <x:row r="114">
      <x:c r="A114" s="188" t="str">
        <x:v>T00110</x:v>
      </x:c>
      <x:c r="B114" s="189" t="str">
        <x:v>P008</x:v>
      </x:c>
      <x:c r="C114" s="189" t="str">
        <x:v>S02</x:v>
      </x:c>
      <x:c r="D114" s="189" t="str">
        <x:v>Elias Ward</x:v>
      </x:c>
      <x:c r="E114" s="189" t="str">
        <x:v>Design</x:v>
      </x:c>
      <x:c r="F114" s="190" t="n">
        <x:v>46105</x:v>
      </x:c>
      <x:c r="G114" s="189" t="n">
        <x:v>26</x:v>
      </x:c>
      <x:c r="H114" s="203" t="n">
        <x:v>1872</x:v>
      </x:c>
      <x:c r="I114" s="193" t="n">
        <x:v>26</x:v>
      </x:c>
    </x:row>
    <x:row r="115">
      <x:c r="A115" s="188" t="str">
        <x:v>T00111</x:v>
      </x:c>
      <x:c r="B115" s="189" t="str">
        <x:v>P008</x:v>
      </x:c>
      <x:c r="C115" s="189" t="str">
        <x:v>S03</x:v>
      </x:c>
      <x:c r="D115" s="189" t="str">
        <x:v>Nora Patel</x:v>
      </x:c>
      <x:c r="E115" s="189" t="str">
        <x:v>Analytics</x:v>
      </x:c>
      <x:c r="F115" s="190" t="n">
        <x:v>46084</x:v>
      </x:c>
      <x:c r="G115" s="189" t="n">
        <x:v>35</x:v>
      </x:c>
      <x:c r="H115" s="203" t="n">
        <x:v>2870</x:v>
      </x:c>
      <x:c r="I115" s="193" t="n">
        <x:v>35</x:v>
      </x:c>
    </x:row>
    <x:row r="116">
      <x:c r="A116" s="188" t="str">
        <x:v>T00112</x:v>
      </x:c>
      <x:c r="B116" s="189" t="str">
        <x:v>P008</x:v>
      </x:c>
      <x:c r="C116" s="189" t="str">
        <x:v>S04</x:v>
      </x:c>
      <x:c r="D116" s="189" t="str">
        <x:v>Owen Brooks</x:v>
      </x:c>
      <x:c r="E116" s="189" t="str">
        <x:v>Development</x:v>
      </x:c>
      <x:c r="F116" s="190" t="n">
        <x:v>46125</x:v>
      </x:c>
      <x:c r="G116" s="189" t="n">
        <x:v>29</x:v>
      </x:c>
      <x:c r="H116" s="203" t="n">
        <x:v>2552</x:v>
      </x:c>
      <x:c r="I116" s="193" t="n">
        <x:v>29</x:v>
      </x:c>
    </x:row>
    <x:row r="117">
      <x:c r="A117" s="188" t="str">
        <x:v>T00113</x:v>
      </x:c>
      <x:c r="B117" s="189" t="str">
        <x:v>P008</x:v>
      </x:c>
      <x:c r="C117" s="189" t="str">
        <x:v>S05</x:v>
      </x:c>
      <x:c r="D117" s="189" t="str">
        <x:v>Sara Lin</x:v>
      </x:c>
      <x:c r="E117" s="189" t="str">
        <x:v>Project Management</x:v>
      </x:c>
      <x:c r="F117" s="190" t="n">
        <x:v>46088</x:v>
      </x:c>
      <x:c r="G117" s="189" t="n">
        <x:v>44</x:v>
      </x:c>
      <x:c r="H117" s="203" t="n">
        <x:v>3080</x:v>
      </x:c>
      <x:c r="I117" s="193" t="n">
        <x:v>44</x:v>
      </x:c>
    </x:row>
    <x:row r="118">
      <x:c r="A118" s="188" t="str">
        <x:v>T00114</x:v>
      </x:c>
      <x:c r="B118" s="189" t="str">
        <x:v>P008</x:v>
      </x:c>
      <x:c r="C118" s="189" t="str">
        <x:v>S06</x:v>
      </x:c>
      <x:c r="D118" s="189" t="str">
        <x:v>Leo Martin</x:v>
      </x:c>
      <x:c r="E118" s="189" t="str">
        <x:v>Development</x:v>
      </x:c>
      <x:c r="F118" s="190" t="n">
        <x:v>46128</x:v>
      </x:c>
      <x:c r="G118" s="189" t="n">
        <x:v>35</x:v>
      </x:c>
      <x:c r="H118" s="203" t="n">
        <x:v>3220</x:v>
      </x:c>
      <x:c r="I118" s="193" t="n">
        <x:v>35</x:v>
      </x:c>
    </x:row>
    <x:row r="119">
      <x:c r="A119" s="188" t="str">
        <x:v>T00115</x:v>
      </x:c>
      <x:c r="B119" s="189" t="str">
        <x:v>P008</x:v>
      </x:c>
      <x:c r="C119" s="189" t="str">
        <x:v>S07</x:v>
      </x:c>
      <x:c r="D119" s="189" t="str">
        <x:v>Ava Stone</x:v>
      </x:c>
      <x:c r="E119" s="189" t="str">
        <x:v>Content</x:v>
      </x:c>
      <x:c r="F119" s="190" t="n">
        <x:v>46097</x:v>
      </x:c>
      <x:c r="G119" s="189" t="n">
        <x:v>39</x:v>
      </x:c>
      <x:c r="H119" s="203" t="n">
        <x:v>2262</x:v>
      </x:c>
      <x:c r="I119" s="193" t="n">
        <x:v>39</x:v>
      </x:c>
    </x:row>
    <x:row r="120">
      <x:c r="A120" s="188" t="str">
        <x:v>T00116</x:v>
      </x:c>
      <x:c r="B120" s="189" t="str">
        <x:v>P008</x:v>
      </x:c>
      <x:c r="C120" s="189" t="str">
        <x:v>S08</x:v>
      </x:c>
      <x:c r="D120" s="189" t="str">
        <x:v>Theo King</x:v>
      </x:c>
      <x:c r="E120" s="189" t="str">
        <x:v>Analytics</x:v>
      </x:c>
      <x:c r="F120" s="190" t="n">
        <x:v>46142</x:v>
      </x:c>
      <x:c r="G120" s="189" t="n">
        <x:v>25</x:v>
      </x:c>
      <x:c r="H120" s="203" t="n">
        <x:v>1950</x:v>
      </x:c>
      <x:c r="I120" s="193" t="n">
        <x:v>25</x:v>
      </x:c>
    </x:row>
    <x:row r="121">
      <x:c r="A121" s="188" t="str">
        <x:v>T00117</x:v>
      </x:c>
      <x:c r="B121" s="189" t="str">
        <x:v>P008</x:v>
      </x:c>
      <x:c r="C121" s="189" t="str">
        <x:v>S09</x:v>
      </x:c>
      <x:c r="D121" s="189" t="str">
        <x:v>Emma Hayes</x:v>
      </x:c>
      <x:c r="E121" s="189" t="str">
        <x:v>Design</x:v>
      </x:c>
      <x:c r="F121" s="190" t="n">
        <x:v>46145</x:v>
      </x:c>
      <x:c r="G121" s="189" t="n">
        <x:v>37</x:v>
      </x:c>
      <x:c r="H121" s="203" t="n">
        <x:v>2516</x:v>
      </x:c>
      <x:c r="I121" s="193" t="n">
        <x:v>37</x:v>
      </x:c>
    </x:row>
    <x:row r="122">
      <x:c r="A122" s="188" t="str">
        <x:v>T00118</x:v>
      </x:c>
      <x:c r="B122" s="189" t="str">
        <x:v>P008</x:v>
      </x:c>
      <x:c r="C122" s="189" t="str">
        <x:v>S10</x:v>
      </x:c>
      <x:c r="D122" s="189" t="str">
        <x:v>Noah Reed</x:v>
      </x:c>
      <x:c r="E122" s="189" t="str">
        <x:v>Strategy</x:v>
      </x:c>
      <x:c r="F122" s="190" t="n">
        <x:v>46109</x:v>
      </x:c>
      <x:c r="G122" s="189" t="n">
        <x:v>24</x:v>
      </x:c>
      <x:c r="H122" s="203" t="n">
        <x:v>2160</x:v>
      </x:c>
      <x:c r="I122" s="193" t="n">
        <x:v>24</x:v>
      </x:c>
    </x:row>
    <x:row r="123">
      <x:c r="A123" s="188" t="str">
        <x:v>T00119</x:v>
      </x:c>
      <x:c r="B123" s="189" t="str">
        <x:v>P008</x:v>
      </x:c>
      <x:c r="C123" s="189" t="str">
        <x:v>S01</x:v>
      </x:c>
      <x:c r="D123" s="189" t="str">
        <x:v>Maya Chen</x:v>
      </x:c>
      <x:c r="E123" s="189" t="str">
        <x:v>Strategy</x:v>
      </x:c>
      <x:c r="F123" s="190" t="n">
        <x:v>46101</x:v>
      </x:c>
      <x:c r="G123" s="189" t="n">
        <x:v>32</x:v>
      </x:c>
      <x:c r="H123" s="203" t="n">
        <x:v>3040</x:v>
      </x:c>
      <x:c r="I123" s="193" t="n">
        <x:v>32</x:v>
      </x:c>
    </x:row>
    <x:row r="124">
      <x:c r="A124" s="188" t="str">
        <x:v>T00120</x:v>
      </x:c>
      <x:c r="B124" s="189" t="str">
        <x:v>P008</x:v>
      </x:c>
      <x:c r="C124" s="189" t="str">
        <x:v>S02</x:v>
      </x:c>
      <x:c r="D124" s="189" t="str">
        <x:v>Elias Ward</x:v>
      </x:c>
      <x:c r="E124" s="189" t="str">
        <x:v>Design</x:v>
      </x:c>
      <x:c r="F124" s="190" t="n">
        <x:v>46114</x:v>
      </x:c>
      <x:c r="G124" s="189" t="n">
        <x:v>44</x:v>
      </x:c>
      <x:c r="H124" s="203" t="n">
        <x:v>3168</x:v>
      </x:c>
      <x:c r="I124" s="193" t="n">
        <x:v>44</x:v>
      </x:c>
    </x:row>
    <x:row r="125">
      <x:c r="A125" s="188" t="str">
        <x:v>T00121</x:v>
      </x:c>
      <x:c r="B125" s="189" t="str">
        <x:v>P008</x:v>
      </x:c>
      <x:c r="C125" s="189" t="str">
        <x:v>S03</x:v>
      </x:c>
      <x:c r="D125" s="189" t="str">
        <x:v>Nora Patel</x:v>
      </x:c>
      <x:c r="E125" s="189" t="str">
        <x:v>Analytics</x:v>
      </x:c>
      <x:c r="F125" s="190" t="n">
        <x:v>46144</x:v>
      </x:c>
      <x:c r="G125" s="189" t="n">
        <x:v>44</x:v>
      </x:c>
      <x:c r="H125" s="203" t="n">
        <x:v>3608</x:v>
      </x:c>
      <x:c r="I125" s="193" t="n">
        <x:v>44</x:v>
      </x:c>
    </x:row>
    <x:row r="126">
      <x:c r="A126" s="188" t="str">
        <x:v>T00122</x:v>
      </x:c>
      <x:c r="B126" s="189" t="str">
        <x:v>P008</x:v>
      </x:c>
      <x:c r="C126" s="189" t="str">
        <x:v>S04</x:v>
      </x:c>
      <x:c r="D126" s="189" t="str">
        <x:v>Owen Brooks</x:v>
      </x:c>
      <x:c r="E126" s="189" t="str">
        <x:v>Development</x:v>
      </x:c>
      <x:c r="F126" s="190" t="n">
        <x:v>46124</x:v>
      </x:c>
      <x:c r="G126" s="189" t="n">
        <x:v>41</x:v>
      </x:c>
      <x:c r="H126" s="203" t="n">
        <x:v>3608</x:v>
      </x:c>
      <x:c r="I126" s="193" t="n">
        <x:v>41</x:v>
      </x:c>
    </x:row>
    <x:row r="127">
      <x:c r="A127" s="188" t="str">
        <x:v>T00123</x:v>
      </x:c>
      <x:c r="B127" s="189" t="str">
        <x:v>P008</x:v>
      </x:c>
      <x:c r="C127" s="189" t="str">
        <x:v>S05</x:v>
      </x:c>
      <x:c r="D127" s="189" t="str">
        <x:v>Sara Lin</x:v>
      </x:c>
      <x:c r="E127" s="189" t="str">
        <x:v>Project Management</x:v>
      </x:c>
      <x:c r="F127" s="190" t="n">
        <x:v>46084</x:v>
      </x:c>
      <x:c r="G127" s="189" t="n">
        <x:v>39</x:v>
      </x:c>
      <x:c r="H127" s="203" t="n">
        <x:v>2730</x:v>
      </x:c>
      <x:c r="I127" s="193" t="n">
        <x:v>39</x:v>
      </x:c>
    </x:row>
    <x:row r="128">
      <x:c r="A128" s="188" t="str">
        <x:v>T00124</x:v>
      </x:c>
      <x:c r="B128" s="189" t="str">
        <x:v>P008</x:v>
      </x:c>
      <x:c r="C128" s="189" t="str">
        <x:v>S06</x:v>
      </x:c>
      <x:c r="D128" s="189" t="str">
        <x:v>Leo Martin</x:v>
      </x:c>
      <x:c r="E128" s="189" t="str">
        <x:v>Development</x:v>
      </x:c>
      <x:c r="F128" s="190" t="n">
        <x:v>46087</x:v>
      </x:c>
      <x:c r="G128" s="189" t="n">
        <x:v>27</x:v>
      </x:c>
      <x:c r="H128" s="203" t="n">
        <x:v>2484</x:v>
      </x:c>
      <x:c r="I128" s="193" t="n">
        <x:v>27</x:v>
      </x:c>
    </x:row>
    <x:row r="129">
      <x:c r="A129" s="188" t="str">
        <x:v>T00125</x:v>
      </x:c>
      <x:c r="B129" s="189" t="str">
        <x:v>P008</x:v>
      </x:c>
      <x:c r="C129" s="189" t="str">
        <x:v>S07</x:v>
      </x:c>
      <x:c r="D129" s="189" t="str">
        <x:v>Ava Stone</x:v>
      </x:c>
      <x:c r="E129" s="189" t="str">
        <x:v>Content</x:v>
      </x:c>
      <x:c r="F129" s="190" t="n">
        <x:v>46157</x:v>
      </x:c>
      <x:c r="G129" s="189" t="n">
        <x:v>87</x:v>
      </x:c>
      <x:c r="H129" s="203" t="n">
        <x:v>5046</x:v>
      </x:c>
      <x:c r="I129" s="193" t="n">
        <x:v>87</x:v>
      </x:c>
    </x:row>
    <x:row r="130">
      <x:c r="A130" s="188" t="str">
        <x:v>T00126</x:v>
      </x:c>
      <x:c r="B130" s="189" t="str">
        <x:v>P009</x:v>
      </x:c>
      <x:c r="C130" s="189" t="str">
        <x:v>S09</x:v>
      </x:c>
      <x:c r="D130" s="189" t="str">
        <x:v>Emma Hayes</x:v>
      </x:c>
      <x:c r="E130" s="189" t="str">
        <x:v>Design</x:v>
      </x:c>
      <x:c r="F130" s="190" t="n">
        <x:v>46115</x:v>
      </x:c>
      <x:c r="G130" s="189" t="n">
        <x:v>15</x:v>
      </x:c>
      <x:c r="H130" s="203" t="n">
        <x:v>1020</x:v>
      </x:c>
      <x:c r="I130" s="193" t="n">
        <x:v>15</x:v>
      </x:c>
    </x:row>
    <x:row r="131">
      <x:c r="A131" s="188" t="str">
        <x:v>T00127</x:v>
      </x:c>
      <x:c r="B131" s="189" t="str">
        <x:v>P009</x:v>
      </x:c>
      <x:c r="C131" s="189" t="str">
        <x:v>S10</x:v>
      </x:c>
      <x:c r="D131" s="189" t="str">
        <x:v>Noah Reed</x:v>
      </x:c>
      <x:c r="E131" s="189" t="str">
        <x:v>Strategy</x:v>
      </x:c>
      <x:c r="F131" s="190" t="n">
        <x:v>46093</x:v>
      </x:c>
      <x:c r="G131" s="189" t="n">
        <x:v>20</x:v>
      </x:c>
      <x:c r="H131" s="203" t="n">
        <x:v>1800</x:v>
      </x:c>
      <x:c r="I131" s="193" t="n">
        <x:v>20</x:v>
      </x:c>
    </x:row>
    <x:row r="132">
      <x:c r="A132" s="188" t="str">
        <x:v>T00128</x:v>
      </x:c>
      <x:c r="B132" s="189" t="str">
        <x:v>P009</x:v>
      </x:c>
      <x:c r="C132" s="189" t="str">
        <x:v>S01</x:v>
      </x:c>
      <x:c r="D132" s="189" t="str">
        <x:v>Maya Chen</x:v>
      </x:c>
      <x:c r="E132" s="189" t="str">
        <x:v>Strategy</x:v>
      </x:c>
      <x:c r="F132" s="190" t="n">
        <x:v>46088</x:v>
      </x:c>
      <x:c r="G132" s="189" t="n">
        <x:v>20</x:v>
      </x:c>
      <x:c r="H132" s="203" t="n">
        <x:v>1900</x:v>
      </x:c>
      <x:c r="I132" s="193" t="n">
        <x:v>20</x:v>
      </x:c>
    </x:row>
    <x:row r="133">
      <x:c r="A133" s="188" t="str">
        <x:v>T00129</x:v>
      </x:c>
      <x:c r="B133" s="189" t="str">
        <x:v>P009</x:v>
      </x:c>
      <x:c r="C133" s="189" t="str">
        <x:v>S02</x:v>
      </x:c>
      <x:c r="D133" s="189" t="str">
        <x:v>Elias Ward</x:v>
      </x:c>
      <x:c r="E133" s="189" t="str">
        <x:v>Design</x:v>
      </x:c>
      <x:c r="F133" s="190" t="n">
        <x:v>46110</x:v>
      </x:c>
      <x:c r="G133" s="189" t="n">
        <x:v>12</x:v>
      </x:c>
      <x:c r="H133" s="203" t="n">
        <x:v>864</x:v>
      </x:c>
      <x:c r="I133" s="193" t="n">
        <x:v>0</x:v>
      </x:c>
    </x:row>
    <x:row r="134">
      <x:c r="A134" s="188" t="str">
        <x:v>T00130</x:v>
      </x:c>
      <x:c r="B134" s="189" t="str">
        <x:v>P009</x:v>
      </x:c>
      <x:c r="C134" s="189" t="str">
        <x:v>S03</x:v>
      </x:c>
      <x:c r="D134" s="189" t="str">
        <x:v>Nora Patel</x:v>
      </x:c>
      <x:c r="E134" s="189" t="str">
        <x:v>Analytics</x:v>
      </x:c>
      <x:c r="F134" s="190" t="n">
        <x:v>46107</x:v>
      </x:c>
      <x:c r="G134" s="189" t="n">
        <x:v>11</x:v>
      </x:c>
      <x:c r="H134" s="203" t="n">
        <x:v>902</x:v>
      </x:c>
      <x:c r="I134" s="193" t="n">
        <x:v>11</x:v>
      </x:c>
    </x:row>
    <x:row r="135">
      <x:c r="A135" s="188" t="str">
        <x:v>T00131</x:v>
      </x:c>
      <x:c r="B135" s="189" t="str">
        <x:v>P009</x:v>
      </x:c>
      <x:c r="C135" s="189" t="str">
        <x:v>S04</x:v>
      </x:c>
      <x:c r="D135" s="189" t="str">
        <x:v>Owen Brooks</x:v>
      </x:c>
      <x:c r="E135" s="189" t="str">
        <x:v>Development</x:v>
      </x:c>
      <x:c r="F135" s="190" t="n">
        <x:v>46121</x:v>
      </x:c>
      <x:c r="G135" s="189" t="n">
        <x:v>14</x:v>
      </x:c>
      <x:c r="H135" s="203" t="n">
        <x:v>1232</x:v>
      </x:c>
      <x:c r="I135" s="193" t="n">
        <x:v>0</x:v>
      </x:c>
    </x:row>
    <x:row r="136">
      <x:c r="A136" s="188" t="str">
        <x:v>T00132</x:v>
      </x:c>
      <x:c r="B136" s="189" t="str">
        <x:v>P009</x:v>
      </x:c>
      <x:c r="C136" s="189" t="str">
        <x:v>S05</x:v>
      </x:c>
      <x:c r="D136" s="189" t="str">
        <x:v>Sara Lin</x:v>
      </x:c>
      <x:c r="E136" s="189" t="str">
        <x:v>Project Management</x:v>
      </x:c>
      <x:c r="F136" s="190" t="n">
        <x:v>46147</x:v>
      </x:c>
      <x:c r="G136" s="189" t="n">
        <x:v>11</x:v>
      </x:c>
      <x:c r="H136" s="203" t="n">
        <x:v>770</x:v>
      </x:c>
      <x:c r="I136" s="193" t="n">
        <x:v>11</x:v>
      </x:c>
    </x:row>
    <x:row r="137">
      <x:c r="A137" s="188" t="str">
        <x:v>T00133</x:v>
      </x:c>
      <x:c r="B137" s="189" t="str">
        <x:v>P009</x:v>
      </x:c>
      <x:c r="C137" s="189" t="str">
        <x:v>S06</x:v>
      </x:c>
      <x:c r="D137" s="189" t="str">
        <x:v>Leo Martin</x:v>
      </x:c>
      <x:c r="E137" s="189" t="str">
        <x:v>Development</x:v>
      </x:c>
      <x:c r="F137" s="190" t="n">
        <x:v>46136</x:v>
      </x:c>
      <x:c r="G137" s="189" t="n">
        <x:v>17</x:v>
      </x:c>
      <x:c r="H137" s="203" t="n">
        <x:v>1564</x:v>
      </x:c>
      <x:c r="I137" s="193" t="n">
        <x:v>17</x:v>
      </x:c>
    </x:row>
    <x:row r="138">
      <x:c r="A138" s="188" t="str">
        <x:v>T00134</x:v>
      </x:c>
      <x:c r="B138" s="189" t="str">
        <x:v>P009</x:v>
      </x:c>
      <x:c r="C138" s="189" t="str">
        <x:v>S07</x:v>
      </x:c>
      <x:c r="D138" s="189" t="str">
        <x:v>Ava Stone</x:v>
      </x:c>
      <x:c r="E138" s="189" t="str">
        <x:v>Content</x:v>
      </x:c>
      <x:c r="F138" s="190" t="n">
        <x:v>46087</x:v>
      </x:c>
      <x:c r="G138" s="189" t="n">
        <x:v>12</x:v>
      </x:c>
      <x:c r="H138" s="203" t="n">
        <x:v>696</x:v>
      </x:c>
      <x:c r="I138" s="193" t="n">
        <x:v>12</x:v>
      </x:c>
    </x:row>
    <x:row r="139">
      <x:c r="A139" s="188" t="str">
        <x:v>T00135</x:v>
      </x:c>
      <x:c r="B139" s="189" t="str">
        <x:v>P009</x:v>
      </x:c>
      <x:c r="C139" s="189" t="str">
        <x:v>S08</x:v>
      </x:c>
      <x:c r="D139" s="189" t="str">
        <x:v>Theo King</x:v>
      </x:c>
      <x:c r="E139" s="189" t="str">
        <x:v>Analytics</x:v>
      </x:c>
      <x:c r="F139" s="190" t="n">
        <x:v>46098</x:v>
      </x:c>
      <x:c r="G139" s="189" t="n">
        <x:v>19</x:v>
      </x:c>
      <x:c r="H139" s="203" t="n">
        <x:v>1482</x:v>
      </x:c>
      <x:c r="I139" s="193" t="n">
        <x:v>19</x:v>
      </x:c>
    </x:row>
    <x:row r="140">
      <x:c r="A140" s="188" t="str">
        <x:v>T00136</x:v>
      </x:c>
      <x:c r="B140" s="189" t="str">
        <x:v>P009</x:v>
      </x:c>
      <x:c r="C140" s="189" t="str">
        <x:v>S09</x:v>
      </x:c>
      <x:c r="D140" s="189" t="str">
        <x:v>Emma Hayes</x:v>
      </x:c>
      <x:c r="E140" s="189" t="str">
        <x:v>Design</x:v>
      </x:c>
      <x:c r="F140" s="190" t="n">
        <x:v>46127</x:v>
      </x:c>
      <x:c r="G140" s="189" t="n">
        <x:v>19</x:v>
      </x:c>
      <x:c r="H140" s="203" t="n">
        <x:v>1292</x:v>
      </x:c>
      <x:c r="I140" s="193" t="n">
        <x:v>19</x:v>
      </x:c>
    </x:row>
    <x:row r="141">
      <x:c r="A141" s="188" t="str">
        <x:v>T00137</x:v>
      </x:c>
      <x:c r="B141" s="189" t="str">
        <x:v>P009</x:v>
      </x:c>
      <x:c r="C141" s="189" t="str">
        <x:v>S10</x:v>
      </x:c>
      <x:c r="D141" s="189" t="str">
        <x:v>Noah Reed</x:v>
      </x:c>
      <x:c r="E141" s="189" t="str">
        <x:v>Strategy</x:v>
      </x:c>
      <x:c r="F141" s="190" t="n">
        <x:v>46084</x:v>
      </x:c>
      <x:c r="G141" s="189" t="n">
        <x:v>12</x:v>
      </x:c>
      <x:c r="H141" s="203" t="n">
        <x:v>1080</x:v>
      </x:c>
      <x:c r="I141" s="193" t="n">
        <x:v>0</x:v>
      </x:c>
    </x:row>
    <x:row r="142">
      <x:c r="A142" s="188" t="str">
        <x:v>T00138</x:v>
      </x:c>
      <x:c r="B142" s="189" t="str">
        <x:v>P009</x:v>
      </x:c>
      <x:c r="C142" s="189" t="str">
        <x:v>S01</x:v>
      </x:c>
      <x:c r="D142" s="189" t="str">
        <x:v>Maya Chen</x:v>
      </x:c>
      <x:c r="E142" s="189" t="str">
        <x:v>Strategy</x:v>
      </x:c>
      <x:c r="F142" s="190" t="n">
        <x:v>46123</x:v>
      </x:c>
      <x:c r="G142" s="189" t="n">
        <x:v>17</x:v>
      </x:c>
      <x:c r="H142" s="203" t="n">
        <x:v>1615</x:v>
      </x:c>
      <x:c r="I142" s="193" t="n">
        <x:v>17</x:v>
      </x:c>
    </x:row>
    <x:row r="143">
      <x:c r="A143" s="188" t="str">
        <x:v>T00139</x:v>
      </x:c>
      <x:c r="B143" s="189" t="str">
        <x:v>P009</x:v>
      </x:c>
      <x:c r="C143" s="189" t="str">
        <x:v>S02</x:v>
      </x:c>
      <x:c r="D143" s="189" t="str">
        <x:v>Elias Ward</x:v>
      </x:c>
      <x:c r="E143" s="189" t="str">
        <x:v>Design</x:v>
      </x:c>
      <x:c r="F143" s="190" t="n">
        <x:v>46093</x:v>
      </x:c>
      <x:c r="G143" s="189" t="n">
        <x:v>14</x:v>
      </x:c>
      <x:c r="H143" s="203" t="n">
        <x:v>1008</x:v>
      </x:c>
      <x:c r="I143" s="193" t="n">
        <x:v>0</x:v>
      </x:c>
    </x:row>
    <x:row r="144">
      <x:c r="A144" s="188" t="str">
        <x:v>T00140</x:v>
      </x:c>
      <x:c r="B144" s="189" t="str">
        <x:v>P009</x:v>
      </x:c>
      <x:c r="C144" s="189" t="str">
        <x:v>S03</x:v>
      </x:c>
      <x:c r="D144" s="189" t="str">
        <x:v>Nora Patel</x:v>
      </x:c>
      <x:c r="E144" s="189" t="str">
        <x:v>Analytics</x:v>
      </x:c>
      <x:c r="F144" s="190" t="n">
        <x:v>46160</x:v>
      </x:c>
      <x:c r="G144" s="189" t="n">
        <x:v>14</x:v>
      </x:c>
      <x:c r="H144" s="203" t="n">
        <x:v>1148</x:v>
      </x:c>
      <x:c r="I144" s="193" t="n">
        <x:v>14</x:v>
      </x:c>
    </x:row>
    <x:row r="145">
      <x:c r="A145" s="188" t="str">
        <x:v>T00141</x:v>
      </x:c>
      <x:c r="B145" s="189" t="str">
        <x:v>P009</x:v>
      </x:c>
      <x:c r="C145" s="189" t="str">
        <x:v>S04</x:v>
      </x:c>
      <x:c r="D145" s="189" t="str">
        <x:v>Owen Brooks</x:v>
      </x:c>
      <x:c r="E145" s="189" t="str">
        <x:v>Development</x:v>
      </x:c>
      <x:c r="F145" s="190" t="n">
        <x:v>46128</x:v>
      </x:c>
      <x:c r="G145" s="189" t="n">
        <x:v>17</x:v>
      </x:c>
      <x:c r="H145" s="203" t="n">
        <x:v>1496</x:v>
      </x:c>
      <x:c r="I145" s="193" t="n">
        <x:v>17</x:v>
      </x:c>
    </x:row>
    <x:row r="146">
      <x:c r="A146" s="188" t="str">
        <x:v>T00142</x:v>
      </x:c>
      <x:c r="B146" s="189" t="str">
        <x:v>P009</x:v>
      </x:c>
      <x:c r="C146" s="189" t="str">
        <x:v>S05</x:v>
      </x:c>
      <x:c r="D146" s="189" t="str">
        <x:v>Sara Lin</x:v>
      </x:c>
      <x:c r="E146" s="189" t="str">
        <x:v>Project Management</x:v>
      </x:c>
      <x:c r="F146" s="190" t="n">
        <x:v>46090</x:v>
      </x:c>
      <x:c r="G146" s="189" t="n">
        <x:v>14</x:v>
      </x:c>
      <x:c r="H146" s="203" t="n">
        <x:v>980</x:v>
      </x:c>
      <x:c r="I146" s="193" t="n">
        <x:v>14</x:v>
      </x:c>
    </x:row>
    <x:row r="147">
      <x:c r="A147" s="188" t="str">
        <x:v>T00143</x:v>
      </x:c>
      <x:c r="B147" s="189" t="str">
        <x:v>P009</x:v>
      </x:c>
      <x:c r="C147" s="189" t="str">
        <x:v>S06</x:v>
      </x:c>
      <x:c r="D147" s="189" t="str">
        <x:v>Leo Martin</x:v>
      </x:c>
      <x:c r="E147" s="189" t="str">
        <x:v>Development</x:v>
      </x:c>
      <x:c r="F147" s="190" t="n">
        <x:v>46122</x:v>
      </x:c>
      <x:c r="G147" s="189" t="n">
        <x:v>19</x:v>
      </x:c>
      <x:c r="H147" s="203" t="n">
        <x:v>1748</x:v>
      </x:c>
      <x:c r="I147" s="193" t="n">
        <x:v>19</x:v>
      </x:c>
    </x:row>
    <x:row r="148">
      <x:c r="A148" s="188" t="str">
        <x:v>T00144</x:v>
      </x:c>
      <x:c r="B148" s="189" t="str">
        <x:v>P009</x:v>
      </x:c>
      <x:c r="C148" s="189" t="str">
        <x:v>S07</x:v>
      </x:c>
      <x:c r="D148" s="189" t="str">
        <x:v>Ava Stone</x:v>
      </x:c>
      <x:c r="E148" s="189" t="str">
        <x:v>Content</x:v>
      </x:c>
      <x:c r="F148" s="190" t="n">
        <x:v>46118</x:v>
      </x:c>
      <x:c r="G148" s="189" t="n">
        <x:v>17</x:v>
      </x:c>
      <x:c r="H148" s="203" t="n">
        <x:v>986</x:v>
      </x:c>
      <x:c r="I148" s="193" t="n">
        <x:v>0</x:v>
      </x:c>
    </x:row>
    <x:row r="149">
      <x:c r="A149" s="188" t="str">
        <x:v>T00145</x:v>
      </x:c>
      <x:c r="B149" s="189" t="str">
        <x:v>P009</x:v>
      </x:c>
      <x:c r="C149" s="189" t="str">
        <x:v>S08</x:v>
      </x:c>
      <x:c r="D149" s="189" t="str">
        <x:v>Theo King</x:v>
      </x:c>
      <x:c r="E149" s="189" t="str">
        <x:v>Analytics</x:v>
      </x:c>
      <x:c r="F149" s="190" t="n">
        <x:v>46143</x:v>
      </x:c>
      <x:c r="G149" s="189" t="n">
        <x:v>16</x:v>
      </x:c>
      <x:c r="H149" s="203" t="n">
        <x:v>1248</x:v>
      </x:c>
      <x:c r="I149" s="193" t="n">
        <x:v>16</x:v>
      </x:c>
    </x:row>
    <x:row r="150">
      <x:c r="A150" s="188" t="str">
        <x:v>T00146</x:v>
      </x:c>
      <x:c r="B150" s="189" t="str">
        <x:v>P009</x:v>
      </x:c>
      <x:c r="C150" s="189" t="str">
        <x:v>S09</x:v>
      </x:c>
      <x:c r="D150" s="189" t="str">
        <x:v>Emma Hayes</x:v>
      </x:c>
      <x:c r="E150" s="189" t="str">
        <x:v>Design</x:v>
      </x:c>
      <x:c r="F150" s="190" t="n">
        <x:v>46133</x:v>
      </x:c>
      <x:c r="G150" s="189" t="n">
        <x:v>33</x:v>
      </x:c>
      <x:c r="H150" s="203" t="n">
        <x:v>2244</x:v>
      </x:c>
      <x:c r="I150" s="193" t="n">
        <x:v>0</x:v>
      </x:c>
    </x:row>
    <x:row r="151">
      <x:c r="A151" s="188" t="str">
        <x:v>T00147</x:v>
      </x:c>
      <x:c r="B151" s="189" t="str">
        <x:v>P010</x:v>
      </x:c>
      <x:c r="C151" s="189" t="str">
        <x:v>S10</x:v>
      </x:c>
      <x:c r="D151" s="189" t="str">
        <x:v>Noah Reed</x:v>
      </x:c>
      <x:c r="E151" s="189" t="str">
        <x:v>Strategy</x:v>
      </x:c>
      <x:c r="F151" s="190" t="n">
        <x:v>46101</x:v>
      </x:c>
      <x:c r="G151" s="189" t="n">
        <x:v>33</x:v>
      </x:c>
      <x:c r="H151" s="203" t="n">
        <x:v>2970</x:v>
      </x:c>
      <x:c r="I151" s="193" t="n">
        <x:v>33</x:v>
      </x:c>
    </x:row>
    <x:row r="152">
      <x:c r="A152" s="188" t="str">
        <x:v>T00148</x:v>
      </x:c>
      <x:c r="B152" s="189" t="str">
        <x:v>P010</x:v>
      </x:c>
      <x:c r="C152" s="189" t="str">
        <x:v>S01</x:v>
      </x:c>
      <x:c r="D152" s="189" t="str">
        <x:v>Maya Chen</x:v>
      </x:c>
      <x:c r="E152" s="189" t="str">
        <x:v>Strategy</x:v>
      </x:c>
      <x:c r="F152" s="190" t="n">
        <x:v>46123</x:v>
      </x:c>
      <x:c r="G152" s="189" t="n">
        <x:v>22</x:v>
      </x:c>
      <x:c r="H152" s="203" t="n">
        <x:v>2090</x:v>
      </x:c>
      <x:c r="I152" s="193" t="n">
        <x:v>0</x:v>
      </x:c>
    </x:row>
    <x:row r="153">
      <x:c r="A153" s="188" t="str">
        <x:v>T00149</x:v>
      </x:c>
      <x:c r="B153" s="189" t="str">
        <x:v>P010</x:v>
      </x:c>
      <x:c r="C153" s="189" t="str">
        <x:v>S02</x:v>
      </x:c>
      <x:c r="D153" s="189" t="str">
        <x:v>Elias Ward</x:v>
      </x:c>
      <x:c r="E153" s="189" t="str">
        <x:v>Design</x:v>
      </x:c>
      <x:c r="F153" s="190" t="n">
        <x:v>46140</x:v>
      </x:c>
      <x:c r="G153" s="189" t="n">
        <x:v>19</x:v>
      </x:c>
      <x:c r="H153" s="203" t="n">
        <x:v>1368</x:v>
      </x:c>
      <x:c r="I153" s="193" t="n">
        <x:v>19</x:v>
      </x:c>
    </x:row>
    <x:row r="154">
      <x:c r="A154" s="188" t="str">
        <x:v>T00150</x:v>
      </x:c>
      <x:c r="B154" s="189" t="str">
        <x:v>P010</x:v>
      </x:c>
      <x:c r="C154" s="189" t="str">
        <x:v>S03</x:v>
      </x:c>
      <x:c r="D154" s="189" t="str">
        <x:v>Nora Patel</x:v>
      </x:c>
      <x:c r="E154" s="189" t="str">
        <x:v>Analytics</x:v>
      </x:c>
      <x:c r="F154" s="190" t="n">
        <x:v>46166</x:v>
      </x:c>
      <x:c r="G154" s="189" t="n">
        <x:v>18</x:v>
      </x:c>
      <x:c r="H154" s="203" t="n">
        <x:v>1476</x:v>
      </x:c>
      <x:c r="I154" s="193" t="n">
        <x:v>18</x:v>
      </x:c>
    </x:row>
    <x:row r="155">
      <x:c r="A155" s="188" t="str">
        <x:v>T00151</x:v>
      </x:c>
      <x:c r="B155" s="189" t="str">
        <x:v>P010</x:v>
      </x:c>
      <x:c r="C155" s="189" t="str">
        <x:v>S04</x:v>
      </x:c>
      <x:c r="D155" s="189" t="str">
        <x:v>Owen Brooks</x:v>
      </x:c>
      <x:c r="E155" s="189" t="str">
        <x:v>Development</x:v>
      </x:c>
      <x:c r="F155" s="190" t="n">
        <x:v>46174</x:v>
      </x:c>
      <x:c r="G155" s="189" t="n">
        <x:v>30</x:v>
      </x:c>
      <x:c r="H155" s="203" t="n">
        <x:v>2640</x:v>
      </x:c>
      <x:c r="I155" s="193" t="n">
        <x:v>30</x:v>
      </x:c>
    </x:row>
    <x:row r="156">
      <x:c r="A156" s="188" t="str">
        <x:v>T00152</x:v>
      </x:c>
      <x:c r="B156" s="189" t="str">
        <x:v>P010</x:v>
      </x:c>
      <x:c r="C156" s="189" t="str">
        <x:v>S05</x:v>
      </x:c>
      <x:c r="D156" s="189" t="str">
        <x:v>Sara Lin</x:v>
      </x:c>
      <x:c r="E156" s="189" t="str">
        <x:v>Project Management</x:v>
      </x:c>
      <x:c r="F156" s="190" t="n">
        <x:v>46159</x:v>
      </x:c>
      <x:c r="G156" s="189" t="n">
        <x:v>17</x:v>
      </x:c>
      <x:c r="H156" s="203" t="n">
        <x:v>1190</x:v>
      </x:c>
      <x:c r="I156" s="193" t="n">
        <x:v>17</x:v>
      </x:c>
    </x:row>
    <x:row r="157">
      <x:c r="A157" s="188" t="str">
        <x:v>T00153</x:v>
      </x:c>
      <x:c r="B157" s="189" t="str">
        <x:v>P010</x:v>
      </x:c>
      <x:c r="C157" s="189" t="str">
        <x:v>S06</x:v>
      </x:c>
      <x:c r="D157" s="189" t="str">
        <x:v>Leo Martin</x:v>
      </x:c>
      <x:c r="E157" s="189" t="str">
        <x:v>Development</x:v>
      </x:c>
      <x:c r="F157" s="190" t="n">
        <x:v>46167</x:v>
      </x:c>
      <x:c r="G157" s="189" t="n">
        <x:v>24</x:v>
      </x:c>
      <x:c r="H157" s="203" t="n">
        <x:v>2208</x:v>
      </x:c>
      <x:c r="I157" s="193" t="n">
        <x:v>24</x:v>
      </x:c>
    </x:row>
    <x:row r="158">
      <x:c r="A158" s="188" t="str">
        <x:v>T00154</x:v>
      </x:c>
      <x:c r="B158" s="189" t="str">
        <x:v>P010</x:v>
      </x:c>
      <x:c r="C158" s="189" t="str">
        <x:v>S07</x:v>
      </x:c>
      <x:c r="D158" s="189" t="str">
        <x:v>Ava Stone</x:v>
      </x:c>
      <x:c r="E158" s="189" t="str">
        <x:v>Content</x:v>
      </x:c>
      <x:c r="F158" s="190" t="n">
        <x:v>46143</x:v>
      </x:c>
      <x:c r="G158" s="189" t="n">
        <x:v>23</x:v>
      </x:c>
      <x:c r="H158" s="203" t="n">
        <x:v>1334</x:v>
      </x:c>
      <x:c r="I158" s="193" t="n">
        <x:v>23</x:v>
      </x:c>
    </x:row>
    <x:row r="159">
      <x:c r="A159" s="188" t="str">
        <x:v>T00155</x:v>
      </x:c>
      <x:c r="B159" s="189" t="str">
        <x:v>P010</x:v>
      </x:c>
      <x:c r="C159" s="189" t="str">
        <x:v>S08</x:v>
      </x:c>
      <x:c r="D159" s="189" t="str">
        <x:v>Theo King</x:v>
      </x:c>
      <x:c r="E159" s="189" t="str">
        <x:v>Analytics</x:v>
      </x:c>
      <x:c r="F159" s="190" t="n">
        <x:v>46120</x:v>
      </x:c>
      <x:c r="G159" s="189" t="n">
        <x:v>33</x:v>
      </x:c>
      <x:c r="H159" s="203" t="n">
        <x:v>2574</x:v>
      </x:c>
      <x:c r="I159" s="193" t="n">
        <x:v>33</x:v>
      </x:c>
    </x:row>
    <x:row r="160">
      <x:c r="A160" s="188" t="str">
        <x:v>T00156</x:v>
      </x:c>
      <x:c r="B160" s="189" t="str">
        <x:v>P010</x:v>
      </x:c>
      <x:c r="C160" s="189" t="str">
        <x:v>S09</x:v>
      </x:c>
      <x:c r="D160" s="189" t="str">
        <x:v>Emma Hayes</x:v>
      </x:c>
      <x:c r="E160" s="189" t="str">
        <x:v>Design</x:v>
      </x:c>
      <x:c r="F160" s="190" t="n">
        <x:v>46192</x:v>
      </x:c>
      <x:c r="G160" s="189" t="n">
        <x:v>19</x:v>
      </x:c>
      <x:c r="H160" s="203" t="n">
        <x:v>1292</x:v>
      </x:c>
      <x:c r="I160" s="193" t="n">
        <x:v>0</x:v>
      </x:c>
    </x:row>
    <x:row r="161">
      <x:c r="A161" s="188" t="str">
        <x:v>T00157</x:v>
      </x:c>
      <x:c r="B161" s="189" t="str">
        <x:v>P010</x:v>
      </x:c>
      <x:c r="C161" s="189" t="str">
        <x:v>S10</x:v>
      </x:c>
      <x:c r="D161" s="189" t="str">
        <x:v>Noah Reed</x:v>
      </x:c>
      <x:c r="E161" s="189" t="str">
        <x:v>Strategy</x:v>
      </x:c>
      <x:c r="F161" s="190" t="n">
        <x:v>46105</x:v>
      </x:c>
      <x:c r="G161" s="189" t="n">
        <x:v>24</x:v>
      </x:c>
      <x:c r="H161" s="203" t="n">
        <x:v>2160</x:v>
      </x:c>
      <x:c r="I161" s="193" t="n">
        <x:v>24</x:v>
      </x:c>
    </x:row>
    <x:row r="162">
      <x:c r="A162" s="188" t="str">
        <x:v>T00158</x:v>
      </x:c>
      <x:c r="B162" s="189" t="str">
        <x:v>P010</x:v>
      </x:c>
      <x:c r="C162" s="189" t="str">
        <x:v>S01</x:v>
      </x:c>
      <x:c r="D162" s="189" t="str">
        <x:v>Maya Chen</x:v>
      </x:c>
      <x:c r="E162" s="189" t="str">
        <x:v>Strategy</x:v>
      </x:c>
      <x:c r="F162" s="190" t="n">
        <x:v>46108</x:v>
      </x:c>
      <x:c r="G162" s="189" t="n">
        <x:v>36</x:v>
      </x:c>
      <x:c r="H162" s="203" t="n">
        <x:v>3420</x:v>
      </x:c>
      <x:c r="I162" s="193" t="n">
        <x:v>36</x:v>
      </x:c>
    </x:row>
    <x:row r="163">
      <x:c r="A163" s="188" t="str">
        <x:v>T00159</x:v>
      </x:c>
      <x:c r="B163" s="189" t="str">
        <x:v>P011</x:v>
      </x:c>
      <x:c r="C163" s="189" t="str">
        <x:v>S01</x:v>
      </x:c>
      <x:c r="D163" s="189" t="str">
        <x:v>Maya Chen</x:v>
      </x:c>
      <x:c r="E163" s="189" t="str">
        <x:v>Strategy</x:v>
      </x:c>
      <x:c r="F163" s="190" t="n">
        <x:v>46135</x:v>
      </x:c>
      <x:c r="G163" s="189" t="n">
        <x:v>22</x:v>
      </x:c>
      <x:c r="H163" s="203" t="n">
        <x:v>2090</x:v>
      </x:c>
      <x:c r="I163" s="193" t="n">
        <x:v>22</x:v>
      </x:c>
    </x:row>
    <x:row r="164">
      <x:c r="A164" s="188" t="str">
        <x:v>T00160</x:v>
      </x:c>
      <x:c r="B164" s="189" t="str">
        <x:v>P011</x:v>
      </x:c>
      <x:c r="C164" s="189" t="str">
        <x:v>S02</x:v>
      </x:c>
      <x:c r="D164" s="189" t="str">
        <x:v>Elias Ward</x:v>
      </x:c>
      <x:c r="E164" s="189" t="str">
        <x:v>Design</x:v>
      </x:c>
      <x:c r="F164" s="190" t="n">
        <x:v>46111</x:v>
      </x:c>
      <x:c r="G164" s="189" t="n">
        <x:v>29</x:v>
      </x:c>
      <x:c r="H164" s="203" t="n">
        <x:v>2088</x:v>
      </x:c>
      <x:c r="I164" s="193" t="n">
        <x:v>0</x:v>
      </x:c>
    </x:row>
    <x:row r="165">
      <x:c r="A165" s="188" t="str">
        <x:v>T00161</x:v>
      </x:c>
      <x:c r="B165" s="189" t="str">
        <x:v>P011</x:v>
      </x:c>
      <x:c r="C165" s="189" t="str">
        <x:v>S03</x:v>
      </x:c>
      <x:c r="D165" s="189" t="str">
        <x:v>Nora Patel</x:v>
      </x:c>
      <x:c r="E165" s="189" t="str">
        <x:v>Analytics</x:v>
      </x:c>
      <x:c r="F165" s="190" t="n">
        <x:v>46136</x:v>
      </x:c>
      <x:c r="G165" s="189" t="n">
        <x:v>34</x:v>
      </x:c>
      <x:c r="H165" s="203" t="n">
        <x:v>2788</x:v>
      </x:c>
      <x:c r="I165" s="193" t="n">
        <x:v>0</x:v>
      </x:c>
    </x:row>
    <x:row r="166">
      <x:c r="A166" s="188" t="str">
        <x:v>T00162</x:v>
      </x:c>
      <x:c r="B166" s="189" t="str">
        <x:v>P011</x:v>
      </x:c>
      <x:c r="C166" s="189" t="str">
        <x:v>S04</x:v>
      </x:c>
      <x:c r="D166" s="189" t="str">
        <x:v>Owen Brooks</x:v>
      </x:c>
      <x:c r="E166" s="189" t="str">
        <x:v>Development</x:v>
      </x:c>
      <x:c r="F166" s="190" t="n">
        <x:v>46141</x:v>
      </x:c>
      <x:c r="G166" s="189" t="n">
        <x:v>20</x:v>
      </x:c>
      <x:c r="H166" s="203" t="n">
        <x:v>1760</x:v>
      </x:c>
      <x:c r="I166" s="193" t="n">
        <x:v>20</x:v>
      </x:c>
    </x:row>
    <x:row r="167">
      <x:c r="A167" s="188" t="str">
        <x:v>T00163</x:v>
      </x:c>
      <x:c r="B167" s="189" t="str">
        <x:v>P011</x:v>
      </x:c>
      <x:c r="C167" s="189" t="str">
        <x:v>S05</x:v>
      </x:c>
      <x:c r="D167" s="189" t="str">
        <x:v>Sara Lin</x:v>
      </x:c>
      <x:c r="E167" s="189" t="str">
        <x:v>Project Management</x:v>
      </x:c>
      <x:c r="F167" s="190" t="n">
        <x:v>46123</x:v>
      </x:c>
      <x:c r="G167" s="189" t="n">
        <x:v>19</x:v>
      </x:c>
      <x:c r="H167" s="203" t="n">
        <x:v>1330</x:v>
      </x:c>
      <x:c r="I167" s="193" t="n">
        <x:v>19</x:v>
      </x:c>
    </x:row>
    <x:row r="168">
      <x:c r="A168" s="188" t="str">
        <x:v>T00164</x:v>
      </x:c>
      <x:c r="B168" s="189" t="str">
        <x:v>P011</x:v>
      </x:c>
      <x:c r="C168" s="189" t="str">
        <x:v>S06</x:v>
      </x:c>
      <x:c r="D168" s="189" t="str">
        <x:v>Leo Martin</x:v>
      </x:c>
      <x:c r="E168" s="189" t="str">
        <x:v>Development</x:v>
      </x:c>
      <x:c r="F168" s="190" t="n">
        <x:v>46122</x:v>
      </x:c>
      <x:c r="G168" s="189" t="n">
        <x:v>22</x:v>
      </x:c>
      <x:c r="H168" s="203" t="n">
        <x:v>2024</x:v>
      </x:c>
      <x:c r="I168" s="193" t="n">
        <x:v>22</x:v>
      </x:c>
    </x:row>
    <x:row r="169">
      <x:c r="A169" s="188" t="str">
        <x:v>T00165</x:v>
      </x:c>
      <x:c r="B169" s="189" t="str">
        <x:v>P011</x:v>
      </x:c>
      <x:c r="C169" s="189" t="str">
        <x:v>S07</x:v>
      </x:c>
      <x:c r="D169" s="189" t="str">
        <x:v>Ava Stone</x:v>
      </x:c>
      <x:c r="E169" s="189" t="str">
        <x:v>Content</x:v>
      </x:c>
      <x:c r="F169" s="190" t="n">
        <x:v>46135</x:v>
      </x:c>
      <x:c r="G169" s="189" t="n">
        <x:v>29</x:v>
      </x:c>
      <x:c r="H169" s="203" t="n">
        <x:v>1682</x:v>
      </x:c>
      <x:c r="I169" s="193" t="n">
        <x:v>29</x:v>
      </x:c>
    </x:row>
    <x:row r="170">
      <x:c r="A170" s="188" t="str">
        <x:v>T00166</x:v>
      </x:c>
      <x:c r="B170" s="189" t="str">
        <x:v>P011</x:v>
      </x:c>
      <x:c r="C170" s="189" t="str">
        <x:v>S08</x:v>
      </x:c>
      <x:c r="D170" s="189" t="str">
        <x:v>Theo King</x:v>
      </x:c>
      <x:c r="E170" s="189" t="str">
        <x:v>Analytics</x:v>
      </x:c>
      <x:c r="F170" s="190" t="n">
        <x:v>46107</x:v>
      </x:c>
      <x:c r="G170" s="189" t="n">
        <x:v>33</x:v>
      </x:c>
      <x:c r="H170" s="203" t="n">
        <x:v>2574</x:v>
      </x:c>
      <x:c r="I170" s="193" t="n">
        <x:v>33</x:v>
      </x:c>
    </x:row>
    <x:row r="171">
      <x:c r="A171" s="188" t="str">
        <x:v>T00167</x:v>
      </x:c>
      <x:c r="B171" s="189" t="str">
        <x:v>P011</x:v>
      </x:c>
      <x:c r="C171" s="189" t="str">
        <x:v>S09</x:v>
      </x:c>
      <x:c r="D171" s="189" t="str">
        <x:v>Emma Hayes</x:v>
      </x:c>
      <x:c r="E171" s="189" t="str">
        <x:v>Design</x:v>
      </x:c>
      <x:c r="F171" s="190" t="n">
        <x:v>46147</x:v>
      </x:c>
      <x:c r="G171" s="189" t="n">
        <x:v>27</x:v>
      </x:c>
      <x:c r="H171" s="203" t="n">
        <x:v>1836</x:v>
      </x:c>
      <x:c r="I171" s="193" t="n">
        <x:v>0</x:v>
      </x:c>
    </x:row>
    <x:row r="172">
      <x:c r="A172" s="188" t="str">
        <x:v>T00168</x:v>
      </x:c>
      <x:c r="B172" s="189" t="str">
        <x:v>P011</x:v>
      </x:c>
      <x:c r="C172" s="189" t="str">
        <x:v>S10</x:v>
      </x:c>
      <x:c r="D172" s="189" t="str">
        <x:v>Noah Reed</x:v>
      </x:c>
      <x:c r="E172" s="189" t="str">
        <x:v>Strategy</x:v>
      </x:c>
      <x:c r="F172" s="190" t="n">
        <x:v>46111</x:v>
      </x:c>
      <x:c r="G172" s="189" t="n">
        <x:v>28</x:v>
      </x:c>
      <x:c r="H172" s="203" t="n">
        <x:v>2520</x:v>
      </x:c>
      <x:c r="I172" s="193" t="n">
        <x:v>28</x:v>
      </x:c>
    </x:row>
    <x:row r="173">
      <x:c r="A173" s="188" t="str">
        <x:v>T00169</x:v>
      </x:c>
      <x:c r="B173" s="189" t="str">
        <x:v>P011</x:v>
      </x:c>
      <x:c r="C173" s="189" t="str">
        <x:v>S01</x:v>
      </x:c>
      <x:c r="D173" s="189" t="str">
        <x:v>Maya Chen</x:v>
      </x:c>
      <x:c r="E173" s="189" t="str">
        <x:v>Strategy</x:v>
      </x:c>
      <x:c r="F173" s="190" t="n">
        <x:v>46101</x:v>
      </x:c>
      <x:c r="G173" s="189" t="n">
        <x:v>32</x:v>
      </x:c>
      <x:c r="H173" s="203" t="n">
        <x:v>3040</x:v>
      </x:c>
      <x:c r="I173" s="193" t="n">
        <x:v>32</x:v>
      </x:c>
    </x:row>
    <x:row r="174">
      <x:c r="A174" s="188" t="str">
        <x:v>T00170</x:v>
      </x:c>
      <x:c r="B174" s="189" t="str">
        <x:v>P011</x:v>
      </x:c>
      <x:c r="C174" s="189" t="str">
        <x:v>S02</x:v>
      </x:c>
      <x:c r="D174" s="189" t="str">
        <x:v>Elias Ward</x:v>
      </x:c>
      <x:c r="E174" s="189" t="str">
        <x:v>Design</x:v>
      </x:c>
      <x:c r="F174" s="190" t="n">
        <x:v>46137</x:v>
      </x:c>
      <x:c r="G174" s="189" t="n">
        <x:v>23</x:v>
      </x:c>
      <x:c r="H174" s="203" t="n">
        <x:v>1656</x:v>
      </x:c>
      <x:c r="I174" s="193" t="n">
        <x:v>23</x:v>
      </x:c>
    </x:row>
    <x:row r="175">
      <x:c r="A175" s="188" t="str">
        <x:v>T00171</x:v>
      </x:c>
      <x:c r="B175" s="189" t="str">
        <x:v>P011</x:v>
      </x:c>
      <x:c r="C175" s="189" t="str">
        <x:v>S03</x:v>
      </x:c>
      <x:c r="D175" s="189" t="str">
        <x:v>Nora Patel</x:v>
      </x:c>
      <x:c r="E175" s="189" t="str">
        <x:v>Analytics</x:v>
      </x:c>
      <x:c r="F175" s="190" t="n">
        <x:v>46122</x:v>
      </x:c>
      <x:c r="G175" s="189" t="n">
        <x:v>30</x:v>
      </x:c>
      <x:c r="H175" s="203" t="n">
        <x:v>2460</x:v>
      </x:c>
      <x:c r="I175" s="193" t="n">
        <x:v>30</x:v>
      </x:c>
    </x:row>
    <x:row r="176">
      <x:c r="A176" s="188" t="str">
        <x:v>T00172</x:v>
      </x:c>
      <x:c r="B176" s="189" t="str">
        <x:v>P011</x:v>
      </x:c>
      <x:c r="C176" s="189" t="str">
        <x:v>S04</x:v>
      </x:c>
      <x:c r="D176" s="189" t="str">
        <x:v>Owen Brooks</x:v>
      </x:c>
      <x:c r="E176" s="189" t="str">
        <x:v>Development</x:v>
      </x:c>
      <x:c r="F176" s="190" t="n">
        <x:v>46127</x:v>
      </x:c>
      <x:c r="G176" s="189" t="n">
        <x:v>23</x:v>
      </x:c>
      <x:c r="H176" s="203" t="n">
        <x:v>2024</x:v>
      </x:c>
      <x:c r="I176" s="193" t="n">
        <x:v>23</x:v>
      </x:c>
    </x:row>
    <x:row r="177">
      <x:c r="A177" s="188" t="str">
        <x:v>T00173</x:v>
      </x:c>
      <x:c r="B177" s="189" t="str">
        <x:v>P011</x:v>
      </x:c>
      <x:c r="C177" s="189" t="str">
        <x:v>S05</x:v>
      </x:c>
      <x:c r="D177" s="189" t="str">
        <x:v>Sara Lin</x:v>
      </x:c>
      <x:c r="E177" s="189" t="str">
        <x:v>Project Management</x:v>
      </x:c>
      <x:c r="F177" s="190" t="n">
        <x:v>46131</x:v>
      </x:c>
      <x:c r="G177" s="189" t="n">
        <x:v>29</x:v>
      </x:c>
      <x:c r="H177" s="203" t="n">
        <x:v>2030</x:v>
      </x:c>
      <x:c r="I177" s="193" t="n">
        <x:v>29</x:v>
      </x:c>
    </x:row>
    <x:row r="178">
      <x:c r="A178" s="188" t="str">
        <x:v>T00174</x:v>
      </x:c>
      <x:c r="B178" s="189" t="str">
        <x:v>P011</x:v>
      </x:c>
      <x:c r="C178" s="189" t="str">
        <x:v>S06</x:v>
      </x:c>
      <x:c r="D178" s="189" t="str">
        <x:v>Leo Martin</x:v>
      </x:c>
      <x:c r="E178" s="189" t="str">
        <x:v>Development</x:v>
      </x:c>
      <x:c r="F178" s="190" t="n">
        <x:v>46128</x:v>
      </x:c>
      <x:c r="G178" s="189" t="n">
        <x:v>30</x:v>
      </x:c>
      <x:c r="H178" s="203" t="n">
        <x:v>2760</x:v>
      </x:c>
      <x:c r="I178" s="193" t="n">
        <x:v>30</x:v>
      </x:c>
    </x:row>
    <x:row r="179">
      <x:c r="A179" s="188" t="str">
        <x:v>T00175</x:v>
      </x:c>
      <x:c r="B179" s="189" t="str">
        <x:v>P011</x:v>
      </x:c>
      <x:c r="C179" s="189" t="str">
        <x:v>S07</x:v>
      </x:c>
      <x:c r="D179" s="189" t="str">
        <x:v>Ava Stone</x:v>
      </x:c>
      <x:c r="E179" s="189" t="str">
        <x:v>Content</x:v>
      </x:c>
      <x:c r="F179" s="190" t="n">
        <x:v>46125</x:v>
      </x:c>
      <x:c r="G179" s="189" t="n">
        <x:v>9</x:v>
      </x:c>
      <x:c r="H179" s="203" t="n">
        <x:v>522</x:v>
      </x:c>
      <x:c r="I179" s="193" t="n">
        <x:v>0</x:v>
      </x:c>
    </x:row>
    <x:row r="180">
      <x:c r="A180" s="188" t="str">
        <x:v>T00176</x:v>
      </x:c>
      <x:c r="B180" s="189" t="str">
        <x:v>P012</x:v>
      </x:c>
      <x:c r="C180" s="189" t="str">
        <x:v>S02</x:v>
      </x:c>
      <x:c r="D180" s="189" t="str">
        <x:v>Elias Ward</x:v>
      </x:c>
      <x:c r="E180" s="189" t="str">
        <x:v>Design</x:v>
      </x:c>
      <x:c r="F180" s="190" t="n">
        <x:v>46178</x:v>
      </x:c>
      <x:c r="G180" s="189" t="n">
        <x:v>14</x:v>
      </x:c>
      <x:c r="H180" s="203" t="n">
        <x:v>1008</x:v>
      </x:c>
      <x:c r="I180" s="193" t="n">
        <x:v>14</x:v>
      </x:c>
    </x:row>
    <x:row r="181">
      <x:c r="A181" s="188" t="str">
        <x:v>T00177</x:v>
      </x:c>
      <x:c r="B181" s="189" t="str">
        <x:v>P012</x:v>
      </x:c>
      <x:c r="C181" s="189" t="str">
        <x:v>S03</x:v>
      </x:c>
      <x:c r="D181" s="189" t="str">
        <x:v>Nora Patel</x:v>
      </x:c>
      <x:c r="E181" s="189" t="str">
        <x:v>Analytics</x:v>
      </x:c>
      <x:c r="F181" s="190" t="n">
        <x:v>46101</x:v>
      </x:c>
      <x:c r="G181" s="189" t="n">
        <x:v>9</x:v>
      </x:c>
      <x:c r="H181" s="203" t="n">
        <x:v>738</x:v>
      </x:c>
      <x:c r="I181" s="193" t="n">
        <x:v>0</x:v>
      </x:c>
    </x:row>
    <x:row r="182">
      <x:c r="A182" s="188" t="str">
        <x:v>T00178</x:v>
      </x:c>
      <x:c r="B182" s="189" t="str">
        <x:v>P012</x:v>
      </x:c>
      <x:c r="C182" s="189" t="str">
        <x:v>S04</x:v>
      </x:c>
      <x:c r="D182" s="189" t="str">
        <x:v>Owen Brooks</x:v>
      </x:c>
      <x:c r="E182" s="189" t="str">
        <x:v>Development</x:v>
      </x:c>
      <x:c r="F182" s="190" t="n">
        <x:v>46161</x:v>
      </x:c>
      <x:c r="G182" s="189" t="n">
        <x:v>14</x:v>
      </x:c>
      <x:c r="H182" s="203" t="n">
        <x:v>1232</x:v>
      </x:c>
      <x:c r="I182" s="193" t="n">
        <x:v>14</x:v>
      </x:c>
    </x:row>
    <x:row r="183">
      <x:c r="A183" s="188" t="str">
        <x:v>T00179</x:v>
      </x:c>
      <x:c r="B183" s="189" t="str">
        <x:v>P012</x:v>
      </x:c>
      <x:c r="C183" s="189" t="str">
        <x:v>S05</x:v>
      </x:c>
      <x:c r="D183" s="189" t="str">
        <x:v>Sara Lin</x:v>
      </x:c>
      <x:c r="E183" s="189" t="str">
        <x:v>Project Management</x:v>
      </x:c>
      <x:c r="F183" s="190" t="n">
        <x:v>46104</x:v>
      </x:c>
      <x:c r="G183" s="189" t="n">
        <x:v>12</x:v>
      </x:c>
      <x:c r="H183" s="203" t="n">
        <x:v>840</x:v>
      </x:c>
      <x:c r="I183" s="193" t="n">
        <x:v>12</x:v>
      </x:c>
    </x:row>
    <x:row r="184">
      <x:c r="A184" s="188" t="str">
        <x:v>T00180</x:v>
      </x:c>
      <x:c r="B184" s="189" t="str">
        <x:v>P012</x:v>
      </x:c>
      <x:c r="C184" s="189" t="str">
        <x:v>S06</x:v>
      </x:c>
      <x:c r="D184" s="189" t="str">
        <x:v>Leo Martin</x:v>
      </x:c>
      <x:c r="E184" s="189" t="str">
        <x:v>Development</x:v>
      </x:c>
      <x:c r="F184" s="190" t="n">
        <x:v>46131</x:v>
      </x:c>
      <x:c r="G184" s="189" t="n">
        <x:v>10</x:v>
      </x:c>
      <x:c r="H184" s="203" t="n">
        <x:v>920</x:v>
      </x:c>
      <x:c r="I184" s="193" t="n">
        <x:v>10</x:v>
      </x:c>
    </x:row>
    <x:row r="185">
      <x:c r="A185" s="188" t="str">
        <x:v>T00181</x:v>
      </x:c>
      <x:c r="B185" s="189" t="str">
        <x:v>P012</x:v>
      </x:c>
      <x:c r="C185" s="189" t="str">
        <x:v>S07</x:v>
      </x:c>
      <x:c r="D185" s="189" t="str">
        <x:v>Ava Stone</x:v>
      </x:c>
      <x:c r="E185" s="189" t="str">
        <x:v>Content</x:v>
      </x:c>
      <x:c r="F185" s="190" t="n">
        <x:v>46151</x:v>
      </x:c>
      <x:c r="G185" s="189" t="n">
        <x:v>13</x:v>
      </x:c>
      <x:c r="H185" s="203" t="n">
        <x:v>754</x:v>
      </x:c>
      <x:c r="I185" s="193" t="n">
        <x:v>0</x:v>
      </x:c>
    </x:row>
    <x:row r="186">
      <x:c r="A186" s="188" t="str">
        <x:v>T00182</x:v>
      </x:c>
      <x:c r="B186" s="189" t="str">
        <x:v>P012</x:v>
      </x:c>
      <x:c r="C186" s="189" t="str">
        <x:v>S08</x:v>
      </x:c>
      <x:c r="D186" s="189" t="str">
        <x:v>Theo King</x:v>
      </x:c>
      <x:c r="E186" s="189" t="str">
        <x:v>Analytics</x:v>
      </x:c>
      <x:c r="F186" s="190" t="n">
        <x:v>46127</x:v>
      </x:c>
      <x:c r="G186" s="189" t="n">
        <x:v>14</x:v>
      </x:c>
      <x:c r="H186" s="203" t="n">
        <x:v>1092</x:v>
      </x:c>
      <x:c r="I186" s="193" t="n">
        <x:v>14</x:v>
      </x:c>
    </x:row>
    <x:row r="187">
      <x:c r="A187" s="188" t="str">
        <x:v>T00183</x:v>
      </x:c>
      <x:c r="B187" s="189" t="str">
        <x:v>P012</x:v>
      </x:c>
      <x:c r="C187" s="189" t="str">
        <x:v>S09</x:v>
      </x:c>
      <x:c r="D187" s="189" t="str">
        <x:v>Emma Hayes</x:v>
      </x:c>
      <x:c r="E187" s="189" t="str">
        <x:v>Design</x:v>
      </x:c>
      <x:c r="F187" s="190" t="n">
        <x:v>46166</x:v>
      </x:c>
      <x:c r="G187" s="189" t="n">
        <x:v>12</x:v>
      </x:c>
      <x:c r="H187" s="203" t="n">
        <x:v>816</x:v>
      </x:c>
      <x:c r="I187" s="193" t="n">
        <x:v>12</x:v>
      </x:c>
    </x:row>
    <x:row r="188">
      <x:c r="A188" s="188" t="str">
        <x:v>T00184</x:v>
      </x:c>
      <x:c r="B188" s="189" t="str">
        <x:v>P012</x:v>
      </x:c>
      <x:c r="C188" s="189" t="str">
        <x:v>S10</x:v>
      </x:c>
      <x:c r="D188" s="189" t="str">
        <x:v>Noah Reed</x:v>
      </x:c>
      <x:c r="E188" s="189" t="str">
        <x:v>Strategy</x:v>
      </x:c>
      <x:c r="F188" s="190" t="n">
        <x:v>46121</x:v>
      </x:c>
      <x:c r="G188" s="189" t="n">
        <x:v>8</x:v>
      </x:c>
      <x:c r="H188" s="203" t="n">
        <x:v>720</x:v>
      </x:c>
      <x:c r="I188" s="193" t="n">
        <x:v>8</x:v>
      </x:c>
    </x:row>
    <x:row r="189">
      <x:c r="A189" s="188" t="str">
        <x:v>T00185</x:v>
      </x:c>
      <x:c r="B189" s="189" t="str">
        <x:v>P012</x:v>
      </x:c>
      <x:c r="C189" s="189" t="str">
        <x:v>S01</x:v>
      </x:c>
      <x:c r="D189" s="189" t="str">
        <x:v>Maya Chen</x:v>
      </x:c>
      <x:c r="E189" s="189" t="str">
        <x:v>Strategy</x:v>
      </x:c>
      <x:c r="F189" s="190" t="n">
        <x:v>46115</x:v>
      </x:c>
      <x:c r="G189" s="189" t="n">
        <x:v>14</x:v>
      </x:c>
      <x:c r="H189" s="203" t="n">
        <x:v>1330</x:v>
      </x:c>
      <x:c r="I189" s="193" t="n">
        <x:v>14</x:v>
      </x:c>
    </x:row>
    <x:row r="190">
      <x:c r="A190" s="188" t="str">
        <x:v>T00186</x:v>
      </x:c>
      <x:c r="B190" s="189" t="str">
        <x:v>P012</x:v>
      </x:c>
      <x:c r="C190" s="189" t="str">
        <x:v>S02</x:v>
      </x:c>
      <x:c r="D190" s="189" t="str">
        <x:v>Elias Ward</x:v>
      </x:c>
      <x:c r="E190" s="189" t="str">
        <x:v>Design</x:v>
      </x:c>
      <x:c r="F190" s="190" t="n">
        <x:v>46099</x:v>
      </x:c>
      <x:c r="G190" s="189" t="n">
        <x:v>10</x:v>
      </x:c>
      <x:c r="H190" s="203" t="n">
        <x:v>720</x:v>
      </x:c>
      <x:c r="I190" s="193" t="n">
        <x:v>10</x:v>
      </x:c>
    </x:row>
    <x:row r="191">
      <x:c r="A191" s="188" t="str">
        <x:v>T00187</x:v>
      </x:c>
      <x:c r="B191" s="189" t="str">
        <x:v>P012</x:v>
      </x:c>
      <x:c r="C191" s="189" t="str">
        <x:v>S03</x:v>
      </x:c>
      <x:c r="D191" s="189" t="str">
        <x:v>Nora Patel</x:v>
      </x:c>
      <x:c r="E191" s="189" t="str">
        <x:v>Analytics</x:v>
      </x:c>
      <x:c r="F191" s="190" t="n">
        <x:v>46170</x:v>
      </x:c>
      <x:c r="G191" s="189" t="n">
        <x:v>14</x:v>
      </x:c>
      <x:c r="H191" s="203" t="n">
        <x:v>1148</x:v>
      </x:c>
      <x:c r="I191" s="193" t="n">
        <x:v>14</x:v>
      </x:c>
    </x:row>
    <x:row r="192">
      <x:c r="A192" s="188" t="str">
        <x:v>T00188</x:v>
      </x:c>
      <x:c r="B192" s="189" t="str">
        <x:v>P012</x:v>
      </x:c>
      <x:c r="C192" s="189" t="str">
        <x:v>S04</x:v>
      </x:c>
      <x:c r="D192" s="189" t="str">
        <x:v>Owen Brooks</x:v>
      </x:c>
      <x:c r="E192" s="189" t="str">
        <x:v>Development</x:v>
      </x:c>
      <x:c r="F192" s="190" t="n">
        <x:v>46110</x:v>
      </x:c>
      <x:c r="G192" s="189" t="n">
        <x:v>14</x:v>
      </x:c>
      <x:c r="H192" s="203" t="n">
        <x:v>1232</x:v>
      </x:c>
      <x:c r="I192" s="193" t="n">
        <x:v>14</x:v>
      </x:c>
    </x:row>
    <x:row r="193">
      <x:c r="A193" s="188" t="str">
        <x:v>T00189</x:v>
      </x:c>
      <x:c r="B193" s="189" t="str">
        <x:v>P012</x:v>
      </x:c>
      <x:c r="C193" s="189" t="str">
        <x:v>S05</x:v>
      </x:c>
      <x:c r="D193" s="189" t="str">
        <x:v>Sara Lin</x:v>
      </x:c>
      <x:c r="E193" s="189" t="str">
        <x:v>Project Management</x:v>
      </x:c>
      <x:c r="F193" s="190" t="n">
        <x:v>46107</x:v>
      </x:c>
      <x:c r="G193" s="189" t="n">
        <x:v>8</x:v>
      </x:c>
      <x:c r="H193" s="203" t="n">
        <x:v>560</x:v>
      </x:c>
      <x:c r="I193" s="193" t="n">
        <x:v>8</x:v>
      </x:c>
    </x:row>
    <x:row r="194">
      <x:c r="A194" s="188" t="str">
        <x:v>T00190</x:v>
      </x:c>
      <x:c r="B194" s="189" t="str">
        <x:v>P013</x:v>
      </x:c>
      <x:c r="C194" s="189" t="str">
        <x:v>S03</x:v>
      </x:c>
      <x:c r="D194" s="189" t="str">
        <x:v>Nora Patel</x:v>
      </x:c>
      <x:c r="E194" s="189" t="str">
        <x:v>Analytics</x:v>
      </x:c>
      <x:c r="F194" s="190" t="n">
        <x:v>46177</x:v>
      </x:c>
      <x:c r="G194" s="189" t="n">
        <x:v>16</x:v>
      </x:c>
      <x:c r="H194" s="203" t="n">
        <x:v>1312</x:v>
      </x:c>
      <x:c r="I194" s="193" t="n">
        <x:v>16</x:v>
      </x:c>
    </x:row>
    <x:row r="195">
      <x:c r="A195" s="188" t="str">
        <x:v>T00191</x:v>
      </x:c>
      <x:c r="B195" s="189" t="str">
        <x:v>P013</x:v>
      </x:c>
      <x:c r="C195" s="189" t="str">
        <x:v>S04</x:v>
      </x:c>
      <x:c r="D195" s="189" t="str">
        <x:v>Owen Brooks</x:v>
      </x:c>
      <x:c r="E195" s="189" t="str">
        <x:v>Development</x:v>
      </x:c>
      <x:c r="F195" s="190" t="n">
        <x:v>46168</x:v>
      </x:c>
      <x:c r="G195" s="189" t="n">
        <x:v>13</x:v>
      </x:c>
      <x:c r="H195" s="203" t="n">
        <x:v>1144</x:v>
      </x:c>
      <x:c r="I195" s="193" t="n">
        <x:v>0</x:v>
      </x:c>
    </x:row>
    <x:row r="196">
      <x:c r="A196" s="188" t="str">
        <x:v>T00192</x:v>
      </x:c>
      <x:c r="B196" s="189" t="str">
        <x:v>P013</x:v>
      </x:c>
      <x:c r="C196" s="189" t="str">
        <x:v>S05</x:v>
      </x:c>
      <x:c r="D196" s="189" t="str">
        <x:v>Sara Lin</x:v>
      </x:c>
      <x:c r="E196" s="189" t="str">
        <x:v>Project Management</x:v>
      </x:c>
      <x:c r="F196" s="190" t="n">
        <x:v>46137</x:v>
      </x:c>
      <x:c r="G196" s="189" t="n">
        <x:v>15</x:v>
      </x:c>
      <x:c r="H196" s="203" t="n">
        <x:v>1050</x:v>
      </x:c>
      <x:c r="I196" s="193" t="n">
        <x:v>15</x:v>
      </x:c>
    </x:row>
    <x:row r="197">
      <x:c r="A197" s="188" t="str">
        <x:v>T00193</x:v>
      </x:c>
      <x:c r="B197" s="189" t="str">
        <x:v>P013</x:v>
      </x:c>
      <x:c r="C197" s="189" t="str">
        <x:v>S06</x:v>
      </x:c>
      <x:c r="D197" s="189" t="str">
        <x:v>Leo Martin</x:v>
      </x:c>
      <x:c r="E197" s="189" t="str">
        <x:v>Development</x:v>
      </x:c>
      <x:c r="F197" s="190" t="n">
        <x:v>46155</x:v>
      </x:c>
      <x:c r="G197" s="189" t="n">
        <x:v>11</x:v>
      </x:c>
      <x:c r="H197" s="203" t="n">
        <x:v>1012</x:v>
      </x:c>
      <x:c r="I197" s="193" t="n">
        <x:v>11</x:v>
      </x:c>
    </x:row>
    <x:row r="198">
      <x:c r="A198" s="188" t="str">
        <x:v>T00194</x:v>
      </x:c>
      <x:c r="B198" s="189" t="str">
        <x:v>P013</x:v>
      </x:c>
      <x:c r="C198" s="189" t="str">
        <x:v>S07</x:v>
      </x:c>
      <x:c r="D198" s="189" t="str">
        <x:v>Ava Stone</x:v>
      </x:c>
      <x:c r="E198" s="189" t="str">
        <x:v>Content</x:v>
      </x:c>
      <x:c r="F198" s="190" t="n">
        <x:v>46172</x:v>
      </x:c>
      <x:c r="G198" s="189" t="n">
        <x:v>9</x:v>
      </x:c>
      <x:c r="H198" s="203" t="n">
        <x:v>522</x:v>
      </x:c>
      <x:c r="I198" s="193" t="n">
        <x:v>9</x:v>
      </x:c>
    </x:row>
    <x:row r="199">
      <x:c r="A199" s="188" t="str">
        <x:v>T00195</x:v>
      </x:c>
      <x:c r="B199" s="189" t="str">
        <x:v>P013</x:v>
      </x:c>
      <x:c r="C199" s="189" t="str">
        <x:v>S08</x:v>
      </x:c>
      <x:c r="D199" s="189" t="str">
        <x:v>Theo King</x:v>
      </x:c>
      <x:c r="E199" s="189" t="str">
        <x:v>Analytics</x:v>
      </x:c>
      <x:c r="F199" s="190" t="n">
        <x:v>46171</x:v>
      </x:c>
      <x:c r="G199" s="189" t="n">
        <x:v>8</x:v>
      </x:c>
      <x:c r="H199" s="203" t="n">
        <x:v>624</x:v>
      </x:c>
      <x:c r="I199" s="193" t="n">
        <x:v>8</x:v>
      </x:c>
    </x:row>
    <x:row r="200">
      <x:c r="A200" s="188" t="str">
        <x:v>T00196</x:v>
      </x:c>
      <x:c r="B200" s="189" t="str">
        <x:v>P013</x:v>
      </x:c>
      <x:c r="C200" s="189" t="str">
        <x:v>S09</x:v>
      </x:c>
      <x:c r="D200" s="189" t="str">
        <x:v>Emma Hayes</x:v>
      </x:c>
      <x:c r="E200" s="189" t="str">
        <x:v>Design</x:v>
      </x:c>
      <x:c r="F200" s="190" t="n">
        <x:v>46138</x:v>
      </x:c>
      <x:c r="G200" s="189" t="n">
        <x:v>9</x:v>
      </x:c>
      <x:c r="H200" s="203" t="n">
        <x:v>612</x:v>
      </x:c>
      <x:c r="I200" s="193" t="n">
        <x:v>9</x:v>
      </x:c>
    </x:row>
    <x:row r="201">
      <x:c r="A201" s="188" t="str">
        <x:v>T00197</x:v>
      </x:c>
      <x:c r="B201" s="189" t="str">
        <x:v>P013</x:v>
      </x:c>
      <x:c r="C201" s="189" t="str">
        <x:v>S10</x:v>
      </x:c>
      <x:c r="D201" s="189" t="str">
        <x:v>Noah Reed</x:v>
      </x:c>
      <x:c r="E201" s="189" t="str">
        <x:v>Strategy</x:v>
      </x:c>
      <x:c r="F201" s="190" t="n">
        <x:v>46136</x:v>
      </x:c>
      <x:c r="G201" s="189" t="n">
        <x:v>12</x:v>
      </x:c>
      <x:c r="H201" s="203" t="n">
        <x:v>1080</x:v>
      </x:c>
      <x:c r="I201" s="193" t="n">
        <x:v>12</x:v>
      </x:c>
    </x:row>
    <x:row r="202">
      <x:c r="A202" s="188" t="str">
        <x:v>T00198</x:v>
      </x:c>
      <x:c r="B202" s="189" t="str">
        <x:v>P013</x:v>
      </x:c>
      <x:c r="C202" s="189" t="str">
        <x:v>S01</x:v>
      </x:c>
      <x:c r="D202" s="189" t="str">
        <x:v>Maya Chen</x:v>
      </x:c>
      <x:c r="E202" s="189" t="str">
        <x:v>Strategy</x:v>
      </x:c>
      <x:c r="F202" s="190" t="n">
        <x:v>46143</x:v>
      </x:c>
      <x:c r="G202" s="189" t="n">
        <x:v>14</x:v>
      </x:c>
      <x:c r="H202" s="203" t="n">
        <x:v>1330</x:v>
      </x:c>
      <x:c r="I202" s="193" t="n">
        <x:v>14</x:v>
      </x:c>
    </x:row>
    <x:row r="203">
      <x:c r="A203" s="188" t="str">
        <x:v>T00199</x:v>
      </x:c>
      <x:c r="B203" s="189" t="str">
        <x:v>P013</x:v>
      </x:c>
      <x:c r="C203" s="189" t="str">
        <x:v>S02</x:v>
      </x:c>
      <x:c r="D203" s="189" t="str">
        <x:v>Elias Ward</x:v>
      </x:c>
      <x:c r="E203" s="189" t="str">
        <x:v>Design</x:v>
      </x:c>
      <x:c r="F203" s="190" t="n">
        <x:v>46195</x:v>
      </x:c>
      <x:c r="G203" s="189" t="n">
        <x:v>11</x:v>
      </x:c>
      <x:c r="H203" s="203" t="n">
        <x:v>792</x:v>
      </x:c>
      <x:c r="I203" s="193" t="n">
        <x:v>11</x:v>
      </x:c>
    </x:row>
    <x:row r="204">
      <x:c r="A204" s="188" t="str">
        <x:v>T00200</x:v>
      </x:c>
      <x:c r="B204" s="189" t="str">
        <x:v>P013</x:v>
      </x:c>
      <x:c r="C204" s="189" t="str">
        <x:v>S03</x:v>
      </x:c>
      <x:c r="D204" s="189" t="str">
        <x:v>Nora Patel</x:v>
      </x:c>
      <x:c r="E204" s="189" t="str">
        <x:v>Analytics</x:v>
      </x:c>
      <x:c r="F204" s="190" t="n">
        <x:v>46201</x:v>
      </x:c>
      <x:c r="G204" s="189" t="n">
        <x:v>16</x:v>
      </x:c>
      <x:c r="H204" s="203" t="n">
        <x:v>1312</x:v>
      </x:c>
      <x:c r="I204" s="193" t="n">
        <x:v>16</x:v>
      </x:c>
    </x:row>
    <x:row r="205">
      <x:c r="A205" s="188" t="str">
        <x:v>T00201</x:v>
      </x:c>
      <x:c r="B205" s="189" t="str">
        <x:v>P013</x:v>
      </x:c>
      <x:c r="C205" s="189" t="str">
        <x:v>S04</x:v>
      </x:c>
      <x:c r="D205" s="189" t="str">
        <x:v>Owen Brooks</x:v>
      </x:c>
      <x:c r="E205" s="189" t="str">
        <x:v>Development</x:v>
      </x:c>
      <x:c r="F205" s="190" t="n">
        <x:v>46160</x:v>
      </x:c>
      <x:c r="G205" s="189" t="n">
        <x:v>17</x:v>
      </x:c>
      <x:c r="H205" s="203" t="n">
        <x:v>1496</x:v>
      </x:c>
      <x:c r="I205" s="193" t="n">
        <x:v>17</x:v>
      </x:c>
    </x:row>
    <x:row r="206">
      <x:c r="A206" s="188" t="str">
        <x:v>T00202</x:v>
      </x:c>
      <x:c r="B206" s="189" t="str">
        <x:v>P013</x:v>
      </x:c>
      <x:c r="C206" s="189" t="str">
        <x:v>S05</x:v>
      </x:c>
      <x:c r="D206" s="189" t="str">
        <x:v>Sara Lin</x:v>
      </x:c>
      <x:c r="E206" s="189" t="str">
        <x:v>Project Management</x:v>
      </x:c>
      <x:c r="F206" s="190" t="n">
        <x:v>46184</x:v>
      </x:c>
      <x:c r="G206" s="189" t="n">
        <x:v>10</x:v>
      </x:c>
      <x:c r="H206" s="203" t="n">
        <x:v>700</x:v>
      </x:c>
      <x:c r="I206" s="193" t="n">
        <x:v>0</x:v>
      </x:c>
    </x:row>
    <x:row r="207">
      <x:c r="A207" s="188" t="str">
        <x:v>T00203</x:v>
      </x:c>
      <x:c r="B207" s="189" t="str">
        <x:v>P013</x:v>
      </x:c>
      <x:c r="C207" s="189" t="str">
        <x:v>S06</x:v>
      </x:c>
      <x:c r="D207" s="189" t="str">
        <x:v>Leo Martin</x:v>
      </x:c>
      <x:c r="E207" s="189" t="str">
        <x:v>Development</x:v>
      </x:c>
      <x:c r="F207" s="190" t="n">
        <x:v>46211</x:v>
      </x:c>
      <x:c r="G207" s="189" t="n">
        <x:v>17</x:v>
      </x:c>
      <x:c r="H207" s="203" t="n">
        <x:v>1564</x:v>
      </x:c>
      <x:c r="I207" s="193" t="n">
        <x:v>17</x:v>
      </x:c>
    </x:row>
    <x:row r="208">
      <x:c r="A208" s="188" t="str">
        <x:v>T00204</x:v>
      </x:c>
      <x:c r="B208" s="189" t="str">
        <x:v>P013</x:v>
      </x:c>
      <x:c r="C208" s="189" t="str">
        <x:v>S07</x:v>
      </x:c>
      <x:c r="D208" s="189" t="str">
        <x:v>Ava Stone</x:v>
      </x:c>
      <x:c r="E208" s="189" t="str">
        <x:v>Content</x:v>
      </x:c>
      <x:c r="F208" s="190" t="n">
        <x:v>46162</x:v>
      </x:c>
      <x:c r="G208" s="189" t="n">
        <x:v>13</x:v>
      </x:c>
      <x:c r="H208" s="203" t="n">
        <x:v>754</x:v>
      </x:c>
      <x:c r="I208" s="193" t="n">
        <x:v>13</x:v>
      </x:c>
    </x:row>
    <x:row r="209">
      <x:c r="A209" s="188" t="str">
        <x:v>T00205</x:v>
      </x:c>
      <x:c r="B209" s="189" t="str">
        <x:v>P013</x:v>
      </x:c>
      <x:c r="C209" s="189" t="str">
        <x:v>S08</x:v>
      </x:c>
      <x:c r="D209" s="189" t="str">
        <x:v>Theo King</x:v>
      </x:c>
      <x:c r="E209" s="189" t="str">
        <x:v>Analytics</x:v>
      </x:c>
      <x:c r="F209" s="190" t="n">
        <x:v>46132</x:v>
      </x:c>
      <x:c r="G209" s="189" t="n">
        <x:v>17</x:v>
      </x:c>
      <x:c r="H209" s="203" t="n">
        <x:v>1326</x:v>
      </x:c>
      <x:c r="I209" s="193" t="n">
        <x:v>0</x:v>
      </x:c>
    </x:row>
    <x:row r="210">
      <x:c r="A210" s="188" t="str">
        <x:v>T00206</x:v>
      </x:c>
      <x:c r="B210" s="189" t="str">
        <x:v>P013</x:v>
      </x:c>
      <x:c r="C210" s="189" t="str">
        <x:v>S09</x:v>
      </x:c>
      <x:c r="D210" s="189" t="str">
        <x:v>Emma Hayes</x:v>
      </x:c>
      <x:c r="E210" s="189" t="str">
        <x:v>Design</x:v>
      </x:c>
      <x:c r="F210" s="190" t="n">
        <x:v>46121</x:v>
      </x:c>
      <x:c r="G210" s="189" t="n">
        <x:v>13</x:v>
      </x:c>
      <x:c r="H210" s="203" t="n">
        <x:v>884</x:v>
      </x:c>
      <x:c r="I210" s="193" t="n">
        <x:v>13</x:v>
      </x:c>
    </x:row>
    <x:row r="211">
      <x:c r="A211" s="188" t="str">
        <x:v>T00207</x:v>
      </x:c>
      <x:c r="B211" s="189" t="str">
        <x:v>P013</x:v>
      </x:c>
      <x:c r="C211" s="189" t="str">
        <x:v>S10</x:v>
      </x:c>
      <x:c r="D211" s="189" t="str">
        <x:v>Noah Reed</x:v>
      </x:c>
      <x:c r="E211" s="189" t="str">
        <x:v>Strategy</x:v>
      </x:c>
      <x:c r="F211" s="190" t="n">
        <x:v>46114</x:v>
      </x:c>
      <x:c r="G211" s="189" t="n">
        <x:v>15</x:v>
      </x:c>
      <x:c r="H211" s="203" t="n">
        <x:v>1350</x:v>
      </x:c>
      <x:c r="I211" s="193" t="n">
        <x:v>15</x:v>
      </x:c>
    </x:row>
    <x:row r="212">
      <x:c r="A212" s="188" t="str">
        <x:v>T00208</x:v>
      </x:c>
      <x:c r="B212" s="189" t="str">
        <x:v>P013</x:v>
      </x:c>
      <x:c r="C212" s="189" t="str">
        <x:v>S01</x:v>
      </x:c>
      <x:c r="D212" s="189" t="str">
        <x:v>Maya Chen</x:v>
      </x:c>
      <x:c r="E212" s="189" t="str">
        <x:v>Strategy</x:v>
      </x:c>
      <x:c r="F212" s="190" t="n">
        <x:v>46155</x:v>
      </x:c>
      <x:c r="G212" s="189" t="n">
        <x:v>10</x:v>
      </x:c>
      <x:c r="H212" s="203" t="n">
        <x:v>950</x:v>
      </x:c>
      <x:c r="I212" s="193" t="n">
        <x:v>0</x:v>
      </x:c>
    </x:row>
    <x:row r="213">
      <x:c r="A213" s="188" t="str">
        <x:v>T00209</x:v>
      </x:c>
      <x:c r="B213" s="189" t="str">
        <x:v>P013</x:v>
      </x:c>
      <x:c r="C213" s="189" t="str">
        <x:v>S02</x:v>
      </x:c>
      <x:c r="D213" s="189" t="str">
        <x:v>Elias Ward</x:v>
      </x:c>
      <x:c r="E213" s="189" t="str">
        <x:v>Design</x:v>
      </x:c>
      <x:c r="F213" s="190" t="n">
        <x:v>46178</x:v>
      </x:c>
      <x:c r="G213" s="189" t="n">
        <x:v>15</x:v>
      </x:c>
      <x:c r="H213" s="203" t="n">
        <x:v>1080</x:v>
      </x:c>
      <x:c r="I213" s="193" t="n">
        <x:v>15</x:v>
      </x:c>
    </x:row>
    <x:row r="214">
      <x:c r="A214" s="188" t="str">
        <x:v>T00210</x:v>
      </x:c>
      <x:c r="B214" s="189" t="str">
        <x:v>P013</x:v>
      </x:c>
      <x:c r="C214" s="189" t="str">
        <x:v>S03</x:v>
      </x:c>
      <x:c r="D214" s="189" t="str">
        <x:v>Nora Patel</x:v>
      </x:c>
      <x:c r="E214" s="189" t="str">
        <x:v>Analytics</x:v>
      </x:c>
      <x:c r="F214" s="190" t="n">
        <x:v>46161</x:v>
      </x:c>
      <x:c r="G214" s="189" t="n">
        <x:v>6</x:v>
      </x:c>
      <x:c r="H214" s="203" t="n">
        <x:v>492</x:v>
      </x:c>
      <x:c r="I214" s="193" t="n">
        <x:v>6</x:v>
      </x:c>
    </x:row>
    <x:row r="215">
      <x:c r="A215" s="188" t="str">
        <x:v>T00211</x:v>
      </x:c>
      <x:c r="B215" s="189" t="str">
        <x:v>P014</x:v>
      </x:c>
      <x:c r="C215" s="189" t="str">
        <x:v>S04</x:v>
      </x:c>
      <x:c r="D215" s="189" t="str">
        <x:v>Owen Brooks</x:v>
      </x:c>
      <x:c r="E215" s="189" t="str">
        <x:v>Development</x:v>
      </x:c>
      <x:c r="F215" s="190" t="n">
        <x:v>46173</x:v>
      </x:c>
      <x:c r="G215" s="189" t="n">
        <x:v>11</x:v>
      </x:c>
      <x:c r="H215" s="203" t="n">
        <x:v>968</x:v>
      </x:c>
      <x:c r="I215" s="193" t="n">
        <x:v>11</x:v>
      </x:c>
    </x:row>
    <x:row r="216">
      <x:c r="A216" s="188" t="str">
        <x:v>T00212</x:v>
      </x:c>
      <x:c r="B216" s="189" t="str">
        <x:v>P014</x:v>
      </x:c>
      <x:c r="C216" s="189" t="str">
        <x:v>S05</x:v>
      </x:c>
      <x:c r="D216" s="189" t="str">
        <x:v>Sara Lin</x:v>
      </x:c>
      <x:c r="E216" s="189" t="str">
        <x:v>Project Management</x:v>
      </x:c>
      <x:c r="F216" s="190" t="n">
        <x:v>46172</x:v>
      </x:c>
      <x:c r="G216" s="189" t="n">
        <x:v>7</x:v>
      </x:c>
      <x:c r="H216" s="203" t="n">
        <x:v>490</x:v>
      </x:c>
      <x:c r="I216" s="193" t="n">
        <x:v>0</x:v>
      </x:c>
    </x:row>
    <x:row r="217">
      <x:c r="A217" s="188" t="str">
        <x:v>T00213</x:v>
      </x:c>
      <x:c r="B217" s="189" t="str">
        <x:v>P014</x:v>
      </x:c>
      <x:c r="C217" s="189" t="str">
        <x:v>S06</x:v>
      </x:c>
      <x:c r="D217" s="189" t="str">
        <x:v>Leo Martin</x:v>
      </x:c>
      <x:c r="E217" s="189" t="str">
        <x:v>Development</x:v>
      </x:c>
      <x:c r="F217" s="190" t="n">
        <x:v>46118</x:v>
      </x:c>
      <x:c r="G217" s="189" t="n">
        <x:v>7</x:v>
      </x:c>
      <x:c r="H217" s="203" t="n">
        <x:v>644</x:v>
      </x:c>
      <x:c r="I217" s="193" t="n">
        <x:v>7</x:v>
      </x:c>
    </x:row>
    <x:row r="218">
      <x:c r="A218" s="188" t="str">
        <x:v>T00214</x:v>
      </x:c>
      <x:c r="B218" s="189" t="str">
        <x:v>P014</x:v>
      </x:c>
      <x:c r="C218" s="189" t="str">
        <x:v>S07</x:v>
      </x:c>
      <x:c r="D218" s="189" t="str">
        <x:v>Ava Stone</x:v>
      </x:c>
      <x:c r="E218" s="189" t="str">
        <x:v>Content</x:v>
      </x:c>
      <x:c r="F218" s="190" t="n">
        <x:v>46183</x:v>
      </x:c>
      <x:c r="G218" s="189" t="n">
        <x:v>9</x:v>
      </x:c>
      <x:c r="H218" s="203" t="n">
        <x:v>522</x:v>
      </x:c>
      <x:c r="I218" s="193" t="n">
        <x:v>9</x:v>
      </x:c>
    </x:row>
    <x:row r="219">
      <x:c r="A219" s="188" t="str">
        <x:v>T00215</x:v>
      </x:c>
      <x:c r="B219" s="189" t="str">
        <x:v>P014</x:v>
      </x:c>
      <x:c r="C219" s="189" t="str">
        <x:v>S08</x:v>
      </x:c>
      <x:c r="D219" s="189" t="str">
        <x:v>Theo King</x:v>
      </x:c>
      <x:c r="E219" s="189" t="str">
        <x:v>Analytics</x:v>
      </x:c>
      <x:c r="F219" s="190" t="n">
        <x:v>46194</x:v>
      </x:c>
      <x:c r="G219" s="189" t="n">
        <x:v>8</x:v>
      </x:c>
      <x:c r="H219" s="203" t="n">
        <x:v>624</x:v>
      </x:c>
      <x:c r="I219" s="193" t="n">
        <x:v>8</x:v>
      </x:c>
    </x:row>
    <x:row r="220">
      <x:c r="A220" s="188" t="str">
        <x:v>T00216</x:v>
      </x:c>
      <x:c r="B220" s="189" t="str">
        <x:v>P014</x:v>
      </x:c>
      <x:c r="C220" s="189" t="str">
        <x:v>S09</x:v>
      </x:c>
      <x:c r="D220" s="189" t="str">
        <x:v>Emma Hayes</x:v>
      </x:c>
      <x:c r="E220" s="189" t="str">
        <x:v>Design</x:v>
      </x:c>
      <x:c r="F220" s="190" t="n">
        <x:v>46145</x:v>
      </x:c>
      <x:c r="G220" s="189" t="n">
        <x:v>9</x:v>
      </x:c>
      <x:c r="H220" s="203" t="n">
        <x:v>612</x:v>
      </x:c>
      <x:c r="I220" s="193" t="n">
        <x:v>9</x:v>
      </x:c>
    </x:row>
    <x:row r="221">
      <x:c r="A221" s="188" t="str">
        <x:v>T00217</x:v>
      </x:c>
      <x:c r="B221" s="189" t="str">
        <x:v>P014</x:v>
      </x:c>
      <x:c r="C221" s="189" t="str">
        <x:v>S10</x:v>
      </x:c>
      <x:c r="D221" s="189" t="str">
        <x:v>Noah Reed</x:v>
      </x:c>
      <x:c r="E221" s="189" t="str">
        <x:v>Strategy</x:v>
      </x:c>
      <x:c r="F221" s="190" t="n">
        <x:v>46190</x:v>
      </x:c>
      <x:c r="G221" s="189" t="n">
        <x:v>7</x:v>
      </x:c>
      <x:c r="H221" s="203" t="n">
        <x:v>630</x:v>
      </x:c>
      <x:c r="I221" s="193" t="n">
        <x:v>0</x:v>
      </x:c>
    </x:row>
    <x:row r="222">
      <x:c r="A222" s="188" t="str">
        <x:v>T00218</x:v>
      </x:c>
      <x:c r="B222" s="189" t="str">
        <x:v>P014</x:v>
      </x:c>
      <x:c r="C222" s="189" t="str">
        <x:v>S01</x:v>
      </x:c>
      <x:c r="D222" s="189" t="str">
        <x:v>Maya Chen</x:v>
      </x:c>
      <x:c r="E222" s="189" t="str">
        <x:v>Strategy</x:v>
      </x:c>
      <x:c r="F222" s="190" t="n">
        <x:v>46132</x:v>
      </x:c>
      <x:c r="G222" s="189" t="n">
        <x:v>6</x:v>
      </x:c>
      <x:c r="H222" s="203" t="n">
        <x:v>570</x:v>
      </x:c>
      <x:c r="I222" s="193" t="n">
        <x:v>6</x:v>
      </x:c>
    </x:row>
    <x:row r="223">
      <x:c r="A223" s="188" t="str">
        <x:v>T00219</x:v>
      </x:c>
      <x:c r="B223" s="189" t="str">
        <x:v>P014</x:v>
      </x:c>
      <x:c r="C223" s="189" t="str">
        <x:v>S02</x:v>
      </x:c>
      <x:c r="D223" s="189" t="str">
        <x:v>Elias Ward</x:v>
      </x:c>
      <x:c r="E223" s="189" t="str">
        <x:v>Design</x:v>
      </x:c>
      <x:c r="F223" s="190" t="n">
        <x:v>46186</x:v>
      </x:c>
      <x:c r="G223" s="189" t="n">
        <x:v>8</x:v>
      </x:c>
      <x:c r="H223" s="203" t="n">
        <x:v>576</x:v>
      </x:c>
      <x:c r="I223" s="193" t="n">
        <x:v>8</x:v>
      </x:c>
    </x:row>
    <x:row r="224">
      <x:c r="A224" s="188" t="str">
        <x:v>T00220</x:v>
      </x:c>
      <x:c r="B224" s="189" t="str">
        <x:v>P014</x:v>
      </x:c>
      <x:c r="C224" s="189" t="str">
        <x:v>S03</x:v>
      </x:c>
      <x:c r="D224" s="189" t="str">
        <x:v>Nora Patel</x:v>
      </x:c>
      <x:c r="E224" s="189" t="str">
        <x:v>Analytics</x:v>
      </x:c>
      <x:c r="F224" s="190" t="n">
        <x:v>46207</x:v>
      </x:c>
      <x:c r="G224" s="189" t="n">
        <x:v>10</x:v>
      </x:c>
      <x:c r="H224" s="203" t="n">
        <x:v>820</x:v>
      </x:c>
      <x:c r="I224" s="193" t="n">
        <x:v>10</x:v>
      </x:c>
    </x:row>
    <x:row r="225">
      <x:c r="A225" s="188" t="str">
        <x:v>T00221</x:v>
      </x:c>
      <x:c r="B225" s="189" t="str">
        <x:v>P014</x:v>
      </x:c>
      <x:c r="C225" s="189" t="str">
        <x:v>S04</x:v>
      </x:c>
      <x:c r="D225" s="189" t="str">
        <x:v>Owen Brooks</x:v>
      </x:c>
      <x:c r="E225" s="189" t="str">
        <x:v>Development</x:v>
      </x:c>
      <x:c r="F225" s="190" t="n">
        <x:v>46177</x:v>
      </x:c>
      <x:c r="G225" s="189" t="n">
        <x:v>7</x:v>
      </x:c>
      <x:c r="H225" s="203" t="n">
        <x:v>616</x:v>
      </x:c>
      <x:c r="I225" s="193" t="n">
        <x:v>7</x:v>
      </x:c>
    </x:row>
    <x:row r="226">
      <x:c r="A226" s="188" t="str">
        <x:v>T00222</x:v>
      </x:c>
      <x:c r="B226" s="189" t="str">
        <x:v>P014</x:v>
      </x:c>
      <x:c r="C226" s="189" t="str">
        <x:v>S05</x:v>
      </x:c>
      <x:c r="D226" s="189" t="str">
        <x:v>Sara Lin</x:v>
      </x:c>
      <x:c r="E226" s="189" t="str">
        <x:v>Project Management</x:v>
      </x:c>
      <x:c r="F226" s="190" t="n">
        <x:v>46204</x:v>
      </x:c>
      <x:c r="G226" s="189" t="n">
        <x:v>11</x:v>
      </x:c>
      <x:c r="H226" s="203" t="n">
        <x:v>770</x:v>
      </x:c>
      <x:c r="I226" s="193" t="n">
        <x:v>0</x:v>
      </x:c>
    </x:row>
    <x:row r="227">
      <x:c r="A227" s="188" t="str">
        <x:v>T00223</x:v>
      </x:c>
      <x:c r="B227" s="189" t="str">
        <x:v>P014</x:v>
      </x:c>
      <x:c r="C227" s="189" t="str">
        <x:v>S06</x:v>
      </x:c>
      <x:c r="D227" s="189" t="str">
        <x:v>Leo Martin</x:v>
      </x:c>
      <x:c r="E227" s="189" t="str">
        <x:v>Development</x:v>
      </x:c>
      <x:c r="F227" s="190" t="n">
        <x:v>46196</x:v>
      </x:c>
      <x:c r="G227" s="189" t="n">
        <x:v>6</x:v>
      </x:c>
      <x:c r="H227" s="203" t="n">
        <x:v>552</x:v>
      </x:c>
      <x:c r="I227" s="193" t="n">
        <x:v>6</x:v>
      </x:c>
    </x:row>
    <x:row r="228">
      <x:c r="A228" s="188" t="str">
        <x:v>T00224</x:v>
      </x:c>
      <x:c r="B228" s="189" t="str">
        <x:v>P014</x:v>
      </x:c>
      <x:c r="C228" s="189" t="str">
        <x:v>S07</x:v>
      </x:c>
      <x:c r="D228" s="189" t="str">
        <x:v>Ava Stone</x:v>
      </x:c>
      <x:c r="E228" s="189" t="str">
        <x:v>Content</x:v>
      </x:c>
      <x:c r="F228" s="190" t="n">
        <x:v>46144</x:v>
      </x:c>
      <x:c r="G228" s="189" t="n">
        <x:v>9</x:v>
      </x:c>
      <x:c r="H228" s="203" t="n">
        <x:v>522</x:v>
      </x:c>
      <x:c r="I228" s="193" t="n">
        <x:v>0</x:v>
      </x:c>
    </x:row>
    <x:row r="229">
      <x:c r="A229" s="188" t="str">
        <x:v>T00225</x:v>
      </x:c>
      <x:c r="B229" s="189" t="str">
        <x:v>P014</x:v>
      </x:c>
      <x:c r="C229" s="189" t="str">
        <x:v>S08</x:v>
      </x:c>
      <x:c r="D229" s="189" t="str">
        <x:v>Theo King</x:v>
      </x:c>
      <x:c r="E229" s="189" t="str">
        <x:v>Analytics</x:v>
      </x:c>
      <x:c r="F229" s="190" t="n">
        <x:v>46166</x:v>
      </x:c>
      <x:c r="G229" s="189" t="n">
        <x:v>6</x:v>
      </x:c>
      <x:c r="H229" s="203" t="n">
        <x:v>468</x:v>
      </x:c>
      <x:c r="I229" s="193" t="n">
        <x:v>6</x:v>
      </x:c>
    </x:row>
    <x:row r="230">
      <x:c r="A230" s="188" t="str">
        <x:v>T00226</x:v>
      </x:c>
      <x:c r="B230" s="189" t="str">
        <x:v>P014</x:v>
      </x:c>
      <x:c r="C230" s="189" t="str">
        <x:v>S09</x:v>
      </x:c>
      <x:c r="D230" s="189" t="str">
        <x:v>Emma Hayes</x:v>
      </x:c>
      <x:c r="E230" s="189" t="str">
        <x:v>Design</x:v>
      </x:c>
      <x:c r="F230" s="190" t="n">
        <x:v>46173</x:v>
      </x:c>
      <x:c r="G230" s="189" t="n">
        <x:v>7</x:v>
      </x:c>
      <x:c r="H230" s="203" t="n">
        <x:v>476</x:v>
      </x:c>
      <x:c r="I230" s="193" t="n">
        <x:v>7</x:v>
      </x:c>
    </x:row>
    <x:row r="231">
      <x:c r="A231" s="188" t="str">
        <x:v>T00227</x:v>
      </x:c>
      <x:c r="B231" s="189" t="str">
        <x:v>P014</x:v>
      </x:c>
      <x:c r="C231" s="189" t="str">
        <x:v>S10</x:v>
      </x:c>
      <x:c r="D231" s="189" t="str">
        <x:v>Noah Reed</x:v>
      </x:c>
      <x:c r="E231" s="189" t="str">
        <x:v>Strategy</x:v>
      </x:c>
      <x:c r="F231" s="190" t="n">
        <x:v>46152</x:v>
      </x:c>
      <x:c r="G231" s="189" t="n">
        <x:v>10</x:v>
      </x:c>
      <x:c r="H231" s="203" t="n">
        <x:v>900</x:v>
      </x:c>
      <x:c r="I231" s="193" t="n">
        <x:v>10</x:v>
      </x:c>
    </x:row>
    <x:row r="232">
      <x:c r="A232" s="188" t="str">
        <x:v>T00228</x:v>
      </x:c>
      <x:c r="B232" s="189" t="str">
        <x:v>P014</x:v>
      </x:c>
      <x:c r="C232" s="189" t="str">
        <x:v>S01</x:v>
      </x:c>
      <x:c r="D232" s="189" t="str">
        <x:v>Maya Chen</x:v>
      </x:c>
      <x:c r="E232" s="189" t="str">
        <x:v>Strategy</x:v>
      </x:c>
      <x:c r="F232" s="190" t="n">
        <x:v>46125</x:v>
      </x:c>
      <x:c r="G232" s="189" t="n">
        <x:v>9</x:v>
      </x:c>
      <x:c r="H232" s="203" t="n">
        <x:v>855</x:v>
      </x:c>
      <x:c r="I232" s="193" t="n">
        <x:v>0</x:v>
      </x:c>
    </x:row>
    <x:row r="233">
      <x:c r="A233" s="188" t="str">
        <x:v>T00229</x:v>
      </x:c>
      <x:c r="B233" s="189" t="str">
        <x:v>P014</x:v>
      </x:c>
      <x:c r="C233" s="189" t="str">
        <x:v>S02</x:v>
      </x:c>
      <x:c r="D233" s="189" t="str">
        <x:v>Elias Ward</x:v>
      </x:c>
      <x:c r="E233" s="189" t="str">
        <x:v>Design</x:v>
      </x:c>
      <x:c r="F233" s="190" t="n">
        <x:v>46183</x:v>
      </x:c>
      <x:c r="G233" s="189" t="n">
        <x:v>15</x:v>
      </x:c>
      <x:c r="H233" s="203" t="n">
        <x:v>1080</x:v>
      </x:c>
      <x:c r="I233" s="193" t="n">
        <x:v>15</x:v>
      </x:c>
    </x:row>
    <x:row r="234">
      <x:c r="A234" s="188" t="str">
        <x:v>T00230</x:v>
      </x:c>
      <x:c r="B234" s="189" t="str">
        <x:v>P015</x:v>
      </x:c>
      <x:c r="C234" s="189" t="str">
        <x:v>S05</x:v>
      </x:c>
      <x:c r="D234" s="189" t="str">
        <x:v>Sara Lin</x:v>
      </x:c>
      <x:c r="E234" s="189" t="str">
        <x:v>Project Management</x:v>
      </x:c>
      <x:c r="F234" s="190" t="n">
        <x:v>46155</x:v>
      </x:c>
      <x:c r="G234" s="189" t="n">
        <x:v>31</x:v>
      </x:c>
      <x:c r="H234" s="203" t="n">
        <x:v>2170</x:v>
      </x:c>
      <x:c r="I234" s="193" t="n">
        <x:v>31</x:v>
      </x:c>
    </x:row>
    <x:row r="235">
      <x:c r="A235" s="188" t="str">
        <x:v>T00231</x:v>
      </x:c>
      <x:c r="B235" s="189" t="str">
        <x:v>P015</x:v>
      </x:c>
      <x:c r="C235" s="189" t="str">
        <x:v>S06</x:v>
      </x:c>
      <x:c r="D235" s="189" t="str">
        <x:v>Leo Martin</x:v>
      </x:c>
      <x:c r="E235" s="189" t="str">
        <x:v>Development</x:v>
      </x:c>
      <x:c r="F235" s="190" t="n">
        <x:v>46157</x:v>
      </x:c>
      <x:c r="G235" s="189" t="n">
        <x:v>27</x:v>
      </x:c>
      <x:c r="H235" s="203" t="n">
        <x:v>2484</x:v>
      </x:c>
      <x:c r="I235" s="193" t="n">
        <x:v>27</x:v>
      </x:c>
    </x:row>
    <x:row r="236">
      <x:c r="A236" s="188" t="str">
        <x:v>T00232</x:v>
      </x:c>
      <x:c r="B236" s="189" t="str">
        <x:v>P015</x:v>
      </x:c>
      <x:c r="C236" s="189" t="str">
        <x:v>S07</x:v>
      </x:c>
      <x:c r="D236" s="189" t="str">
        <x:v>Ava Stone</x:v>
      </x:c>
      <x:c r="E236" s="189" t="str">
        <x:v>Content</x:v>
      </x:c>
      <x:c r="F236" s="190" t="n">
        <x:v>46135</x:v>
      </x:c>
      <x:c r="G236" s="189" t="n">
        <x:v>26</x:v>
      </x:c>
      <x:c r="H236" s="203" t="n">
        <x:v>1508</x:v>
      </x:c>
      <x:c r="I236" s="193" t="n">
        <x:v>26</x:v>
      </x:c>
    </x:row>
    <x:row r="237">
      <x:c r="A237" s="188" t="str">
        <x:v>T00233</x:v>
      </x:c>
      <x:c r="B237" s="189" t="str">
        <x:v>P015</x:v>
      </x:c>
      <x:c r="C237" s="189" t="str">
        <x:v>S08</x:v>
      </x:c>
      <x:c r="D237" s="189" t="str">
        <x:v>Theo King</x:v>
      </x:c>
      <x:c r="E237" s="189" t="str">
        <x:v>Analytics</x:v>
      </x:c>
      <x:c r="F237" s="190" t="n">
        <x:v>46133</x:v>
      </x:c>
      <x:c r="G237" s="189" t="n">
        <x:v>26</x:v>
      </x:c>
      <x:c r="H237" s="203" t="n">
        <x:v>2028</x:v>
      </x:c>
      <x:c r="I237" s="193" t="n">
        <x:v>26</x:v>
      </x:c>
    </x:row>
    <x:row r="238">
      <x:c r="A238" s="188" t="str">
        <x:v>T00234</x:v>
      </x:c>
      <x:c r="B238" s="189" t="str">
        <x:v>P015</x:v>
      </x:c>
      <x:c r="C238" s="189" t="str">
        <x:v>S09</x:v>
      </x:c>
      <x:c r="D238" s="189" t="str">
        <x:v>Emma Hayes</x:v>
      </x:c>
      <x:c r="E238" s="189" t="str">
        <x:v>Design</x:v>
      </x:c>
      <x:c r="F238" s="190" t="n">
        <x:v>46173</x:v>
      </x:c>
      <x:c r="G238" s="189" t="n">
        <x:v>28</x:v>
      </x:c>
      <x:c r="H238" s="203" t="n">
        <x:v>1904</x:v>
      </x:c>
      <x:c r="I238" s="193" t="n">
        <x:v>28</x:v>
      </x:c>
    </x:row>
    <x:row r="239">
      <x:c r="A239" s="188" t="str">
        <x:v>T00235</x:v>
      </x:c>
      <x:c r="B239" s="189" t="str">
        <x:v>P015</x:v>
      </x:c>
      <x:c r="C239" s="189" t="str">
        <x:v>S10</x:v>
      </x:c>
      <x:c r="D239" s="189" t="str">
        <x:v>Noah Reed</x:v>
      </x:c>
      <x:c r="E239" s="189" t="str">
        <x:v>Strategy</x:v>
      </x:c>
      <x:c r="F239" s="190" t="n">
        <x:v>46140</x:v>
      </x:c>
      <x:c r="G239" s="189" t="n">
        <x:v>22</x:v>
      </x:c>
      <x:c r="H239" s="203" t="n">
        <x:v>1980</x:v>
      </x:c>
      <x:c r="I239" s="193" t="n">
        <x:v>22</x:v>
      </x:c>
    </x:row>
    <x:row r="240">
      <x:c r="A240" s="188" t="str">
        <x:v>T00236</x:v>
      </x:c>
      <x:c r="B240" s="189" t="str">
        <x:v>P015</x:v>
      </x:c>
      <x:c r="C240" s="189" t="str">
        <x:v>S01</x:v>
      </x:c>
      <x:c r="D240" s="189" t="str">
        <x:v>Maya Chen</x:v>
      </x:c>
      <x:c r="E240" s="189" t="str">
        <x:v>Strategy</x:v>
      </x:c>
      <x:c r="F240" s="190" t="n">
        <x:v>46168</x:v>
      </x:c>
      <x:c r="G240" s="189" t="n">
        <x:v>21</x:v>
      </x:c>
      <x:c r="H240" s="203" t="n">
        <x:v>1995</x:v>
      </x:c>
      <x:c r="I240" s="193" t="n">
        <x:v>21</x:v>
      </x:c>
    </x:row>
    <x:row r="241">
      <x:c r="A241" s="188" t="str">
        <x:v>T00237</x:v>
      </x:c>
      <x:c r="B241" s="189" t="str">
        <x:v>P015</x:v>
      </x:c>
      <x:c r="C241" s="189" t="str">
        <x:v>S02</x:v>
      </x:c>
      <x:c r="D241" s="189" t="str">
        <x:v>Elias Ward</x:v>
      </x:c>
      <x:c r="E241" s="189" t="str">
        <x:v>Design</x:v>
      </x:c>
      <x:c r="F241" s="190" t="n">
        <x:v>46127</x:v>
      </x:c>
      <x:c r="G241" s="189" t="n">
        <x:v>25</x:v>
      </x:c>
      <x:c r="H241" s="203" t="n">
        <x:v>1800</x:v>
      </x:c>
      <x:c r="I241" s="193" t="n">
        <x:v>0</x:v>
      </x:c>
    </x:row>
    <x:row r="242">
      <x:c r="A242" s="188" t="str">
        <x:v>T00238</x:v>
      </x:c>
      <x:c r="B242" s="189" t="str">
        <x:v>P015</x:v>
      </x:c>
      <x:c r="C242" s="189" t="str">
        <x:v>S03</x:v>
      </x:c>
      <x:c r="D242" s="189" t="str">
        <x:v>Nora Patel</x:v>
      </x:c>
      <x:c r="E242" s="189" t="str">
        <x:v>Analytics</x:v>
      </x:c>
      <x:c r="F242" s="190" t="n">
        <x:v>46176</x:v>
      </x:c>
      <x:c r="G242" s="189" t="n">
        <x:v>31</x:v>
      </x:c>
      <x:c r="H242" s="203" t="n">
        <x:v>2542</x:v>
      </x:c>
      <x:c r="I242" s="193" t="n">
        <x:v>31</x:v>
      </x:c>
    </x:row>
    <x:row r="243">
      <x:c r="A243" s="188" t="str">
        <x:v>T00239</x:v>
      </x:c>
      <x:c r="B243" s="189" t="str">
        <x:v>P015</x:v>
      </x:c>
      <x:c r="C243" s="189" t="str">
        <x:v>S04</x:v>
      </x:c>
      <x:c r="D243" s="189" t="str">
        <x:v>Owen Brooks</x:v>
      </x:c>
      <x:c r="E243" s="189" t="str">
        <x:v>Development</x:v>
      </x:c>
      <x:c r="F243" s="190" t="n">
        <x:v>46172</x:v>
      </x:c>
      <x:c r="G243" s="189" t="n">
        <x:v>25</x:v>
      </x:c>
      <x:c r="H243" s="203" t="n">
        <x:v>2200</x:v>
      </x:c>
      <x:c r="I243" s="193" t="n">
        <x:v>25</x:v>
      </x:c>
    </x:row>
    <x:row r="244">
      <x:c r="A244" s="188" t="str">
        <x:v>T00240</x:v>
      </x:c>
      <x:c r="B244" s="189" t="str">
        <x:v>P015</x:v>
      </x:c>
      <x:c r="C244" s="189" t="str">
        <x:v>S05</x:v>
      </x:c>
      <x:c r="D244" s="189" t="str">
        <x:v>Sara Lin</x:v>
      </x:c>
      <x:c r="E244" s="189" t="str">
        <x:v>Project Management</x:v>
      </x:c>
      <x:c r="F244" s="190" t="n">
        <x:v>46131</x:v>
      </x:c>
      <x:c r="G244" s="189" t="n">
        <x:v>32</x:v>
      </x:c>
      <x:c r="H244" s="203" t="n">
        <x:v>2240</x:v>
      </x:c>
      <x:c r="I244" s="193" t="n">
        <x:v>0</x:v>
      </x:c>
    </x:row>
    <x:row r="245">
      <x:c r="A245" s="188" t="str">
        <x:v>T00241</x:v>
      </x:c>
      <x:c r="B245" s="189" t="str">
        <x:v>P015</x:v>
      </x:c>
      <x:c r="C245" s="189" t="str">
        <x:v>S06</x:v>
      </x:c>
      <x:c r="D245" s="189" t="str">
        <x:v>Leo Martin</x:v>
      </x:c>
      <x:c r="E245" s="189" t="str">
        <x:v>Development</x:v>
      </x:c>
      <x:c r="F245" s="190" t="n">
        <x:v>46159</x:v>
      </x:c>
      <x:c r="G245" s="189" t="n">
        <x:v>28</x:v>
      </x:c>
      <x:c r="H245" s="203" t="n">
        <x:v>2576</x:v>
      </x:c>
      <x:c r="I245" s="193" t="n">
        <x:v>28</x:v>
      </x:c>
    </x:row>
    <x:row r="246">
      <x:c r="A246" s="188" t="str">
        <x:v>T00242</x:v>
      </x:c>
      <x:c r="B246" s="189" t="str">
        <x:v>P015</x:v>
      </x:c>
      <x:c r="C246" s="189" t="str">
        <x:v>S07</x:v>
      </x:c>
      <x:c r="D246" s="189" t="str">
        <x:v>Ava Stone</x:v>
      </x:c>
      <x:c r="E246" s="189" t="str">
        <x:v>Content</x:v>
      </x:c>
      <x:c r="F246" s="190" t="n">
        <x:v>46132</x:v>
      </x:c>
      <x:c r="G246" s="189" t="n">
        <x:v>23</x:v>
      </x:c>
      <x:c r="H246" s="203" t="n">
        <x:v>1334</x:v>
      </x:c>
      <x:c r="I246" s="193" t="n">
        <x:v>23</x:v>
      </x:c>
    </x:row>
    <x:row r="247">
      <x:c r="A247" s="188" t="str">
        <x:v>T00243</x:v>
      </x:c>
      <x:c r="B247" s="189" t="str">
        <x:v>P015</x:v>
      </x:c>
      <x:c r="C247" s="189" t="str">
        <x:v>S08</x:v>
      </x:c>
      <x:c r="D247" s="189" t="str">
        <x:v>Theo King</x:v>
      </x:c>
      <x:c r="E247" s="189" t="str">
        <x:v>Analytics</x:v>
      </x:c>
      <x:c r="F247" s="190" t="n">
        <x:v>46175</x:v>
      </x:c>
      <x:c r="G247" s="189" t="n">
        <x:v>28</x:v>
      </x:c>
      <x:c r="H247" s="203" t="n">
        <x:v>2184</x:v>
      </x:c>
      <x:c r="I247" s="193" t="n">
        <x:v>0</x:v>
      </x:c>
    </x:row>
    <x:row r="248">
      <x:c r="A248" s="188" t="str">
        <x:v>T00244</x:v>
      </x:c>
      <x:c r="B248" s="189" t="str">
        <x:v>P015</x:v>
      </x:c>
      <x:c r="C248" s="189" t="str">
        <x:v>S09</x:v>
      </x:c>
      <x:c r="D248" s="189" t="str">
        <x:v>Emma Hayes</x:v>
      </x:c>
      <x:c r="E248" s="189" t="str">
        <x:v>Design</x:v>
      </x:c>
      <x:c r="F248" s="190" t="n">
        <x:v>46170</x:v>
      </x:c>
      <x:c r="G248" s="189" t="n">
        <x:v>27</x:v>
      </x:c>
      <x:c r="H248" s="203" t="n">
        <x:v>1836</x:v>
      </x:c>
      <x:c r="I248" s="193" t="n">
        <x:v>27</x:v>
      </x:c>
    </x:row>
    <x:row r="249">
      <x:c r="A249" s="188" t="str">
        <x:v>T00245</x:v>
      </x:c>
      <x:c r="B249" s="189" t="str">
        <x:v>P015</x:v>
      </x:c>
      <x:c r="C249" s="189" t="str">
        <x:v>S10</x:v>
      </x:c>
      <x:c r="D249" s="189" t="str">
        <x:v>Noah Reed</x:v>
      </x:c>
      <x:c r="E249" s="189" t="str">
        <x:v>Strategy</x:v>
      </x:c>
      <x:c r="F249" s="190" t="n">
        <x:v>46181</x:v>
      </x:c>
      <x:c r="G249" s="189" t="n">
        <x:v>6</x:v>
      </x:c>
      <x:c r="H249" s="203" t="n">
        <x:v>540</x:v>
      </x:c>
      <x:c r="I249" s="193" t="n">
        <x:v>6</x:v>
      </x:c>
    </x:row>
    <x:row r="250">
      <x:c r="A250" s="188" t="str">
        <x:v>T00246</x:v>
      </x:c>
      <x:c r="B250" s="189" t="str">
        <x:v>P016</x:v>
      </x:c>
      <x:c r="C250" s="189" t="str">
        <x:v>S06</x:v>
      </x:c>
      <x:c r="D250" s="189" t="str">
        <x:v>Leo Martin</x:v>
      </x:c>
      <x:c r="E250" s="189" t="str">
        <x:v>Development</x:v>
      </x:c>
      <x:c r="F250" s="190" t="n">
        <x:v>46174</x:v>
      </x:c>
      <x:c r="G250" s="189" t="n">
        <x:v>38</x:v>
      </x:c>
      <x:c r="H250" s="203" t="n">
        <x:v>3496</x:v>
      </x:c>
      <x:c r="I250" s="193" t="n">
        <x:v>38</x:v>
      </x:c>
    </x:row>
    <x:row r="251">
      <x:c r="A251" s="188" t="str">
        <x:v>T00247</x:v>
      </x:c>
      <x:c r="B251" s="189" t="str">
        <x:v>P016</x:v>
      </x:c>
      <x:c r="C251" s="189" t="str">
        <x:v>S07</x:v>
      </x:c>
      <x:c r="D251" s="189" t="str">
        <x:v>Ava Stone</x:v>
      </x:c>
      <x:c r="E251" s="189" t="str">
        <x:v>Content</x:v>
      </x:c>
      <x:c r="F251" s="190" t="n">
        <x:v>46134</x:v>
      </x:c>
      <x:c r="G251" s="189" t="n">
        <x:v>24</x:v>
      </x:c>
      <x:c r="H251" s="203" t="n">
        <x:v>1392</x:v>
      </x:c>
      <x:c r="I251" s="193" t="n">
        <x:v>0</x:v>
      </x:c>
    </x:row>
    <x:row r="252">
      <x:c r="A252" s="188" t="str">
        <x:v>T00248</x:v>
      </x:c>
      <x:c r="B252" s="189" t="str">
        <x:v>P016</x:v>
      </x:c>
      <x:c r="C252" s="189" t="str">
        <x:v>S08</x:v>
      </x:c>
      <x:c r="D252" s="189" t="str">
        <x:v>Theo King</x:v>
      </x:c>
      <x:c r="E252" s="189" t="str">
        <x:v>Analytics</x:v>
      </x:c>
      <x:c r="F252" s="190" t="n">
        <x:v>46139</x:v>
      </x:c>
      <x:c r="G252" s="189" t="n">
        <x:v>38</x:v>
      </x:c>
      <x:c r="H252" s="203" t="n">
        <x:v>2964</x:v>
      </x:c>
      <x:c r="I252" s="193" t="n">
        <x:v>38</x:v>
      </x:c>
    </x:row>
    <x:row r="253">
      <x:c r="A253" s="188" t="str">
        <x:v>T00249</x:v>
      </x:c>
      <x:c r="B253" s="189" t="str">
        <x:v>P016</x:v>
      </x:c>
      <x:c r="C253" s="189" t="str">
        <x:v>S09</x:v>
      </x:c>
      <x:c r="D253" s="189" t="str">
        <x:v>Emma Hayes</x:v>
      </x:c>
      <x:c r="E253" s="189" t="str">
        <x:v>Design</x:v>
      </x:c>
      <x:c r="F253" s="190" t="n">
        <x:v>46157</x:v>
      </x:c>
      <x:c r="G253" s="189" t="n">
        <x:v>23</x:v>
      </x:c>
      <x:c r="H253" s="203" t="n">
        <x:v>1564</x:v>
      </x:c>
      <x:c r="I253" s="193" t="n">
        <x:v>23</x:v>
      </x:c>
    </x:row>
    <x:row r="254">
      <x:c r="A254" s="188" t="str">
        <x:v>T00250</x:v>
      </x:c>
      <x:c r="B254" s="189" t="str">
        <x:v>P016</x:v>
      </x:c>
      <x:c r="C254" s="189" t="str">
        <x:v>S10</x:v>
      </x:c>
      <x:c r="D254" s="189" t="str">
        <x:v>Noah Reed</x:v>
      </x:c>
      <x:c r="E254" s="189" t="str">
        <x:v>Strategy</x:v>
      </x:c>
      <x:c r="F254" s="190" t="n">
        <x:v>46147</x:v>
      </x:c>
      <x:c r="G254" s="189" t="n">
        <x:v>27</x:v>
      </x:c>
      <x:c r="H254" s="203" t="n">
        <x:v>2430</x:v>
      </x:c>
      <x:c r="I254" s="193" t="n">
        <x:v>27</x:v>
      </x:c>
    </x:row>
    <x:row r="255">
      <x:c r="A255" s="188" t="str">
        <x:v>T00251</x:v>
      </x:c>
      <x:c r="B255" s="189" t="str">
        <x:v>P016</x:v>
      </x:c>
      <x:c r="C255" s="189" t="str">
        <x:v>S01</x:v>
      </x:c>
      <x:c r="D255" s="189" t="str">
        <x:v>Maya Chen</x:v>
      </x:c>
      <x:c r="E255" s="189" t="str">
        <x:v>Strategy</x:v>
      </x:c>
      <x:c r="F255" s="190" t="n">
        <x:v>46161</x:v>
      </x:c>
      <x:c r="G255" s="189" t="n">
        <x:v>21</x:v>
      </x:c>
      <x:c r="H255" s="203" t="n">
        <x:v>1995</x:v>
      </x:c>
      <x:c r="I255" s="193" t="n">
        <x:v>0</x:v>
      </x:c>
    </x:row>
    <x:row r="256">
      <x:c r="A256" s="188" t="str">
        <x:v>T00252</x:v>
      </x:c>
      <x:c r="B256" s="189" t="str">
        <x:v>P016</x:v>
      </x:c>
      <x:c r="C256" s="189" t="str">
        <x:v>S02</x:v>
      </x:c>
      <x:c r="D256" s="189" t="str">
        <x:v>Elias Ward</x:v>
      </x:c>
      <x:c r="E256" s="189" t="str">
        <x:v>Design</x:v>
      </x:c>
      <x:c r="F256" s="190" t="n">
        <x:v>46173</x:v>
      </x:c>
      <x:c r="G256" s="189" t="n">
        <x:v>24</x:v>
      </x:c>
      <x:c r="H256" s="203" t="n">
        <x:v>1728</x:v>
      </x:c>
      <x:c r="I256" s="193" t="n">
        <x:v>24</x:v>
      </x:c>
    </x:row>
    <x:row r="257">
      <x:c r="A257" s="188" t="str">
        <x:v>T00253</x:v>
      </x:c>
      <x:c r="B257" s="189" t="str">
        <x:v>P016</x:v>
      </x:c>
      <x:c r="C257" s="189" t="str">
        <x:v>S03</x:v>
      </x:c>
      <x:c r="D257" s="189" t="str">
        <x:v>Nora Patel</x:v>
      </x:c>
      <x:c r="E257" s="189" t="str">
        <x:v>Analytics</x:v>
      </x:c>
      <x:c r="F257" s="190" t="n">
        <x:v>46146</x:v>
      </x:c>
      <x:c r="G257" s="189" t="n">
        <x:v>22</x:v>
      </x:c>
      <x:c r="H257" s="203" t="n">
        <x:v>1804</x:v>
      </x:c>
      <x:c r="I257" s="193" t="n">
        <x:v>22</x:v>
      </x:c>
    </x:row>
    <x:row r="258">
      <x:c r="A258" s="188" t="str">
        <x:v>T00254</x:v>
      </x:c>
      <x:c r="B258" s="189" t="str">
        <x:v>P016</x:v>
      </x:c>
      <x:c r="C258" s="189" t="str">
        <x:v>S04</x:v>
      </x:c>
      <x:c r="D258" s="189" t="str">
        <x:v>Owen Brooks</x:v>
      </x:c>
      <x:c r="E258" s="189" t="str">
        <x:v>Development</x:v>
      </x:c>
      <x:c r="F258" s="190" t="n">
        <x:v>46157</x:v>
      </x:c>
      <x:c r="G258" s="189" t="n">
        <x:v>37</x:v>
      </x:c>
      <x:c r="H258" s="203" t="n">
        <x:v>3256</x:v>
      </x:c>
      <x:c r="I258" s="193" t="n">
        <x:v>0</x:v>
      </x:c>
    </x:row>
    <x:row r="259">
      <x:c r="A259" s="188" t="str">
        <x:v>T00255</x:v>
      </x:c>
      <x:c r="B259" s="189" t="str">
        <x:v>P016</x:v>
      </x:c>
      <x:c r="C259" s="189" t="str">
        <x:v>S05</x:v>
      </x:c>
      <x:c r="D259" s="189" t="str">
        <x:v>Sara Lin</x:v>
      </x:c>
      <x:c r="E259" s="189" t="str">
        <x:v>Project Management</x:v>
      </x:c>
      <x:c r="F259" s="190" t="n">
        <x:v>46133</x:v>
      </x:c>
      <x:c r="G259" s="189" t="n">
        <x:v>27</x:v>
      </x:c>
      <x:c r="H259" s="203" t="n">
        <x:v>1890</x:v>
      </x:c>
      <x:c r="I259" s="193" t="n">
        <x:v>27</x:v>
      </x:c>
    </x:row>
    <x:row r="260">
      <x:c r="A260" s="188" t="str">
        <x:v>T00256</x:v>
      </x:c>
      <x:c r="B260" s="189" t="str">
        <x:v>P016</x:v>
      </x:c>
      <x:c r="C260" s="189" t="str">
        <x:v>S06</x:v>
      </x:c>
      <x:c r="D260" s="189" t="str">
        <x:v>Leo Martin</x:v>
      </x:c>
      <x:c r="E260" s="189" t="str">
        <x:v>Development</x:v>
      </x:c>
      <x:c r="F260" s="190" t="n">
        <x:v>46166</x:v>
      </x:c>
      <x:c r="G260" s="189" t="n">
        <x:v>37</x:v>
      </x:c>
      <x:c r="H260" s="203" t="n">
        <x:v>3404</x:v>
      </x:c>
      <x:c r="I260" s="193" t="n">
        <x:v>0</x:v>
      </x:c>
    </x:row>
    <x:row r="261">
      <x:c r="A261" s="188" t="str">
        <x:v>T00257</x:v>
      </x:c>
      <x:c r="B261" s="189" t="str">
        <x:v>P016</x:v>
      </x:c>
      <x:c r="C261" s="189" t="str">
        <x:v>S07</x:v>
      </x:c>
      <x:c r="D261" s="189" t="str">
        <x:v>Ava Stone</x:v>
      </x:c>
      <x:c r="E261" s="189" t="str">
        <x:v>Content</x:v>
      </x:c>
      <x:c r="F261" s="190" t="n">
        <x:v>46151</x:v>
      </x:c>
      <x:c r="G261" s="189" t="n">
        <x:v>20</x:v>
      </x:c>
      <x:c r="H261" s="203" t="n">
        <x:v>1160</x:v>
      </x:c>
      <x:c r="I261" s="193" t="n">
        <x:v>20</x:v>
      </x:c>
    </x:row>
    <x:row r="262">
      <x:c r="A262" s="188" t="str">
        <x:v>T00258</x:v>
      </x:c>
      <x:c r="B262" s="189" t="str">
        <x:v>P017</x:v>
      </x:c>
      <x:c r="C262" s="189" t="str">
        <x:v>S07</x:v>
      </x:c>
      <x:c r="D262" s="189" t="str">
        <x:v>Ava Stone</x:v>
      </x:c>
      <x:c r="E262" s="189" t="str">
        <x:v>Content</x:v>
      </x:c>
      <x:c r="F262" s="190" t="n">
        <x:v>46202</x:v>
      </x:c>
      <x:c r="G262" s="189" t="n">
        <x:v>27</x:v>
      </x:c>
      <x:c r="H262" s="203" t="n">
        <x:v>1566</x:v>
      </x:c>
      <x:c r="I262" s="193" t="n">
        <x:v>27</x:v>
      </x:c>
    </x:row>
    <x:row r="263">
      <x:c r="A263" s="188" t="str">
        <x:v>T00259</x:v>
      </x:c>
      <x:c r="B263" s="189" t="str">
        <x:v>P017</x:v>
      </x:c>
      <x:c r="C263" s="189" t="str">
        <x:v>S08</x:v>
      </x:c>
      <x:c r="D263" s="189" t="str">
        <x:v>Theo King</x:v>
      </x:c>
      <x:c r="E263" s="189" t="str">
        <x:v>Analytics</x:v>
      </x:c>
      <x:c r="F263" s="190" t="n">
        <x:v>46177</x:v>
      </x:c>
      <x:c r="G263" s="189" t="n">
        <x:v>28</x:v>
      </x:c>
      <x:c r="H263" s="203" t="n">
        <x:v>2184</x:v>
      </x:c>
      <x:c r="I263" s="193" t="n">
        <x:v>28</x:v>
      </x:c>
    </x:row>
    <x:row r="264">
      <x:c r="A264" s="188" t="str">
        <x:v>T00260</x:v>
      </x:c>
      <x:c r="B264" s="189" t="str">
        <x:v>P017</x:v>
      </x:c>
      <x:c r="C264" s="189" t="str">
        <x:v>S09</x:v>
      </x:c>
      <x:c r="D264" s="189" t="str">
        <x:v>Emma Hayes</x:v>
      </x:c>
      <x:c r="E264" s="189" t="str">
        <x:v>Design</x:v>
      </x:c>
      <x:c r="F264" s="190" t="n">
        <x:v>46201</x:v>
      </x:c>
      <x:c r="G264" s="189" t="n">
        <x:v>36</x:v>
      </x:c>
      <x:c r="H264" s="203" t="n">
        <x:v>2448</x:v>
      </x:c>
      <x:c r="I264" s="193" t="n">
        <x:v>36</x:v>
      </x:c>
    </x:row>
    <x:row r="265">
      <x:c r="A265" s="188" t="str">
        <x:v>T00261</x:v>
      </x:c>
      <x:c r="B265" s="189" t="str">
        <x:v>P017</x:v>
      </x:c>
      <x:c r="C265" s="189" t="str">
        <x:v>S10</x:v>
      </x:c>
      <x:c r="D265" s="189" t="str">
        <x:v>Noah Reed</x:v>
      </x:c>
      <x:c r="E265" s="189" t="str">
        <x:v>Strategy</x:v>
      </x:c>
      <x:c r="F265" s="190" t="n">
        <x:v>46162</x:v>
      </x:c>
      <x:c r="G265" s="189" t="n">
        <x:v>40</x:v>
      </x:c>
      <x:c r="H265" s="203" t="n">
        <x:v>3600</x:v>
      </x:c>
      <x:c r="I265" s="193" t="n">
        <x:v>40</x:v>
      </x:c>
    </x:row>
    <x:row r="266">
      <x:c r="A266" s="188" t="str">
        <x:v>T00262</x:v>
      </x:c>
      <x:c r="B266" s="189" t="str">
        <x:v>P017</x:v>
      </x:c>
      <x:c r="C266" s="189" t="str">
        <x:v>S01</x:v>
      </x:c>
      <x:c r="D266" s="189" t="str">
        <x:v>Maya Chen</x:v>
      </x:c>
      <x:c r="E266" s="189" t="str">
        <x:v>Strategy</x:v>
      </x:c>
      <x:c r="F266" s="190" t="n">
        <x:v>46150</x:v>
      </x:c>
      <x:c r="G266" s="189" t="n">
        <x:v>31</x:v>
      </x:c>
      <x:c r="H266" s="203" t="n">
        <x:v>2945</x:v>
      </x:c>
      <x:c r="I266" s="193" t="n">
        <x:v>0</x:v>
      </x:c>
    </x:row>
    <x:row r="267">
      <x:c r="A267" s="188" t="str">
        <x:v>T00263</x:v>
      </x:c>
      <x:c r="B267" s="189" t="str">
        <x:v>P017</x:v>
      </x:c>
      <x:c r="C267" s="189" t="str">
        <x:v>S02</x:v>
      </x:c>
      <x:c r="D267" s="189" t="str">
        <x:v>Elias Ward</x:v>
      </x:c>
      <x:c r="E267" s="189" t="str">
        <x:v>Design</x:v>
      </x:c>
      <x:c r="F267" s="190" t="n">
        <x:v>46165</x:v>
      </x:c>
      <x:c r="G267" s="189" t="n">
        <x:v>25</x:v>
      </x:c>
      <x:c r="H267" s="203" t="n">
        <x:v>1800</x:v>
      </x:c>
      <x:c r="I267" s="193" t="n">
        <x:v>25</x:v>
      </x:c>
    </x:row>
    <x:row r="268">
      <x:c r="A268" s="188" t="str">
        <x:v>T00264</x:v>
      </x:c>
      <x:c r="B268" s="189" t="str">
        <x:v>P017</x:v>
      </x:c>
      <x:c r="C268" s="189" t="str">
        <x:v>S03</x:v>
      </x:c>
      <x:c r="D268" s="189" t="str">
        <x:v>Nora Patel</x:v>
      </x:c>
      <x:c r="E268" s="189" t="str">
        <x:v>Analytics</x:v>
      </x:c>
      <x:c r="F268" s="190" t="n">
        <x:v>46171</x:v>
      </x:c>
      <x:c r="G268" s="189" t="n">
        <x:v>44</x:v>
      </x:c>
      <x:c r="H268" s="203" t="n">
        <x:v>3608</x:v>
      </x:c>
      <x:c r="I268" s="193" t="n">
        <x:v>0</x:v>
      </x:c>
    </x:row>
    <x:row r="269">
      <x:c r="A269" s="188" t="str">
        <x:v>T00265</x:v>
      </x:c>
      <x:c r="B269" s="189" t="str">
        <x:v>P017</x:v>
      </x:c>
      <x:c r="C269" s="189" t="str">
        <x:v>S04</x:v>
      </x:c>
      <x:c r="D269" s="189" t="str">
        <x:v>Owen Brooks</x:v>
      </x:c>
      <x:c r="E269" s="189" t="str">
        <x:v>Development</x:v>
      </x:c>
      <x:c r="F269" s="190" t="n">
        <x:v>46174</x:v>
      </x:c>
      <x:c r="G269" s="189" t="n">
        <x:v>45</x:v>
      </x:c>
      <x:c r="H269" s="203" t="n">
        <x:v>3960</x:v>
      </x:c>
      <x:c r="I269" s="193" t="n">
        <x:v>45</x:v>
      </x:c>
    </x:row>
    <x:row r="270">
      <x:c r="A270" s="188" t="str">
        <x:v>T00266</x:v>
      </x:c>
      <x:c r="B270" s="189" t="str">
        <x:v>P017</x:v>
      </x:c>
      <x:c r="C270" s="189" t="str">
        <x:v>S05</x:v>
      </x:c>
      <x:c r="D270" s="189" t="str">
        <x:v>Sara Lin</x:v>
      </x:c>
      <x:c r="E270" s="189" t="str">
        <x:v>Project Management</x:v>
      </x:c>
      <x:c r="F270" s="190" t="n">
        <x:v>46186</x:v>
      </x:c>
      <x:c r="G270" s="189" t="n">
        <x:v>35</x:v>
      </x:c>
      <x:c r="H270" s="203" t="n">
        <x:v>2450</x:v>
      </x:c>
      <x:c r="I270" s="193" t="n">
        <x:v>35</x:v>
      </x:c>
    </x:row>
    <x:row r="271">
      <x:c r="A271" s="188" t="str">
        <x:v>T00267</x:v>
      </x:c>
      <x:c r="B271" s="189" t="str">
        <x:v>P017</x:v>
      </x:c>
      <x:c r="C271" s="189" t="str">
        <x:v>S06</x:v>
      </x:c>
      <x:c r="D271" s="189" t="str">
        <x:v>Leo Martin</x:v>
      </x:c>
      <x:c r="E271" s="189" t="str">
        <x:v>Development</x:v>
      </x:c>
      <x:c r="F271" s="190" t="n">
        <x:v>46162</x:v>
      </x:c>
      <x:c r="G271" s="189" t="n">
        <x:v>38</x:v>
      </x:c>
      <x:c r="H271" s="203" t="n">
        <x:v>3496</x:v>
      </x:c>
      <x:c r="I271" s="193" t="n">
        <x:v>38</x:v>
      </x:c>
    </x:row>
    <x:row r="272">
      <x:c r="A272" s="188" t="str">
        <x:v>T00268</x:v>
      </x:c>
      <x:c r="B272" s="189" t="str">
        <x:v>P017</x:v>
      </x:c>
      <x:c r="C272" s="189" t="str">
        <x:v>S07</x:v>
      </x:c>
      <x:c r="D272" s="189" t="str">
        <x:v>Ava Stone</x:v>
      </x:c>
      <x:c r="E272" s="189" t="str">
        <x:v>Content</x:v>
      </x:c>
      <x:c r="F272" s="190" t="n">
        <x:v>46185</x:v>
      </x:c>
      <x:c r="G272" s="189" t="n">
        <x:v>26</x:v>
      </x:c>
      <x:c r="H272" s="203" t="n">
        <x:v>1508</x:v>
      </x:c>
      <x:c r="I272" s="193" t="n">
        <x:v>26</x:v>
      </x:c>
    </x:row>
    <x:row r="273">
      <x:c r="A273" s="188" t="str">
        <x:v>T00269</x:v>
      </x:c>
      <x:c r="B273" s="189" t="str">
        <x:v>P017</x:v>
      </x:c>
      <x:c r="C273" s="189" t="str">
        <x:v>S08</x:v>
      </x:c>
      <x:c r="D273" s="189" t="str">
        <x:v>Theo King</x:v>
      </x:c>
      <x:c r="E273" s="189" t="str">
        <x:v>Analytics</x:v>
      </x:c>
      <x:c r="F273" s="190" t="n">
        <x:v>46169</x:v>
      </x:c>
      <x:c r="G273" s="189" t="n">
        <x:v>23</x:v>
      </x:c>
      <x:c r="H273" s="203" t="n">
        <x:v>1794</x:v>
      </x:c>
      <x:c r="I273" s="193" t="n">
        <x:v>23</x:v>
      </x:c>
    </x:row>
    <x:row r="274">
      <x:c r="A274" s="188" t="str">
        <x:v>T00270</x:v>
      </x:c>
      <x:c r="B274" s="189" t="str">
        <x:v>P017</x:v>
      </x:c>
      <x:c r="C274" s="189" t="str">
        <x:v>S09</x:v>
      </x:c>
      <x:c r="D274" s="189" t="str">
        <x:v>Emma Hayes</x:v>
      </x:c>
      <x:c r="E274" s="189" t="str">
        <x:v>Design</x:v>
      </x:c>
      <x:c r="F274" s="190" t="n">
        <x:v>46147</x:v>
      </x:c>
      <x:c r="G274" s="189" t="n">
        <x:v>41</x:v>
      </x:c>
      <x:c r="H274" s="203" t="n">
        <x:v>2788</x:v>
      </x:c>
      <x:c r="I274" s="193" t="n">
        <x:v>0</x:v>
      </x:c>
    </x:row>
    <x:row r="275">
      <x:c r="A275" s="188" t="str">
        <x:v>T00271</x:v>
      </x:c>
      <x:c r="B275" s="189" t="str">
        <x:v>P017</x:v>
      </x:c>
      <x:c r="C275" s="189" t="str">
        <x:v>S10</x:v>
      </x:c>
      <x:c r="D275" s="189" t="str">
        <x:v>Noah Reed</x:v>
      </x:c>
      <x:c r="E275" s="189" t="str">
        <x:v>Strategy</x:v>
      </x:c>
      <x:c r="F275" s="190" t="n">
        <x:v>46181</x:v>
      </x:c>
      <x:c r="G275" s="189" t="n">
        <x:v>28</x:v>
      </x:c>
      <x:c r="H275" s="203" t="n">
        <x:v>2520</x:v>
      </x:c>
      <x:c r="I275" s="193" t="n">
        <x:v>28</x:v>
      </x:c>
    </x:row>
    <x:row r="276">
      <x:c r="A276" s="188" t="str">
        <x:v>T00272</x:v>
      </x:c>
      <x:c r="B276" s="189" t="str">
        <x:v>P018</x:v>
      </x:c>
      <x:c r="C276" s="189" t="str">
        <x:v>S08</x:v>
      </x:c>
      <x:c r="D276" s="189" t="str">
        <x:v>Theo King</x:v>
      </x:c>
      <x:c r="E276" s="189" t="str">
        <x:v>Analytics</x:v>
      </x:c>
      <x:c r="F276" s="190" t="n">
        <x:v>46218</x:v>
      </x:c>
      <x:c r="G276" s="189" t="n">
        <x:v>9</x:v>
      </x:c>
      <x:c r="H276" s="203" t="n">
        <x:v>702</x:v>
      </x:c>
      <x:c r="I276" s="193" t="n">
        <x:v>9</x:v>
      </x:c>
    </x:row>
    <x:row r="277">
      <x:c r="A277" s="188" t="str">
        <x:v>T00273</x:v>
      </x:c>
      <x:c r="B277" s="189" t="str">
        <x:v>P018</x:v>
      </x:c>
      <x:c r="C277" s="189" t="str">
        <x:v>S09</x:v>
      </x:c>
      <x:c r="D277" s="189" t="str">
        <x:v>Emma Hayes</x:v>
      </x:c>
      <x:c r="E277" s="189" t="str">
        <x:v>Design</x:v>
      </x:c>
      <x:c r="F277" s="190" t="n">
        <x:v>46220</x:v>
      </x:c>
      <x:c r="G277" s="189" t="n">
        <x:v>10</x:v>
      </x:c>
      <x:c r="H277" s="203" t="n">
        <x:v>680</x:v>
      </x:c>
      <x:c r="I277" s="193" t="n">
        <x:v>10</x:v>
      </x:c>
    </x:row>
    <x:row r="278">
      <x:c r="A278" s="188" t="str">
        <x:v>T00274</x:v>
      </x:c>
      <x:c r="B278" s="189" t="str">
        <x:v>P018</x:v>
      </x:c>
      <x:c r="C278" s="189" t="str">
        <x:v>S10</x:v>
      </x:c>
      <x:c r="D278" s="189" t="str">
        <x:v>Noah Reed</x:v>
      </x:c>
      <x:c r="E278" s="189" t="str">
        <x:v>Strategy</x:v>
      </x:c>
      <x:c r="F278" s="190" t="n">
        <x:v>46161</x:v>
      </x:c>
      <x:c r="G278" s="189" t="n">
        <x:v>17</x:v>
      </x:c>
      <x:c r="H278" s="203" t="n">
        <x:v>1530</x:v>
      </x:c>
      <x:c r="I278" s="193" t="n">
        <x:v>17</x:v>
      </x:c>
    </x:row>
    <x:row r="279">
      <x:c r="A279" s="188" t="str">
        <x:v>T00275</x:v>
      </x:c>
      <x:c r="B279" s="189" t="str">
        <x:v>P018</x:v>
      </x:c>
      <x:c r="C279" s="189" t="str">
        <x:v>S01</x:v>
      </x:c>
      <x:c r="D279" s="189" t="str">
        <x:v>Maya Chen</x:v>
      </x:c>
      <x:c r="E279" s="189" t="str">
        <x:v>Strategy</x:v>
      </x:c>
      <x:c r="F279" s="190" t="n">
        <x:v>46199</x:v>
      </x:c>
      <x:c r="G279" s="189" t="n">
        <x:v>14</x:v>
      </x:c>
      <x:c r="H279" s="203" t="n">
        <x:v>1330</x:v>
      </x:c>
      <x:c r="I279" s="193" t="n">
        <x:v>14</x:v>
      </x:c>
    </x:row>
    <x:row r="280">
      <x:c r="A280" s="188" t="str">
        <x:v>T00276</x:v>
      </x:c>
      <x:c r="B280" s="189" t="str">
        <x:v>P018</x:v>
      </x:c>
      <x:c r="C280" s="189" t="str">
        <x:v>S02</x:v>
      </x:c>
      <x:c r="D280" s="189" t="str">
        <x:v>Elias Ward</x:v>
      </x:c>
      <x:c r="E280" s="189" t="str">
        <x:v>Design</x:v>
      </x:c>
      <x:c r="F280" s="190" t="n">
        <x:v>46170</x:v>
      </x:c>
      <x:c r="G280" s="189" t="n">
        <x:v>16</x:v>
      </x:c>
      <x:c r="H280" s="203" t="n">
        <x:v>1152</x:v>
      </x:c>
      <x:c r="I280" s="193" t="n">
        <x:v>16</x:v>
      </x:c>
    </x:row>
    <x:row r="281">
      <x:c r="A281" s="188" t="str">
        <x:v>T00277</x:v>
      </x:c>
      <x:c r="B281" s="189" t="str">
        <x:v>P018</x:v>
      </x:c>
      <x:c r="C281" s="189" t="str">
        <x:v>S03</x:v>
      </x:c>
      <x:c r="D281" s="189" t="str">
        <x:v>Nora Patel</x:v>
      </x:c>
      <x:c r="E281" s="189" t="str">
        <x:v>Analytics</x:v>
      </x:c>
      <x:c r="F281" s="190" t="n">
        <x:v>46175</x:v>
      </x:c>
      <x:c r="G281" s="189" t="n">
        <x:v>11</x:v>
      </x:c>
      <x:c r="H281" s="203" t="n">
        <x:v>902</x:v>
      </x:c>
      <x:c r="I281" s="193" t="n">
        <x:v>11</x:v>
      </x:c>
    </x:row>
    <x:row r="282">
      <x:c r="A282" s="188" t="str">
        <x:v>T00278</x:v>
      </x:c>
      <x:c r="B282" s="189" t="str">
        <x:v>P018</x:v>
      </x:c>
      <x:c r="C282" s="189" t="str">
        <x:v>S04</x:v>
      </x:c>
      <x:c r="D282" s="189" t="str">
        <x:v>Owen Brooks</x:v>
      </x:c>
      <x:c r="E282" s="189" t="str">
        <x:v>Development</x:v>
      </x:c>
      <x:c r="F282" s="190" t="n">
        <x:v>46202</x:v>
      </x:c>
      <x:c r="G282" s="189" t="n">
        <x:v>13</x:v>
      </x:c>
      <x:c r="H282" s="203" t="n">
        <x:v>1144</x:v>
      </x:c>
      <x:c r="I282" s="193" t="n">
        <x:v>13</x:v>
      </x:c>
    </x:row>
    <x:row r="283">
      <x:c r="A283" s="188" t="str">
        <x:v>T00279</x:v>
      </x:c>
      <x:c r="B283" s="189" t="str">
        <x:v>P018</x:v>
      </x:c>
      <x:c r="C283" s="189" t="str">
        <x:v>S05</x:v>
      </x:c>
      <x:c r="D283" s="189" t="str">
        <x:v>Sara Lin</x:v>
      </x:c>
      <x:c r="E283" s="189" t="str">
        <x:v>Project Management</x:v>
      </x:c>
      <x:c r="F283" s="190" t="n">
        <x:v>46169</x:v>
      </x:c>
      <x:c r="G283" s="189" t="n">
        <x:v>10</x:v>
      </x:c>
      <x:c r="H283" s="203" t="n">
        <x:v>700</x:v>
      </x:c>
      <x:c r="I283" s="193" t="n">
        <x:v>10</x:v>
      </x:c>
    </x:row>
    <x:row r="284">
      <x:c r="A284" s="188" t="str">
        <x:v>T00280</x:v>
      </x:c>
      <x:c r="B284" s="189" t="str">
        <x:v>P018</x:v>
      </x:c>
      <x:c r="C284" s="189" t="str">
        <x:v>S06</x:v>
      </x:c>
      <x:c r="D284" s="189" t="str">
        <x:v>Leo Martin</x:v>
      </x:c>
      <x:c r="E284" s="189" t="str">
        <x:v>Development</x:v>
      </x:c>
      <x:c r="F284" s="190" t="n">
        <x:v>46156</x:v>
      </x:c>
      <x:c r="G284" s="189" t="n">
        <x:v>9</x:v>
      </x:c>
      <x:c r="H284" s="203" t="n">
        <x:v>828</x:v>
      </x:c>
      <x:c r="I284" s="193" t="n">
        <x:v>9</x:v>
      </x:c>
    </x:row>
    <x:row r="285">
      <x:c r="A285" s="188" t="str">
        <x:v>T00281</x:v>
      </x:c>
      <x:c r="B285" s="189" t="str">
        <x:v>P018</x:v>
      </x:c>
      <x:c r="C285" s="189" t="str">
        <x:v>S07</x:v>
      </x:c>
      <x:c r="D285" s="189" t="str">
        <x:v>Ava Stone</x:v>
      </x:c>
      <x:c r="E285" s="189" t="str">
        <x:v>Content</x:v>
      </x:c>
      <x:c r="F285" s="190" t="n">
        <x:v>46171</x:v>
      </x:c>
      <x:c r="G285" s="189" t="n">
        <x:v>16</x:v>
      </x:c>
      <x:c r="H285" s="203" t="n">
        <x:v>928</x:v>
      </x:c>
      <x:c r="I285" s="193" t="n">
        <x:v>0</x:v>
      </x:c>
    </x:row>
    <x:row r="286">
      <x:c r="A286" s="188" t="str">
        <x:v>T00282</x:v>
      </x:c>
      <x:c r="B286" s="189" t="str">
        <x:v>P018</x:v>
      </x:c>
      <x:c r="C286" s="189" t="str">
        <x:v>S08</x:v>
      </x:c>
      <x:c r="D286" s="189" t="str">
        <x:v>Theo King</x:v>
      </x:c>
      <x:c r="E286" s="189" t="str">
        <x:v>Analytics</x:v>
      </x:c>
      <x:c r="F286" s="190" t="n">
        <x:v>46151</x:v>
      </x:c>
      <x:c r="G286" s="189" t="n">
        <x:v>15</x:v>
      </x:c>
      <x:c r="H286" s="203" t="n">
        <x:v>1170</x:v>
      </x:c>
      <x:c r="I286" s="193" t="n">
        <x:v>15</x:v>
      </x:c>
    </x:row>
    <x:row r="287">
      <x:c r="A287" s="188" t="str">
        <x:v>T00283</x:v>
      </x:c>
      <x:c r="B287" s="189" t="str">
        <x:v>P018</x:v>
      </x:c>
      <x:c r="C287" s="189" t="str">
        <x:v>S09</x:v>
      </x:c>
      <x:c r="D287" s="189" t="str">
        <x:v>Emma Hayes</x:v>
      </x:c>
      <x:c r="E287" s="189" t="str">
        <x:v>Design</x:v>
      </x:c>
      <x:c r="F287" s="190" t="n">
        <x:v>46215</x:v>
      </x:c>
      <x:c r="G287" s="189" t="n">
        <x:v>10</x:v>
      </x:c>
      <x:c r="H287" s="203" t="n">
        <x:v>680</x:v>
      </x:c>
      <x:c r="I287" s="193" t="n">
        <x:v>10</x:v>
      </x:c>
    </x:row>
    <x:row r="288">
      <x:c r="A288" s="188" t="str">
        <x:v>T00284</x:v>
      </x:c>
      <x:c r="B288" s="189" t="str">
        <x:v>P018</x:v>
      </x:c>
      <x:c r="C288" s="189" t="str">
        <x:v>S10</x:v>
      </x:c>
      <x:c r="D288" s="189" t="str">
        <x:v>Noah Reed</x:v>
      </x:c>
      <x:c r="E288" s="189" t="str">
        <x:v>Strategy</x:v>
      </x:c>
      <x:c r="F288" s="190" t="n">
        <x:v>46202</x:v>
      </x:c>
      <x:c r="G288" s="189" t="n">
        <x:v>19</x:v>
      </x:c>
      <x:c r="H288" s="203" t="n">
        <x:v>1710</x:v>
      </x:c>
      <x:c r="I288" s="193" t="n">
        <x:v>19</x:v>
      </x:c>
    </x:row>
    <x:row r="289">
      <x:c r="A289" s="188" t="str">
        <x:v>T00285</x:v>
      </x:c>
      <x:c r="B289" s="189" t="str">
        <x:v>P019</x:v>
      </x:c>
      <x:c r="C289" s="189" t="str">
        <x:v>S09</x:v>
      </x:c>
      <x:c r="D289" s="189" t="str">
        <x:v>Emma Hayes</x:v>
      </x:c>
      <x:c r="E289" s="189" t="str">
        <x:v>Design</x:v>
      </x:c>
      <x:c r="F289" s="190" t="n">
        <x:v>46209</x:v>
      </x:c>
      <x:c r="G289" s="189" t="n">
        <x:v>16</x:v>
      </x:c>
      <x:c r="H289" s="203" t="n">
        <x:v>1088</x:v>
      </x:c>
      <x:c r="I289" s="193" t="n">
        <x:v>16</x:v>
      </x:c>
    </x:row>
    <x:row r="290">
      <x:c r="A290" s="188" t="str">
        <x:v>T00286</x:v>
      </x:c>
      <x:c r="B290" s="189" t="str">
        <x:v>P019</x:v>
      </x:c>
      <x:c r="C290" s="189" t="str">
        <x:v>S10</x:v>
      </x:c>
      <x:c r="D290" s="189" t="str">
        <x:v>Noah Reed</x:v>
      </x:c>
      <x:c r="E290" s="189" t="str">
        <x:v>Strategy</x:v>
      </x:c>
      <x:c r="F290" s="190" t="n">
        <x:v>46156</x:v>
      </x:c>
      <x:c r="G290" s="189" t="n">
        <x:v>10</x:v>
      </x:c>
      <x:c r="H290" s="203" t="n">
        <x:v>900</x:v>
      </x:c>
      <x:c r="I290" s="193" t="n">
        <x:v>10</x:v>
      </x:c>
    </x:row>
    <x:row r="291">
      <x:c r="A291" s="188" t="str">
        <x:v>T00287</x:v>
      </x:c>
      <x:c r="B291" s="189" t="str">
        <x:v>P019</x:v>
      </x:c>
      <x:c r="C291" s="189" t="str">
        <x:v>S01</x:v>
      </x:c>
      <x:c r="D291" s="189" t="str">
        <x:v>Maya Chen</x:v>
      </x:c>
      <x:c r="E291" s="189" t="str">
        <x:v>Strategy</x:v>
      </x:c>
      <x:c r="F291" s="190" t="n">
        <x:v>46196</x:v>
      </x:c>
      <x:c r="G291" s="189" t="n">
        <x:v>12</x:v>
      </x:c>
      <x:c r="H291" s="203" t="n">
        <x:v>1140</x:v>
      </x:c>
      <x:c r="I291" s="193" t="n">
        <x:v>12</x:v>
      </x:c>
    </x:row>
    <x:row r="292">
      <x:c r="A292" s="188" t="str">
        <x:v>T00288</x:v>
      </x:c>
      <x:c r="B292" s="189" t="str">
        <x:v>P019</x:v>
      </x:c>
      <x:c r="C292" s="189" t="str">
        <x:v>S02</x:v>
      </x:c>
      <x:c r="D292" s="189" t="str">
        <x:v>Elias Ward</x:v>
      </x:c>
      <x:c r="E292" s="189" t="str">
        <x:v>Design</x:v>
      </x:c>
      <x:c r="F292" s="190" t="n">
        <x:v>46208</x:v>
      </x:c>
      <x:c r="G292" s="189" t="n">
        <x:v>12</x:v>
      </x:c>
      <x:c r="H292" s="203" t="n">
        <x:v>864</x:v>
      </x:c>
      <x:c r="I292" s="193" t="n">
        <x:v>12</x:v>
      </x:c>
    </x:row>
    <x:row r="293">
      <x:c r="A293" s="188" t="str">
        <x:v>T00289</x:v>
      </x:c>
      <x:c r="B293" s="189" t="str">
        <x:v>P019</x:v>
      </x:c>
      <x:c r="C293" s="189" t="str">
        <x:v>S03</x:v>
      </x:c>
      <x:c r="D293" s="189" t="str">
        <x:v>Nora Patel</x:v>
      </x:c>
      <x:c r="E293" s="189" t="str">
        <x:v>Analytics</x:v>
      </x:c>
      <x:c r="F293" s="190" t="n">
        <x:v>46173</x:v>
      </x:c>
      <x:c r="G293" s="189" t="n">
        <x:v>15</x:v>
      </x:c>
      <x:c r="H293" s="203" t="n">
        <x:v>1230</x:v>
      </x:c>
      <x:c r="I293" s="193" t="n">
        <x:v>15</x:v>
      </x:c>
    </x:row>
    <x:row r="294">
      <x:c r="A294" s="188" t="str">
        <x:v>T00290</x:v>
      </x:c>
      <x:c r="B294" s="189" t="str">
        <x:v>P019</x:v>
      </x:c>
      <x:c r="C294" s="189" t="str">
        <x:v>S04</x:v>
      </x:c>
      <x:c r="D294" s="189" t="str">
        <x:v>Owen Brooks</x:v>
      </x:c>
      <x:c r="E294" s="189" t="str">
        <x:v>Development</x:v>
      </x:c>
      <x:c r="F294" s="190" t="n">
        <x:v>46197</x:v>
      </x:c>
      <x:c r="G294" s="189" t="n">
        <x:v>11</x:v>
      </x:c>
      <x:c r="H294" s="203" t="n">
        <x:v>968</x:v>
      </x:c>
      <x:c r="I294" s="193" t="n">
        <x:v>11</x:v>
      </x:c>
    </x:row>
    <x:row r="295">
      <x:c r="A295" s="188" t="str">
        <x:v>T00291</x:v>
      </x:c>
      <x:c r="B295" s="189" t="str">
        <x:v>P019</x:v>
      </x:c>
      <x:c r="C295" s="189" t="str">
        <x:v>S05</x:v>
      </x:c>
      <x:c r="D295" s="189" t="str">
        <x:v>Sara Lin</x:v>
      </x:c>
      <x:c r="E295" s="189" t="str">
        <x:v>Project Management</x:v>
      </x:c>
      <x:c r="F295" s="190" t="n">
        <x:v>46161</x:v>
      </x:c>
      <x:c r="G295" s="189" t="n">
        <x:v>17</x:v>
      </x:c>
      <x:c r="H295" s="203" t="n">
        <x:v>1190</x:v>
      </x:c>
      <x:c r="I295" s="193" t="n">
        <x:v>17</x:v>
      </x:c>
    </x:row>
    <x:row r="296">
      <x:c r="A296" s="188" t="str">
        <x:v>T00292</x:v>
      </x:c>
      <x:c r="B296" s="189" t="str">
        <x:v>P019</x:v>
      </x:c>
      <x:c r="C296" s="189" t="str">
        <x:v>S06</x:v>
      </x:c>
      <x:c r="D296" s="189" t="str">
        <x:v>Leo Martin</x:v>
      </x:c>
      <x:c r="E296" s="189" t="str">
        <x:v>Development</x:v>
      </x:c>
      <x:c r="F296" s="190" t="n">
        <x:v>46219</x:v>
      </x:c>
      <x:c r="G296" s="189" t="n">
        <x:v>14</x:v>
      </x:c>
      <x:c r="H296" s="203" t="n">
        <x:v>1288</x:v>
      </x:c>
      <x:c r="I296" s="193" t="n">
        <x:v>0</x:v>
      </x:c>
    </x:row>
    <x:row r="297">
      <x:c r="A297" s="188" t="str">
        <x:v>T00293</x:v>
      </x:c>
      <x:c r="B297" s="189" t="str">
        <x:v>P019</x:v>
      </x:c>
      <x:c r="C297" s="189" t="str">
        <x:v>S07</x:v>
      </x:c>
      <x:c r="D297" s="189" t="str">
        <x:v>Ava Stone</x:v>
      </x:c>
      <x:c r="E297" s="189" t="str">
        <x:v>Content</x:v>
      </x:c>
      <x:c r="F297" s="190" t="n">
        <x:v>46211</x:v>
      </x:c>
      <x:c r="G297" s="189" t="n">
        <x:v>13</x:v>
      </x:c>
      <x:c r="H297" s="203" t="n">
        <x:v>754</x:v>
      </x:c>
      <x:c r="I297" s="193" t="n">
        <x:v>13</x:v>
      </x:c>
    </x:row>
    <x:row r="298">
      <x:c r="A298" s="188" t="str">
        <x:v>T00294</x:v>
      </x:c>
      <x:c r="B298" s="189" t="str">
        <x:v>P019</x:v>
      </x:c>
      <x:c r="C298" s="189" t="str">
        <x:v>S08</x:v>
      </x:c>
      <x:c r="D298" s="189" t="str">
        <x:v>Theo King</x:v>
      </x:c>
      <x:c r="E298" s="189" t="str">
        <x:v>Analytics</x:v>
      </x:c>
      <x:c r="F298" s="190" t="n">
        <x:v>46215</x:v>
      </x:c>
      <x:c r="G298" s="189" t="n">
        <x:v>18</x:v>
      </x:c>
      <x:c r="H298" s="203" t="n">
        <x:v>1404</x:v>
      </x:c>
      <x:c r="I298" s="193" t="n">
        <x:v>18</x:v>
      </x:c>
    </x:row>
    <x:row r="299">
      <x:c r="A299" s="188" t="str">
        <x:v>T00295</x:v>
      </x:c>
      <x:c r="B299" s="189" t="str">
        <x:v>P019</x:v>
      </x:c>
      <x:c r="C299" s="189" t="str">
        <x:v>S09</x:v>
      </x:c>
      <x:c r="D299" s="189" t="str">
        <x:v>Emma Hayes</x:v>
      </x:c>
      <x:c r="E299" s="189" t="str">
        <x:v>Design</x:v>
      </x:c>
      <x:c r="F299" s="190" t="n">
        <x:v>46223</x:v>
      </x:c>
      <x:c r="G299" s="189" t="n">
        <x:v>9</x:v>
      </x:c>
      <x:c r="H299" s="203" t="n">
        <x:v>612</x:v>
      </x:c>
      <x:c r="I299" s="193" t="n">
        <x:v>9</x:v>
      </x:c>
    </x:row>
    <x:row r="300">
      <x:c r="A300" s="188" t="str">
        <x:v>T00296</x:v>
      </x:c>
      <x:c r="B300" s="189" t="str">
        <x:v>P019</x:v>
      </x:c>
      <x:c r="C300" s="189" t="str">
        <x:v>S10</x:v>
      </x:c>
      <x:c r="D300" s="189" t="str">
        <x:v>Noah Reed</x:v>
      </x:c>
      <x:c r="E300" s="189" t="str">
        <x:v>Strategy</x:v>
      </x:c>
      <x:c r="F300" s="190" t="n">
        <x:v>46198</x:v>
      </x:c>
      <x:c r="G300" s="189" t="n">
        <x:v>12</x:v>
      </x:c>
      <x:c r="H300" s="203" t="n">
        <x:v>1080</x:v>
      </x:c>
      <x:c r="I300" s="193" t="n">
        <x:v>12</x:v>
      </x:c>
    </x:row>
    <x:row r="301">
      <x:c r="A301" s="188" t="str">
        <x:v>T00297</x:v>
      </x:c>
      <x:c r="B301" s="189" t="str">
        <x:v>P019</x:v>
      </x:c>
      <x:c r="C301" s="189" t="str">
        <x:v>S01</x:v>
      </x:c>
      <x:c r="D301" s="189" t="str">
        <x:v>Maya Chen</x:v>
      </x:c>
      <x:c r="E301" s="189" t="str">
        <x:v>Strategy</x:v>
      </x:c>
      <x:c r="F301" s="190" t="n">
        <x:v>46204</x:v>
      </x:c>
      <x:c r="G301" s="189" t="n">
        <x:v>10</x:v>
      </x:c>
      <x:c r="H301" s="203" t="n">
        <x:v>950</x:v>
      </x:c>
      <x:c r="I301" s="193" t="n">
        <x:v>10</x:v>
      </x:c>
    </x:row>
    <x:row r="302">
      <x:c r="A302" s="188" t="str">
        <x:v>T00298</x:v>
      </x:c>
      <x:c r="B302" s="189" t="str">
        <x:v>P019</x:v>
      </x:c>
      <x:c r="C302" s="189" t="str">
        <x:v>S02</x:v>
      </x:c>
      <x:c r="D302" s="189" t="str">
        <x:v>Elias Ward</x:v>
      </x:c>
      <x:c r="E302" s="189" t="str">
        <x:v>Design</x:v>
      </x:c>
      <x:c r="F302" s="190" t="n">
        <x:v>46222</x:v>
      </x:c>
      <x:c r="G302" s="189" t="n">
        <x:v>19</x:v>
      </x:c>
      <x:c r="H302" s="203" t="n">
        <x:v>1368</x:v>
      </x:c>
      <x:c r="I302" s="193" t="n">
        <x:v>0</x:v>
      </x:c>
    </x:row>
    <x:row r="303">
      <x:c r="A303" s="188" t="str">
        <x:v>T00299</x:v>
      </x:c>
      <x:c r="B303" s="189" t="str">
        <x:v>P019</x:v>
      </x:c>
      <x:c r="C303" s="189" t="str">
        <x:v>S03</x:v>
      </x:c>
      <x:c r="D303" s="189" t="str">
        <x:v>Nora Patel</x:v>
      </x:c>
      <x:c r="E303" s="189" t="str">
        <x:v>Analytics</x:v>
      </x:c>
      <x:c r="F303" s="190" t="n">
        <x:v>46215</x:v>
      </x:c>
      <x:c r="G303" s="189" t="n">
        <x:v>18</x:v>
      </x:c>
      <x:c r="H303" s="203" t="n">
        <x:v>1476</x:v>
      </x:c>
      <x:c r="I303" s="193" t="n">
        <x:v>18</x:v>
      </x:c>
    </x:row>
    <x:row r="304">
      <x:c r="A304" s="188" t="str">
        <x:v>T00300</x:v>
      </x:c>
      <x:c r="B304" s="189" t="str">
        <x:v>P019</x:v>
      </x:c>
      <x:c r="C304" s="189" t="str">
        <x:v>S04</x:v>
      </x:c>
      <x:c r="D304" s="189" t="str">
        <x:v>Owen Brooks</x:v>
      </x:c>
      <x:c r="E304" s="189" t="str">
        <x:v>Development</x:v>
      </x:c>
      <x:c r="F304" s="190" t="n">
        <x:v>46221</x:v>
      </x:c>
      <x:c r="G304" s="189" t="n">
        <x:v>19</x:v>
      </x:c>
      <x:c r="H304" s="203" t="n">
        <x:v>1672</x:v>
      </x:c>
      <x:c r="I304" s="193" t="n">
        <x:v>19</x:v>
      </x:c>
    </x:row>
    <x:row r="305">
      <x:c r="A305" s="188" t="str">
        <x:v>T00301</x:v>
      </x:c>
      <x:c r="B305" s="189" t="str">
        <x:v>P019</x:v>
      </x:c>
      <x:c r="C305" s="189" t="str">
        <x:v>S05</x:v>
      </x:c>
      <x:c r="D305" s="189" t="str">
        <x:v>Sara Lin</x:v>
      </x:c>
      <x:c r="E305" s="189" t="str">
        <x:v>Project Management</x:v>
      </x:c>
      <x:c r="F305" s="190" t="n">
        <x:v>46163</x:v>
      </x:c>
      <x:c r="G305" s="189" t="n">
        <x:v>16</x:v>
      </x:c>
      <x:c r="H305" s="203" t="n">
        <x:v>1120</x:v>
      </x:c>
      <x:c r="I305" s="193" t="n">
        <x:v>16</x:v>
      </x:c>
    </x:row>
    <x:row r="306">
      <x:c r="A306" s="188" t="str">
        <x:v>T00302</x:v>
      </x:c>
      <x:c r="B306" s="189" t="str">
        <x:v>P020</x:v>
      </x:c>
      <x:c r="C306" s="189" t="str">
        <x:v>S10</x:v>
      </x:c>
      <x:c r="D306" s="189" t="str">
        <x:v>Noah Reed</x:v>
      </x:c>
      <x:c r="E306" s="189" t="str">
        <x:v>Strategy</x:v>
      </x:c>
      <x:c r="F306" s="190" t="n">
        <x:v>46180</x:v>
      </x:c>
      <x:c r="G306" s="189" t="n">
        <x:v>17</x:v>
      </x:c>
      <x:c r="H306" s="203" t="n">
        <x:v>1530</x:v>
      </x:c>
      <x:c r="I306" s="193" t="n">
        <x:v>17</x:v>
      </x:c>
    </x:row>
    <x:row r="307">
      <x:c r="A307" s="188" t="str">
        <x:v>T00303</x:v>
      </x:c>
      <x:c r="B307" s="189" t="str">
        <x:v>P020</x:v>
      </x:c>
      <x:c r="C307" s="189" t="str">
        <x:v>S01</x:v>
      </x:c>
      <x:c r="D307" s="189" t="str">
        <x:v>Maya Chen</x:v>
      </x:c>
      <x:c r="E307" s="189" t="str">
        <x:v>Strategy</x:v>
      </x:c>
      <x:c r="F307" s="190" t="n">
        <x:v>46197</x:v>
      </x:c>
      <x:c r="G307" s="189" t="n">
        <x:v>19</x:v>
      </x:c>
      <x:c r="H307" s="203" t="n">
        <x:v>1805</x:v>
      </x:c>
      <x:c r="I307" s="193" t="n">
        <x:v>0</x:v>
      </x:c>
    </x:row>
    <x:row r="308">
      <x:c r="A308" s="188" t="str">
        <x:v>T00304</x:v>
      </x:c>
      <x:c r="B308" s="189" t="str">
        <x:v>P020</x:v>
      </x:c>
      <x:c r="C308" s="189" t="str">
        <x:v>S02</x:v>
      </x:c>
      <x:c r="D308" s="189" t="str">
        <x:v>Elias Ward</x:v>
      </x:c>
      <x:c r="E308" s="189" t="str">
        <x:v>Design</x:v>
      </x:c>
      <x:c r="F308" s="190" t="n">
        <x:v>46200</x:v>
      </x:c>
      <x:c r="G308" s="189" t="n">
        <x:v>16</x:v>
      </x:c>
      <x:c r="H308" s="203" t="n">
        <x:v>1152</x:v>
      </x:c>
      <x:c r="I308" s="193" t="n">
        <x:v>16</x:v>
      </x:c>
    </x:row>
    <x:row r="309">
      <x:c r="A309" s="188" t="str">
        <x:v>T00305</x:v>
      </x:c>
      <x:c r="B309" s="189" t="str">
        <x:v>P020</x:v>
      </x:c>
      <x:c r="C309" s="189" t="str">
        <x:v>S03</x:v>
      </x:c>
      <x:c r="D309" s="189" t="str">
        <x:v>Nora Patel</x:v>
      </x:c>
      <x:c r="E309" s="189" t="str">
        <x:v>Analytics</x:v>
      </x:c>
      <x:c r="F309" s="190" t="n">
        <x:v>46192</x:v>
      </x:c>
      <x:c r="G309" s="189" t="n">
        <x:v>11</x:v>
      </x:c>
      <x:c r="H309" s="203" t="n">
        <x:v>902</x:v>
      </x:c>
      <x:c r="I309" s="193" t="n">
        <x:v>11</x:v>
      </x:c>
    </x:row>
    <x:row r="310">
      <x:c r="A310" s="188" t="str">
        <x:v>T00306</x:v>
      </x:c>
      <x:c r="B310" s="189" t="str">
        <x:v>P020</x:v>
      </x:c>
      <x:c r="C310" s="189" t="str">
        <x:v>S04</x:v>
      </x:c>
      <x:c r="D310" s="189" t="str">
        <x:v>Owen Brooks</x:v>
      </x:c>
      <x:c r="E310" s="189" t="str">
        <x:v>Development</x:v>
      </x:c>
      <x:c r="F310" s="190" t="n">
        <x:v>46166</x:v>
      </x:c>
      <x:c r="G310" s="189" t="n">
        <x:v>20</x:v>
      </x:c>
      <x:c r="H310" s="203" t="n">
        <x:v>1760</x:v>
      </x:c>
      <x:c r="I310" s="193" t="n">
        <x:v>20</x:v>
      </x:c>
    </x:row>
    <x:row r="311">
      <x:c r="A311" s="188" t="str">
        <x:v>T00307</x:v>
      </x:c>
      <x:c r="B311" s="189" t="str">
        <x:v>P020</x:v>
      </x:c>
      <x:c r="C311" s="189" t="str">
        <x:v>S05</x:v>
      </x:c>
      <x:c r="D311" s="189" t="str">
        <x:v>Sara Lin</x:v>
      </x:c>
      <x:c r="E311" s="189" t="str">
        <x:v>Project Management</x:v>
      </x:c>
      <x:c r="F311" s="190" t="n">
        <x:v>46198</x:v>
      </x:c>
      <x:c r="G311" s="189" t="n">
        <x:v>21</x:v>
      </x:c>
      <x:c r="H311" s="203" t="n">
        <x:v>1470</x:v>
      </x:c>
      <x:c r="I311" s="193" t="n">
        <x:v>21</x:v>
      </x:c>
    </x:row>
    <x:row r="312">
      <x:c r="A312" s="188" t="str">
        <x:v>T00308</x:v>
      </x:c>
      <x:c r="B312" s="189" t="str">
        <x:v>P020</x:v>
      </x:c>
      <x:c r="C312" s="189" t="str">
        <x:v>S06</x:v>
      </x:c>
      <x:c r="D312" s="189" t="str">
        <x:v>Leo Martin</x:v>
      </x:c>
      <x:c r="E312" s="189" t="str">
        <x:v>Development</x:v>
      </x:c>
      <x:c r="F312" s="190" t="n">
        <x:v>46184</x:v>
      </x:c>
      <x:c r="G312" s="189" t="n">
        <x:v>21</x:v>
      </x:c>
      <x:c r="H312" s="203" t="n">
        <x:v>1932</x:v>
      </x:c>
      <x:c r="I312" s="193" t="n">
        <x:v>21</x:v>
      </x:c>
    </x:row>
    <x:row r="313">
      <x:c r="A313" s="188" t="str">
        <x:v>T00309</x:v>
      </x:c>
      <x:c r="B313" s="189" t="str">
        <x:v>P020</x:v>
      </x:c>
      <x:c r="C313" s="189" t="str">
        <x:v>S07</x:v>
      </x:c>
      <x:c r="D313" s="189" t="str">
        <x:v>Ava Stone</x:v>
      </x:c>
      <x:c r="E313" s="189" t="str">
        <x:v>Content</x:v>
      </x:c>
      <x:c r="F313" s="190" t="n">
        <x:v>46165</x:v>
      </x:c>
      <x:c r="G313" s="189" t="n">
        <x:v>12</x:v>
      </x:c>
      <x:c r="H313" s="203" t="n">
        <x:v>696</x:v>
      </x:c>
      <x:c r="I313" s="193" t="n">
        <x:v>12</x:v>
      </x:c>
    </x:row>
    <x:row r="314">
      <x:c r="A314" s="188" t="str">
        <x:v>T00310</x:v>
      </x:c>
      <x:c r="B314" s="189" t="str">
        <x:v>P020</x:v>
      </x:c>
      <x:c r="C314" s="189" t="str">
        <x:v>S08</x:v>
      </x:c>
      <x:c r="D314" s="189" t="str">
        <x:v>Theo King</x:v>
      </x:c>
      <x:c r="E314" s="189" t="str">
        <x:v>Analytics</x:v>
      </x:c>
      <x:c r="F314" s="190" t="n">
        <x:v>46197</x:v>
      </x:c>
      <x:c r="G314" s="189" t="n">
        <x:v>11</x:v>
      </x:c>
      <x:c r="H314" s="203" t="n">
        <x:v>858</x:v>
      </x:c>
      <x:c r="I314" s="193" t="n">
        <x:v>11</x:v>
      </x:c>
    </x:row>
    <x:row r="315">
      <x:c r="A315" s="188" t="str">
        <x:v>T00311</x:v>
      </x:c>
      <x:c r="B315" s="189" t="str">
        <x:v>P020</x:v>
      </x:c>
      <x:c r="C315" s="189" t="str">
        <x:v>S09</x:v>
      </x:c>
      <x:c r="D315" s="189" t="str">
        <x:v>Emma Hayes</x:v>
      </x:c>
      <x:c r="E315" s="189" t="str">
        <x:v>Design</x:v>
      </x:c>
      <x:c r="F315" s="190" t="n">
        <x:v>46199</x:v>
      </x:c>
      <x:c r="G315" s="189" t="n">
        <x:v>19</x:v>
      </x:c>
      <x:c r="H315" s="203" t="n">
        <x:v>1292</x:v>
      </x:c>
      <x:c r="I315" s="193" t="n">
        <x:v>19</x:v>
      </x:c>
    </x:row>
    <x:row r="316">
      <x:c r="A316" s="188" t="str">
        <x:v>T00312</x:v>
      </x:c>
      <x:c r="B316" s="189" t="str">
        <x:v>P020</x:v>
      </x:c>
      <x:c r="C316" s="189" t="str">
        <x:v>S10</x:v>
      </x:c>
      <x:c r="D316" s="189" t="str">
        <x:v>Noah Reed</x:v>
      </x:c>
      <x:c r="E316" s="189" t="str">
        <x:v>Strategy</x:v>
      </x:c>
      <x:c r="F316" s="190" t="n">
        <x:v>46167</x:v>
      </x:c>
      <x:c r="G316" s="189" t="n">
        <x:v>11</x:v>
      </x:c>
      <x:c r="H316" s="203" t="n">
        <x:v>990</x:v>
      </x:c>
      <x:c r="I316" s="193" t="n">
        <x:v>11</x:v>
      </x:c>
    </x:row>
    <x:row r="317">
      <x:c r="A317" s="188" t="str">
        <x:v>T00313</x:v>
      </x:c>
      <x:c r="B317" s="189" t="str">
        <x:v>P020</x:v>
      </x:c>
      <x:c r="C317" s="189" t="str">
        <x:v>S01</x:v>
      </x:c>
      <x:c r="D317" s="189" t="str">
        <x:v>Maya Chen</x:v>
      </x:c>
      <x:c r="E317" s="189" t="str">
        <x:v>Strategy</x:v>
      </x:c>
      <x:c r="F317" s="190" t="n">
        <x:v>46160</x:v>
      </x:c>
      <x:c r="G317" s="189" t="n">
        <x:v>19</x:v>
      </x:c>
      <x:c r="H317" s="203" t="n">
        <x:v>1805</x:v>
      </x:c>
      <x:c r="I317" s="193" t="n">
        <x:v>0</x:v>
      </x:c>
    </x:row>
    <x:row r="318">
      <x:c r="A318" s="188" t="str">
        <x:v>T00314</x:v>
      </x:c>
      <x:c r="B318" s="189" t="str">
        <x:v>P020</x:v>
      </x:c>
      <x:c r="C318" s="189" t="str">
        <x:v>S02</x:v>
      </x:c>
      <x:c r="D318" s="189" t="str">
        <x:v>Elias Ward</x:v>
      </x:c>
      <x:c r="E318" s="189" t="str">
        <x:v>Design</x:v>
      </x:c>
      <x:c r="F318" s="190" t="n">
        <x:v>46158</x:v>
      </x:c>
      <x:c r="G318" s="189" t="n">
        <x:v>14</x:v>
      </x:c>
      <x:c r="H318" s="203" t="n">
        <x:v>1008</x:v>
      </x:c>
      <x:c r="I318" s="193" t="n">
        <x:v>14</x:v>
      </x:c>
    </x:row>
    <x:row r="319">
      <x:c r="A319" s="188" t="str">
        <x:v>T00315</x:v>
      </x:c>
      <x:c r="B319" s="189" t="str">
        <x:v>P020</x:v>
      </x:c>
      <x:c r="C319" s="189" t="str">
        <x:v>S03</x:v>
      </x:c>
      <x:c r="D319" s="189" t="str">
        <x:v>Nora Patel</x:v>
      </x:c>
      <x:c r="E319" s="189" t="str">
        <x:v>Analytics</x:v>
      </x:c>
      <x:c r="F319" s="190" t="n">
        <x:v>46194</x:v>
      </x:c>
      <x:c r="G319" s="189" t="n">
        <x:v>19</x:v>
      </x:c>
      <x:c r="H319" s="203" t="n">
        <x:v>1558</x:v>
      </x:c>
      <x:c r="I319" s="193" t="n">
        <x:v>0</x:v>
      </x:c>
    </x:row>
    <x:row r="320">
      <x:c r="A320" s="188" t="str">
        <x:v>T00316</x:v>
      </x:c>
      <x:c r="B320" s="189" t="str">
        <x:v>P020</x:v>
      </x:c>
      <x:c r="C320" s="189" t="str">
        <x:v>S04</x:v>
      </x:c>
      <x:c r="D320" s="189" t="str">
        <x:v>Owen Brooks</x:v>
      </x:c>
      <x:c r="E320" s="189" t="str">
        <x:v>Development</x:v>
      </x:c>
      <x:c r="F320" s="190" t="n">
        <x:v>46177</x:v>
      </x:c>
      <x:c r="G320" s="189" t="n">
        <x:v>19</x:v>
      </x:c>
      <x:c r="H320" s="203" t="n">
        <x:v>1672</x:v>
      </x:c>
      <x:c r="I320" s="193" t="n">
        <x:v>19</x:v>
      </x:c>
    </x:row>
    <x:row r="321">
      <x:c r="A321" s="188" t="str">
        <x:v>T00317</x:v>
      </x:c>
      <x:c r="B321" s="189" t="str">
        <x:v>P020</x:v>
      </x:c>
      <x:c r="C321" s="189" t="str">
        <x:v>S05</x:v>
      </x:c>
      <x:c r="D321" s="189" t="str">
        <x:v>Sara Lin</x:v>
      </x:c>
      <x:c r="E321" s="189" t="str">
        <x:v>Project Management</x:v>
      </x:c>
      <x:c r="F321" s="190" t="n">
        <x:v>46198</x:v>
      </x:c>
      <x:c r="G321" s="189" t="n">
        <x:v>14</x:v>
      </x:c>
      <x:c r="H321" s="203" t="n">
        <x:v>980</x:v>
      </x:c>
      <x:c r="I321" s="193" t="n">
        <x:v>14</x:v>
      </x:c>
    </x:row>
    <x:row r="322">
      <x:c r="A322" s="188" t="str">
        <x:v>T00318</x:v>
      </x:c>
      <x:c r="B322" s="189" t="str">
        <x:v>P020</x:v>
      </x:c>
      <x:c r="C322" s="189" t="str">
        <x:v>S06</x:v>
      </x:c>
      <x:c r="D322" s="189" t="str">
        <x:v>Leo Martin</x:v>
      </x:c>
      <x:c r="E322" s="189" t="str">
        <x:v>Development</x:v>
      </x:c>
      <x:c r="F322" s="190" t="n">
        <x:v>46185</x:v>
      </x:c>
      <x:c r="G322" s="189" t="n">
        <x:v>11</x:v>
      </x:c>
      <x:c r="H322" s="203" t="n">
        <x:v>1012</x:v>
      </x:c>
      <x:c r="I322" s="193" t="n">
        <x:v>11</x:v>
      </x:c>
    </x:row>
    <x:row r="323">
      <x:c r="A323" s="188" t="str">
        <x:v>T00319</x:v>
      </x:c>
      <x:c r="B323" s="189" t="str">
        <x:v>P020</x:v>
      </x:c>
      <x:c r="C323" s="189" t="str">
        <x:v>S07</x:v>
      </x:c>
      <x:c r="D323" s="189" t="str">
        <x:v>Ava Stone</x:v>
      </x:c>
      <x:c r="E323" s="189" t="str">
        <x:v>Content</x:v>
      </x:c>
      <x:c r="F323" s="190" t="n">
        <x:v>46188</x:v>
      </x:c>
      <x:c r="G323" s="189" t="n">
        <x:v>19</x:v>
      </x:c>
      <x:c r="H323" s="203" t="n">
        <x:v>1102</x:v>
      </x:c>
      <x:c r="I323" s="193" t="n">
        <x:v>19</x:v>
      </x:c>
    </x:row>
    <x:row r="324">
      <x:c r="A324" s="188" t="str">
        <x:v>T00320</x:v>
      </x:c>
      <x:c r="B324" s="189" t="str">
        <x:v>P020</x:v>
      </x:c>
      <x:c r="C324" s="189" t="str">
        <x:v>S08</x:v>
      </x:c>
      <x:c r="D324" s="189" t="str">
        <x:v>Theo King</x:v>
      </x:c>
      <x:c r="E324" s="189" t="str">
        <x:v>Analytics</x:v>
      </x:c>
      <x:c r="F324" s="190" t="n">
        <x:v>46185</x:v>
      </x:c>
      <x:c r="G324" s="189" t="n">
        <x:v>14</x:v>
      </x:c>
      <x:c r="H324" s="203" t="n">
        <x:v>1092</x:v>
      </x:c>
      <x:c r="I324" s="193" t="n">
        <x:v>0</x:v>
      </x:c>
    </x:row>
    <x:row r="325">
      <x:c r="A325" s="188" t="str">
        <x:v>T00321</x:v>
      </x:c>
      <x:c r="B325" s="189" t="str">
        <x:v>P020</x:v>
      </x:c>
      <x:c r="C325" s="189" t="str">
        <x:v>S09</x:v>
      </x:c>
      <x:c r="D325" s="189" t="str">
        <x:v>Emma Hayes</x:v>
      </x:c>
      <x:c r="E325" s="189" t="str">
        <x:v>Design</x:v>
      </x:c>
      <x:c r="F325" s="190" t="n">
        <x:v>46197</x:v>
      </x:c>
      <x:c r="G325" s="189" t="n">
        <x:v>14</x:v>
      </x:c>
      <x:c r="H325" s="203" t="n">
        <x:v>952</x:v>
      </x:c>
      <x:c r="I325" s="193" t="n">
        <x:v>14</x:v>
      </x:c>
    </x:row>
    <x:row r="326">
      <x:c r="A326" s="188" t="str">
        <x:v>T00322</x:v>
      </x:c>
      <x:c r="B326" s="189" t="str">
        <x:v>P020</x:v>
      </x:c>
      <x:c r="C326" s="189" t="str">
        <x:v>S10</x:v>
      </x:c>
      <x:c r="D326" s="189" t="str">
        <x:v>Noah Reed</x:v>
      </x:c>
      <x:c r="E326" s="189" t="str">
        <x:v>Strategy</x:v>
      </x:c>
      <x:c r="F326" s="190" t="n">
        <x:v>46175</x:v>
      </x:c>
      <x:c r="G326" s="189" t="n">
        <x:v>15</x:v>
      </x:c>
      <x:c r="H326" s="203" t="n">
        <x:v>1350</x:v>
      </x:c>
      <x:c r="I326" s="193" t="n">
        <x:v>15</x:v>
      </x:c>
    </x:row>
    <x:row r="327">
      <x:c r="A327" s="188" t="str">
        <x:v>T00323</x:v>
      </x:c>
      <x:c r="B327" s="189" t="str">
        <x:v>P021</x:v>
      </x:c>
      <x:c r="C327" s="189" t="str">
        <x:v>S01</x:v>
      </x:c>
      <x:c r="D327" s="189" t="str">
        <x:v>Maya Chen</x:v>
      </x:c>
      <x:c r="E327" s="189" t="str">
        <x:v>Strategy</x:v>
      </x:c>
      <x:c r="F327" s="190" t="n">
        <x:v>46209</x:v>
      </x:c>
      <x:c r="G327" s="189" t="n">
        <x:v>39</x:v>
      </x:c>
      <x:c r="H327" s="203" t="n">
        <x:v>3705</x:v>
      </x:c>
      <x:c r="I327" s="193" t="n">
        <x:v>39</x:v>
      </x:c>
    </x:row>
    <x:row r="328">
      <x:c r="A328" s="188" t="str">
        <x:v>T00324</x:v>
      </x:c>
      <x:c r="B328" s="189" t="str">
        <x:v>P021</x:v>
      </x:c>
      <x:c r="C328" s="189" t="str">
        <x:v>S02</x:v>
      </x:c>
      <x:c r="D328" s="189" t="str">
        <x:v>Elias Ward</x:v>
      </x:c>
      <x:c r="E328" s="189" t="str">
        <x:v>Design</x:v>
      </x:c>
      <x:c r="F328" s="190" t="n">
        <x:v>46199</x:v>
      </x:c>
      <x:c r="G328" s="189" t="n">
        <x:v>36</x:v>
      </x:c>
      <x:c r="H328" s="203" t="n">
        <x:v>2592</x:v>
      </x:c>
      <x:c r="I328" s="193" t="n">
        <x:v>36</x:v>
      </x:c>
    </x:row>
    <x:row r="329">
      <x:c r="A329" s="188" t="str">
        <x:v>T00325</x:v>
      </x:c>
      <x:c r="B329" s="189" t="str">
        <x:v>P021</x:v>
      </x:c>
      <x:c r="C329" s="189" t="str">
        <x:v>S03</x:v>
      </x:c>
      <x:c r="D329" s="189" t="str">
        <x:v>Nora Patel</x:v>
      </x:c>
      <x:c r="E329" s="189" t="str">
        <x:v>Analytics</x:v>
      </x:c>
      <x:c r="F329" s="190" t="n">
        <x:v>46207</x:v>
      </x:c>
      <x:c r="G329" s="189" t="n">
        <x:v>21</x:v>
      </x:c>
      <x:c r="H329" s="203" t="n">
        <x:v>1722</x:v>
      </x:c>
      <x:c r="I329" s="193" t="n">
        <x:v>21</x:v>
      </x:c>
    </x:row>
    <x:row r="330">
      <x:c r="A330" s="188" t="str">
        <x:v>T00326</x:v>
      </x:c>
      <x:c r="B330" s="189" t="str">
        <x:v>P021</x:v>
      </x:c>
      <x:c r="C330" s="189" t="str">
        <x:v>S04</x:v>
      </x:c>
      <x:c r="D330" s="189" t="str">
        <x:v>Owen Brooks</x:v>
      </x:c>
      <x:c r="E330" s="189" t="str">
        <x:v>Development</x:v>
      </x:c>
      <x:c r="F330" s="190" t="n">
        <x:v>46221</x:v>
      </x:c>
      <x:c r="G330" s="189" t="n">
        <x:v>27</x:v>
      </x:c>
      <x:c r="H330" s="203" t="n">
        <x:v>2376</x:v>
      </x:c>
      <x:c r="I330" s="193" t="n">
        <x:v>27</x:v>
      </x:c>
    </x:row>
    <x:row r="331">
      <x:c r="A331" s="188" t="str">
        <x:v>T00327</x:v>
      </x:c>
      <x:c r="B331" s="189" t="str">
        <x:v>P021</x:v>
      </x:c>
      <x:c r="C331" s="189" t="str">
        <x:v>S05</x:v>
      </x:c>
      <x:c r="D331" s="189" t="str">
        <x:v>Sara Lin</x:v>
      </x:c>
      <x:c r="E331" s="189" t="str">
        <x:v>Project Management</x:v>
      </x:c>
      <x:c r="F331" s="190" t="n">
        <x:v>46209</x:v>
      </x:c>
      <x:c r="G331" s="189" t="n">
        <x:v>26</x:v>
      </x:c>
      <x:c r="H331" s="203" t="n">
        <x:v>1820</x:v>
      </x:c>
      <x:c r="I331" s="193" t="n">
        <x:v>0</x:v>
      </x:c>
    </x:row>
    <x:row r="332">
      <x:c r="A332" s="188" t="str">
        <x:v>T00328</x:v>
      </x:c>
      <x:c r="B332" s="189" t="str">
        <x:v>P021</x:v>
      </x:c>
      <x:c r="C332" s="189" t="str">
        <x:v>S06</x:v>
      </x:c>
      <x:c r="D332" s="189" t="str">
        <x:v>Leo Martin</x:v>
      </x:c>
      <x:c r="E332" s="189" t="str">
        <x:v>Development</x:v>
      </x:c>
      <x:c r="F332" s="190" t="n">
        <x:v>46207</x:v>
      </x:c>
      <x:c r="G332" s="189" t="n">
        <x:v>22</x:v>
      </x:c>
      <x:c r="H332" s="203" t="n">
        <x:v>2024</x:v>
      </x:c>
      <x:c r="I332" s="193" t="n">
        <x:v>22</x:v>
      </x:c>
    </x:row>
    <x:row r="333">
      <x:c r="A333" s="188" t="str">
        <x:v>T00329</x:v>
      </x:c>
      <x:c r="B333" s="189" t="str">
        <x:v>P021</x:v>
      </x:c>
      <x:c r="C333" s="189" t="str">
        <x:v>S07</x:v>
      </x:c>
      <x:c r="D333" s="189" t="str">
        <x:v>Ava Stone</x:v>
      </x:c>
      <x:c r="E333" s="189" t="str">
        <x:v>Content</x:v>
      </x:c>
      <x:c r="F333" s="190" t="n">
        <x:v>46196</x:v>
      </x:c>
      <x:c r="G333" s="189" t="n">
        <x:v>38</x:v>
      </x:c>
      <x:c r="H333" s="203" t="n">
        <x:v>2204</x:v>
      </x:c>
      <x:c r="I333" s="193" t="n">
        <x:v>0</x:v>
      </x:c>
    </x:row>
    <x:row r="334">
      <x:c r="A334" s="188" t="str">
        <x:v>T00330</x:v>
      </x:c>
      <x:c r="B334" s="189" t="str">
        <x:v>P021</x:v>
      </x:c>
      <x:c r="C334" s="189" t="str">
        <x:v>S08</x:v>
      </x:c>
      <x:c r="D334" s="189" t="str">
        <x:v>Theo King</x:v>
      </x:c>
      <x:c r="E334" s="189" t="str">
        <x:v>Analytics</x:v>
      </x:c>
      <x:c r="F334" s="190" t="n">
        <x:v>46204</x:v>
      </x:c>
      <x:c r="G334" s="189" t="n">
        <x:v>31</x:v>
      </x:c>
      <x:c r="H334" s="203" t="n">
        <x:v>2418</x:v>
      </x:c>
      <x:c r="I334" s="193" t="n">
        <x:v>31</x:v>
      </x:c>
    </x:row>
    <x:row r="335">
      <x:c r="A335" s="188" t="str">
        <x:v>T00331</x:v>
      </x:c>
      <x:c r="B335" s="189" t="str">
        <x:v>P021</x:v>
      </x:c>
      <x:c r="C335" s="189" t="str">
        <x:v>S09</x:v>
      </x:c>
      <x:c r="D335" s="189" t="str">
        <x:v>Emma Hayes</x:v>
      </x:c>
      <x:c r="E335" s="189" t="str">
        <x:v>Design</x:v>
      </x:c>
      <x:c r="F335" s="190" t="n">
        <x:v>46222</x:v>
      </x:c>
      <x:c r="G335" s="189" t="n">
        <x:v>39</x:v>
      </x:c>
      <x:c r="H335" s="203" t="n">
        <x:v>2652</x:v>
      </x:c>
      <x:c r="I335" s="193" t="n">
        <x:v>39</x:v>
      </x:c>
    </x:row>
    <x:row r="336">
      <x:c r="A336" s="188" t="str">
        <x:v>T00332</x:v>
      </x:c>
      <x:c r="B336" s="189" t="str">
        <x:v>P021</x:v>
      </x:c>
      <x:c r="C336" s="189" t="str">
        <x:v>S10</x:v>
      </x:c>
      <x:c r="D336" s="189" t="str">
        <x:v>Noah Reed</x:v>
      </x:c>
      <x:c r="E336" s="189" t="str">
        <x:v>Strategy</x:v>
      </x:c>
      <x:c r="F336" s="190" t="n">
        <x:v>46222</x:v>
      </x:c>
      <x:c r="G336" s="189" t="n">
        <x:v>25</x:v>
      </x:c>
      <x:c r="H336" s="203" t="n">
        <x:v>2250</x:v>
      </x:c>
      <x:c r="I336" s="193" t="n">
        <x:v>25</x:v>
      </x:c>
    </x:row>
    <x:row r="337">
      <x:c r="A337" s="188" t="str">
        <x:v>T00333</x:v>
      </x:c>
      <x:c r="B337" s="189" t="str">
        <x:v>P021</x:v>
      </x:c>
      <x:c r="C337" s="189" t="str">
        <x:v>S01</x:v>
      </x:c>
      <x:c r="D337" s="189" t="str">
        <x:v>Maya Chen</x:v>
      </x:c>
      <x:c r="E337" s="189" t="str">
        <x:v>Strategy</x:v>
      </x:c>
      <x:c r="F337" s="190" t="n">
        <x:v>46189</x:v>
      </x:c>
      <x:c r="G337" s="189" t="n">
        <x:v>26</x:v>
      </x:c>
      <x:c r="H337" s="203" t="n">
        <x:v>2470</x:v>
      </x:c>
      <x:c r="I337" s="193" t="n">
        <x:v>26</x:v>
      </x:c>
    </x:row>
    <x:row r="338">
      <x:c r="A338" s="188" t="str">
        <x:v>T00334</x:v>
      </x:c>
      <x:c r="B338" s="189" t="str">
        <x:v>P021</x:v>
      </x:c>
      <x:c r="C338" s="189" t="str">
        <x:v>S02</x:v>
      </x:c>
      <x:c r="D338" s="189" t="str">
        <x:v>Elias Ward</x:v>
      </x:c>
      <x:c r="E338" s="189" t="str">
        <x:v>Design</x:v>
      </x:c>
      <x:c r="F338" s="190" t="n">
        <x:v>46184</x:v>
      </x:c>
      <x:c r="G338" s="189" t="n">
        <x:v>32</x:v>
      </x:c>
      <x:c r="H338" s="203" t="n">
        <x:v>2304</x:v>
      </x:c>
      <x:c r="I338" s="193" t="n">
        <x:v>0</x:v>
      </x:c>
    </x:row>
    <x:row r="339">
      <x:c r="A339" s="188" t="str">
        <x:v>T00335</x:v>
      </x:c>
      <x:c r="B339" s="189" t="str">
        <x:v>P021</x:v>
      </x:c>
      <x:c r="C339" s="189" t="str">
        <x:v>S03</x:v>
      </x:c>
      <x:c r="D339" s="189" t="str">
        <x:v>Nora Patel</x:v>
      </x:c>
      <x:c r="E339" s="189" t="str">
        <x:v>Analytics</x:v>
      </x:c>
      <x:c r="F339" s="190" t="n">
        <x:v>46220</x:v>
      </x:c>
      <x:c r="G339" s="189" t="n">
        <x:v>27</x:v>
      </x:c>
      <x:c r="H339" s="203" t="n">
        <x:v>2214</x:v>
      </x:c>
      <x:c r="I339" s="193" t="n">
        <x:v>0</x:v>
      </x:c>
    </x:row>
    <x:row r="340">
      <x:c r="A340" s="188" t="str">
        <x:v>T00336</x:v>
      </x:c>
      <x:c r="B340" s="189" t="str">
        <x:v>P021</x:v>
      </x:c>
      <x:c r="C340" s="189" t="str">
        <x:v>S04</x:v>
      </x:c>
      <x:c r="D340" s="189" t="str">
        <x:v>Owen Brooks</x:v>
      </x:c>
      <x:c r="E340" s="189" t="str">
        <x:v>Development</x:v>
      </x:c>
      <x:c r="F340" s="190" t="n">
        <x:v>46199</x:v>
      </x:c>
      <x:c r="G340" s="189" t="n">
        <x:v>22</x:v>
      </x:c>
      <x:c r="H340" s="203" t="n">
        <x:v>1936</x:v>
      </x:c>
      <x:c r="I340" s="193" t="n">
        <x:v>22</x:v>
      </x:c>
    </x:row>
    <x:row r="341">
      <x:c r="A341" s="188" t="str">
        <x:v>T00337</x:v>
      </x:c>
      <x:c r="B341" s="189" t="str">
        <x:v>P021</x:v>
      </x:c>
      <x:c r="C341" s="189" t="str">
        <x:v>S05</x:v>
      </x:c>
      <x:c r="D341" s="189" t="str">
        <x:v>Sara Lin</x:v>
      </x:c>
      <x:c r="E341" s="189" t="str">
        <x:v>Project Management</x:v>
      </x:c>
      <x:c r="F341" s="190" t="n">
        <x:v>46208</x:v>
      </x:c>
      <x:c r="G341" s="189" t="n">
        <x:v>32</x:v>
      </x:c>
      <x:c r="H341" s="203" t="n">
        <x:v>2240</x:v>
      </x:c>
      <x:c r="I341" s="193" t="n">
        <x:v>32</x:v>
      </x:c>
    </x:row>
    <x:row r="342">
      <x:c r="A342" s="188" t="str">
        <x:v>T00338</x:v>
      </x:c>
      <x:c r="B342" s="189" t="str">
        <x:v>P021</x:v>
      </x:c>
      <x:c r="C342" s="189" t="str">
        <x:v>S06</x:v>
      </x:c>
      <x:c r="D342" s="189" t="str">
        <x:v>Leo Martin</x:v>
      </x:c>
      <x:c r="E342" s="189" t="str">
        <x:v>Development</x:v>
      </x:c>
      <x:c r="F342" s="190" t="n">
        <x:v>46226</x:v>
      </x:c>
      <x:c r="G342" s="189" t="n">
        <x:v>34</x:v>
      </x:c>
      <x:c r="H342" s="203" t="n">
        <x:v>3128</x:v>
      </x:c>
      <x:c r="I342" s="193" t="n">
        <x:v>34</x:v>
      </x:c>
    </x:row>
    <x:row r="343">
      <x:c r="A343" s="188" t="str">
        <x:v>T00339</x:v>
      </x:c>
      <x:c r="B343" s="189" t="str">
        <x:v>P021</x:v>
      </x:c>
      <x:c r="C343" s="189" t="str">
        <x:v>S07</x:v>
      </x:c>
      <x:c r="D343" s="189" t="str">
        <x:v>Ava Stone</x:v>
      </x:c>
      <x:c r="E343" s="189" t="str">
        <x:v>Content</x:v>
      </x:c>
      <x:c r="F343" s="190" t="n">
        <x:v>46187</x:v>
      </x:c>
      <x:c r="G343" s="189" t="n">
        <x:v>34</x:v>
      </x:c>
      <x:c r="H343" s="203" t="n">
        <x:v>1972</x:v>
      </x:c>
      <x:c r="I343" s="193" t="n">
        <x:v>34</x:v>
      </x:c>
    </x:row>
    <x:row r="344">
      <x:c r="A344" s="188" t="str">
        <x:v>T00340</x:v>
      </x:c>
      <x:c r="B344" s="189" t="str">
        <x:v>P021</x:v>
      </x:c>
      <x:c r="C344" s="189" t="str">
        <x:v>S08</x:v>
      </x:c>
      <x:c r="D344" s="189" t="str">
        <x:v>Theo King</x:v>
      </x:c>
      <x:c r="E344" s="189" t="str">
        <x:v>Analytics</x:v>
      </x:c>
      <x:c r="F344" s="190" t="n">
        <x:v>46175</x:v>
      </x:c>
      <x:c r="G344" s="189" t="n">
        <x:v>42</x:v>
      </x:c>
      <x:c r="H344" s="203" t="n">
        <x:v>3276</x:v>
      </x:c>
      <x:c r="I344" s="193" t="n">
        <x:v>42</x:v>
      </x:c>
    </x:row>
    <x:row r="345">
      <x:c r="A345" s="188" t="str">
        <x:v>T00341</x:v>
      </x:c>
      <x:c r="B345" s="189" t="str">
        <x:v>P021</x:v>
      </x:c>
      <x:c r="C345" s="189" t="str">
        <x:v>S09</x:v>
      </x:c>
      <x:c r="D345" s="189" t="str">
        <x:v>Emma Hayes</x:v>
      </x:c>
      <x:c r="E345" s="189" t="str">
        <x:v>Design</x:v>
      </x:c>
      <x:c r="F345" s="190" t="n">
        <x:v>46230</x:v>
      </x:c>
      <x:c r="G345" s="189" t="n">
        <x:v>35</x:v>
      </x:c>
      <x:c r="H345" s="203" t="n">
        <x:v>2380</x:v>
      </x:c>
      <x:c r="I345" s="193" t="n">
        <x:v>35</x:v>
      </x:c>
    </x:row>
    <x:row r="346">
      <x:c r="A346" s="188" t="str">
        <x:v>T00342</x:v>
      </x:c>
      <x:c r="B346" s="189" t="str">
        <x:v>P022</x:v>
      </x:c>
      <x:c r="C346" s="189" t="str">
        <x:v>S02</x:v>
      </x:c>
      <x:c r="D346" s="189" t="str">
        <x:v>Elias Ward</x:v>
      </x:c>
      <x:c r="E346" s="189" t="str">
        <x:v>Design</x:v>
      </x:c>
      <x:c r="F346" s="190" t="n">
        <x:v>46265</x:v>
      </x:c>
      <x:c r="G346" s="189" t="n">
        <x:v>33</x:v>
      </x:c>
      <x:c r="H346" s="203" t="n">
        <x:v>2376</x:v>
      </x:c>
      <x:c r="I346" s="193" t="n">
        <x:v>33</x:v>
      </x:c>
    </x:row>
    <x:row r="347">
      <x:c r="A347" s="188" t="str">
        <x:v>T00343</x:v>
      </x:c>
      <x:c r="B347" s="189" t="str">
        <x:v>P022</x:v>
      </x:c>
      <x:c r="C347" s="189" t="str">
        <x:v>S03</x:v>
      </x:c>
      <x:c r="D347" s="189" t="str">
        <x:v>Nora Patel</x:v>
      </x:c>
      <x:c r="E347" s="189" t="str">
        <x:v>Analytics</x:v>
      </x:c>
      <x:c r="F347" s="190" t="n">
        <x:v>46195</x:v>
      </x:c>
      <x:c r="G347" s="189" t="n">
        <x:v>33</x:v>
      </x:c>
      <x:c r="H347" s="203" t="n">
        <x:v>2706</x:v>
      </x:c>
      <x:c r="I347" s="193" t="n">
        <x:v>33</x:v>
      </x:c>
    </x:row>
    <x:row r="348">
      <x:c r="A348" s="188" t="str">
        <x:v>T00344</x:v>
      </x:c>
      <x:c r="B348" s="189" t="str">
        <x:v>P022</x:v>
      </x:c>
      <x:c r="C348" s="189" t="str">
        <x:v>S04</x:v>
      </x:c>
      <x:c r="D348" s="189" t="str">
        <x:v>Owen Brooks</x:v>
      </x:c>
      <x:c r="E348" s="189" t="str">
        <x:v>Development</x:v>
      </x:c>
      <x:c r="F348" s="190" t="n">
        <x:v>46231</x:v>
      </x:c>
      <x:c r="G348" s="189" t="n">
        <x:v>20</x:v>
      </x:c>
      <x:c r="H348" s="203" t="n">
        <x:v>1760</x:v>
      </x:c>
      <x:c r="I348" s="193" t="n">
        <x:v>20</x:v>
      </x:c>
    </x:row>
    <x:row r="349">
      <x:c r="A349" s="188" t="str">
        <x:v>T00345</x:v>
      </x:c>
      <x:c r="B349" s="189" t="str">
        <x:v>P022</x:v>
      </x:c>
      <x:c r="C349" s="189" t="str">
        <x:v>S05</x:v>
      </x:c>
      <x:c r="D349" s="189" t="str">
        <x:v>Sara Lin</x:v>
      </x:c>
      <x:c r="E349" s="189" t="str">
        <x:v>Project Management</x:v>
      </x:c>
      <x:c r="F349" s="190" t="n">
        <x:v>46243</x:v>
      </x:c>
      <x:c r="G349" s="189" t="n">
        <x:v>32</x:v>
      </x:c>
      <x:c r="H349" s="203" t="n">
        <x:v>2240</x:v>
      </x:c>
      <x:c r="I349" s="193" t="n">
        <x:v>32</x:v>
      </x:c>
    </x:row>
    <x:row r="350">
      <x:c r="A350" s="188" t="str">
        <x:v>T00346</x:v>
      </x:c>
      <x:c r="B350" s="189" t="str">
        <x:v>P022</x:v>
      </x:c>
      <x:c r="C350" s="189" t="str">
        <x:v>S06</x:v>
      </x:c>
      <x:c r="D350" s="189" t="str">
        <x:v>Leo Martin</x:v>
      </x:c>
      <x:c r="E350" s="189" t="str">
        <x:v>Development</x:v>
      </x:c>
      <x:c r="F350" s="190" t="n">
        <x:v>46199</x:v>
      </x:c>
      <x:c r="G350" s="189" t="n">
        <x:v>23</x:v>
      </x:c>
      <x:c r="H350" s="203" t="n">
        <x:v>2116</x:v>
      </x:c>
      <x:c r="I350" s="193" t="n">
        <x:v>23</x:v>
      </x:c>
    </x:row>
    <x:row r="351">
      <x:c r="A351" s="188" t="str">
        <x:v>T00347</x:v>
      </x:c>
      <x:c r="B351" s="189" t="str">
        <x:v>P022</x:v>
      </x:c>
      <x:c r="C351" s="189" t="str">
        <x:v>S07</x:v>
      </x:c>
      <x:c r="D351" s="189" t="str">
        <x:v>Ava Stone</x:v>
      </x:c>
      <x:c r="E351" s="189" t="str">
        <x:v>Content</x:v>
      </x:c>
      <x:c r="F351" s="190" t="n">
        <x:v>46253</x:v>
      </x:c>
      <x:c r="G351" s="189" t="n">
        <x:v>22</x:v>
      </x:c>
      <x:c r="H351" s="203" t="n">
        <x:v>1276</x:v>
      </x:c>
      <x:c r="I351" s="193" t="n">
        <x:v>22</x:v>
      </x:c>
    </x:row>
    <x:row r="352">
      <x:c r="A352" s="188" t="str">
        <x:v>T00348</x:v>
      </x:c>
      <x:c r="B352" s="189" t="str">
        <x:v>P022</x:v>
      </x:c>
      <x:c r="C352" s="189" t="str">
        <x:v>S08</x:v>
      </x:c>
      <x:c r="D352" s="189" t="str">
        <x:v>Theo King</x:v>
      </x:c>
      <x:c r="E352" s="189" t="str">
        <x:v>Analytics</x:v>
      </x:c>
      <x:c r="F352" s="190" t="n">
        <x:v>46206</x:v>
      </x:c>
      <x:c r="G352" s="189" t="n">
        <x:v>23</x:v>
      </x:c>
      <x:c r="H352" s="203" t="n">
        <x:v>1794</x:v>
      </x:c>
      <x:c r="I352" s="193" t="n">
        <x:v>23</x:v>
      </x:c>
    </x:row>
    <x:row r="353">
      <x:c r="A353" s="188" t="str">
        <x:v>T00349</x:v>
      </x:c>
      <x:c r="B353" s="189" t="str">
        <x:v>P022</x:v>
      </x:c>
      <x:c r="C353" s="189" t="str">
        <x:v>S09</x:v>
      </x:c>
      <x:c r="D353" s="189" t="str">
        <x:v>Emma Hayes</x:v>
      </x:c>
      <x:c r="E353" s="189" t="str">
        <x:v>Design</x:v>
      </x:c>
      <x:c r="F353" s="190" t="n">
        <x:v>46248</x:v>
      </x:c>
      <x:c r="G353" s="189" t="n">
        <x:v>34</x:v>
      </x:c>
      <x:c r="H353" s="203" t="n">
        <x:v>2312</x:v>
      </x:c>
      <x:c r="I353" s="193" t="n">
        <x:v>34</x:v>
      </x:c>
    </x:row>
    <x:row r="354">
      <x:c r="A354" s="188" t="str">
        <x:v>T00350</x:v>
      </x:c>
      <x:c r="B354" s="189" t="str">
        <x:v>P022</x:v>
      </x:c>
      <x:c r="C354" s="189" t="str">
        <x:v>S10</x:v>
      </x:c>
      <x:c r="D354" s="189" t="str">
        <x:v>Noah Reed</x:v>
      </x:c>
      <x:c r="E354" s="189" t="str">
        <x:v>Strategy</x:v>
      </x:c>
      <x:c r="F354" s="190" t="n">
        <x:v>46205</x:v>
      </x:c>
      <x:c r="G354" s="189" t="n">
        <x:v>20</x:v>
      </x:c>
      <x:c r="H354" s="203" t="n">
        <x:v>1800</x:v>
      </x:c>
      <x:c r="I354" s="193" t="n">
        <x:v>20</x:v>
      </x:c>
    </x:row>
    <x:row r="355">
      <x:c r="A355" s="188" t="str">
        <x:v>T00351</x:v>
      </x:c>
      <x:c r="B355" s="189" t="str">
        <x:v>P022</x:v>
      </x:c>
      <x:c r="C355" s="189" t="str">
        <x:v>S01</x:v>
      </x:c>
      <x:c r="D355" s="189" t="str">
        <x:v>Maya Chen</x:v>
      </x:c>
      <x:c r="E355" s="189" t="str">
        <x:v>Strategy</x:v>
      </x:c>
      <x:c r="F355" s="190" t="n">
        <x:v>46207</x:v>
      </x:c>
      <x:c r="G355" s="189" t="n">
        <x:v>29</x:v>
      </x:c>
      <x:c r="H355" s="203" t="n">
        <x:v>2755</x:v>
      </x:c>
      <x:c r="I355" s="193" t="n">
        <x:v>29</x:v>
      </x:c>
    </x:row>
    <x:row r="356">
      <x:c r="A356" s="188" t="str">
        <x:v>T00352</x:v>
      </x:c>
      <x:c r="B356" s="189" t="str">
        <x:v>P022</x:v>
      </x:c>
      <x:c r="C356" s="189" t="str">
        <x:v>S02</x:v>
      </x:c>
      <x:c r="D356" s="189" t="str">
        <x:v>Elias Ward</x:v>
      </x:c>
      <x:c r="E356" s="189" t="str">
        <x:v>Design</x:v>
      </x:c>
      <x:c r="F356" s="190" t="n">
        <x:v>46192</x:v>
      </x:c>
      <x:c r="G356" s="189" t="n">
        <x:v>19</x:v>
      </x:c>
      <x:c r="H356" s="203" t="n">
        <x:v>1368</x:v>
      </x:c>
      <x:c r="I356" s="193" t="n">
        <x:v>19</x:v>
      </x:c>
    </x:row>
    <x:row r="357">
      <x:c r="A357" s="188" t="str">
        <x:v>T00353</x:v>
      </x:c>
      <x:c r="B357" s="189" t="str">
        <x:v>P022</x:v>
      </x:c>
      <x:c r="C357" s="189" t="str">
        <x:v>S03</x:v>
      </x:c>
      <x:c r="D357" s="189" t="str">
        <x:v>Nora Patel</x:v>
      </x:c>
      <x:c r="E357" s="189" t="str">
        <x:v>Analytics</x:v>
      </x:c>
      <x:c r="F357" s="190" t="n">
        <x:v>46262</x:v>
      </x:c>
      <x:c r="G357" s="189" t="n">
        <x:v>27</x:v>
      </x:c>
      <x:c r="H357" s="203" t="n">
        <x:v>2214</x:v>
      </x:c>
      <x:c r="I357" s="193" t="n">
        <x:v>27</x:v>
      </x:c>
    </x:row>
    <x:row r="358">
      <x:c r="A358" s="188" t="str">
        <x:v>T00354</x:v>
      </x:c>
      <x:c r="B358" s="189" t="str">
        <x:v>P022</x:v>
      </x:c>
      <x:c r="C358" s="189" t="str">
        <x:v>S04</x:v>
      </x:c>
      <x:c r="D358" s="189" t="str">
        <x:v>Owen Brooks</x:v>
      </x:c>
      <x:c r="E358" s="189" t="str">
        <x:v>Development</x:v>
      </x:c>
      <x:c r="F358" s="190" t="n">
        <x:v>46249</x:v>
      </x:c>
      <x:c r="G358" s="189" t="n">
        <x:v>33</x:v>
      </x:c>
      <x:c r="H358" s="203" t="n">
        <x:v>2904</x:v>
      </x:c>
      <x:c r="I358" s="193" t="n">
        <x:v>33</x:v>
      </x:c>
    </x:row>
    <x:row r="359">
      <x:c r="A359" s="188" t="str">
        <x:v>T00355</x:v>
      </x:c>
      <x:c r="B359" s="189" t="str">
        <x:v>P022</x:v>
      </x:c>
      <x:c r="C359" s="189" t="str">
        <x:v>S05</x:v>
      </x:c>
      <x:c r="D359" s="189" t="str">
        <x:v>Sara Lin</x:v>
      </x:c>
      <x:c r="E359" s="189" t="str">
        <x:v>Project Management</x:v>
      </x:c>
      <x:c r="F359" s="190" t="n">
        <x:v>46220</x:v>
      </x:c>
      <x:c r="G359" s="189" t="n">
        <x:v>20</x:v>
      </x:c>
      <x:c r="H359" s="203" t="n">
        <x:v>1400</x:v>
      </x:c>
      <x:c r="I359" s="193" t="n">
        <x:v>20</x:v>
      </x:c>
    </x:row>
    <x:row r="360">
      <x:c r="A360" s="188" t="str">
        <x:v>T00356</x:v>
      </x:c>
      <x:c r="B360" s="189" t="str">
        <x:v>P022</x:v>
      </x:c>
      <x:c r="C360" s="189" t="str">
        <x:v>S06</x:v>
      </x:c>
      <x:c r="D360" s="189" t="str">
        <x:v>Leo Martin</x:v>
      </x:c>
      <x:c r="E360" s="189" t="str">
        <x:v>Development</x:v>
      </x:c>
      <x:c r="F360" s="190" t="n">
        <x:v>46182</x:v>
      </x:c>
      <x:c r="G360" s="189" t="n">
        <x:v>28</x:v>
      </x:c>
      <x:c r="H360" s="203" t="n">
        <x:v>2576</x:v>
      </x:c>
      <x:c r="I360" s="193" t="n">
        <x:v>28</x:v>
      </x:c>
    </x:row>
    <x:row r="361">
      <x:c r="A361" s="188" t="str">
        <x:v>T00357</x:v>
      </x:c>
      <x:c r="B361" s="189" t="str">
        <x:v>P022</x:v>
      </x:c>
      <x:c r="C361" s="189" t="str">
        <x:v>S07</x:v>
      </x:c>
      <x:c r="D361" s="189" t="str">
        <x:v>Ava Stone</x:v>
      </x:c>
      <x:c r="E361" s="189" t="str">
        <x:v>Content</x:v>
      </x:c>
      <x:c r="F361" s="190" t="n">
        <x:v>46179</x:v>
      </x:c>
      <x:c r="G361" s="189" t="n">
        <x:v>27</x:v>
      </x:c>
      <x:c r="H361" s="203" t="n">
        <x:v>1566</x:v>
      </x:c>
      <x:c r="I361" s="193" t="n">
        <x:v>27</x:v>
      </x:c>
    </x:row>
    <x:row r="362">
      <x:c r="A362" s="188" t="str">
        <x:v>T00358</x:v>
      </x:c>
      <x:c r="B362" s="189" t="str">
        <x:v>P022</x:v>
      </x:c>
      <x:c r="C362" s="189" t="str">
        <x:v>S08</x:v>
      </x:c>
      <x:c r="D362" s="189" t="str">
        <x:v>Theo King</x:v>
      </x:c>
      <x:c r="E362" s="189" t="str">
        <x:v>Analytics</x:v>
      </x:c>
      <x:c r="F362" s="190" t="n">
        <x:v>46255</x:v>
      </x:c>
      <x:c r="G362" s="189" t="n">
        <x:v>29</x:v>
      </x:c>
      <x:c r="H362" s="203" t="n">
        <x:v>2262</x:v>
      </x:c>
      <x:c r="I362" s="193" t="n">
        <x:v>29</x:v>
      </x:c>
    </x:row>
    <x:row r="363">
      <x:c r="A363" s="188" t="str">
        <x:v>T00359</x:v>
      </x:c>
      <x:c r="B363" s="189" t="str">
        <x:v>P022</x:v>
      </x:c>
      <x:c r="C363" s="189" t="str">
        <x:v>S09</x:v>
      </x:c>
      <x:c r="D363" s="189" t="str">
        <x:v>Emma Hayes</x:v>
      </x:c>
      <x:c r="E363" s="189" t="str">
        <x:v>Design</x:v>
      </x:c>
      <x:c r="F363" s="190" t="n">
        <x:v>46251</x:v>
      </x:c>
      <x:c r="G363" s="189" t="n">
        <x:v>21</x:v>
      </x:c>
      <x:c r="H363" s="203" t="n">
        <x:v>1428</x:v>
      </x:c>
      <x:c r="I363" s="193" t="n">
        <x:v>21</x:v>
      </x:c>
    </x:row>
    <x:row r="364">
      <x:c r="A364" s="188" t="str">
        <x:v>T00360</x:v>
      </x:c>
      <x:c r="B364" s="189" t="str">
        <x:v>P022</x:v>
      </x:c>
      <x:c r="C364" s="189" t="str">
        <x:v>S10</x:v>
      </x:c>
      <x:c r="D364" s="189" t="str">
        <x:v>Noah Reed</x:v>
      </x:c>
      <x:c r="E364" s="189" t="str">
        <x:v>Strategy</x:v>
      </x:c>
      <x:c r="F364" s="190" t="n">
        <x:v>46190</x:v>
      </x:c>
      <x:c r="G364" s="189" t="n">
        <x:v>25</x:v>
      </x:c>
      <x:c r="H364" s="203" t="n">
        <x:v>2250</x:v>
      </x:c>
      <x:c r="I364" s="193" t="n">
        <x:v>25</x:v>
      </x:c>
    </x:row>
    <x:row r="365">
      <x:c r="A365" s="188" t="str">
        <x:v>T00361</x:v>
      </x:c>
      <x:c r="B365" s="189" t="str">
        <x:v>P022</x:v>
      </x:c>
      <x:c r="C365" s="189" t="str">
        <x:v>S01</x:v>
      </x:c>
      <x:c r="D365" s="189" t="str">
        <x:v>Maya Chen</x:v>
      </x:c>
      <x:c r="E365" s="189" t="str">
        <x:v>Strategy</x:v>
      </x:c>
      <x:c r="F365" s="190" t="n">
        <x:v>46205</x:v>
      </x:c>
      <x:c r="G365" s="189" t="n">
        <x:v>24</x:v>
      </x:c>
      <x:c r="H365" s="203" t="n">
        <x:v>2280</x:v>
      </x:c>
      <x:c r="I365" s="193" t="n">
        <x:v>24</x:v>
      </x:c>
    </x:row>
    <x:row r="366">
      <x:c r="A366" s="188" t="str">
        <x:v>T00362</x:v>
      </x:c>
      <x:c r="B366" s="189" t="str">
        <x:v>P023</x:v>
      </x:c>
      <x:c r="C366" s="189" t="str">
        <x:v>S03</x:v>
      </x:c>
      <x:c r="D366" s="189" t="str">
        <x:v>Nora Patel</x:v>
      </x:c>
      <x:c r="E366" s="189" t="str">
        <x:v>Analytics</x:v>
      </x:c>
      <x:c r="F366" s="190" t="n">
        <x:v>46218</x:v>
      </x:c>
      <x:c r="G366" s="189" t="n">
        <x:v>26</x:v>
      </x:c>
      <x:c r="H366" s="203" t="n">
        <x:v>2132</x:v>
      </x:c>
      <x:c r="I366" s="193" t="n">
        <x:v>26</x:v>
      </x:c>
    </x:row>
    <x:row r="367">
      <x:c r="A367" s="188" t="str">
        <x:v>T00363</x:v>
      </x:c>
      <x:c r="B367" s="189" t="str">
        <x:v>P023</x:v>
      </x:c>
      <x:c r="C367" s="189" t="str">
        <x:v>S04</x:v>
      </x:c>
      <x:c r="D367" s="189" t="str">
        <x:v>Owen Brooks</x:v>
      </x:c>
      <x:c r="E367" s="189" t="str">
        <x:v>Development</x:v>
      </x:c>
      <x:c r="F367" s="190" t="n">
        <x:v>46248</x:v>
      </x:c>
      <x:c r="G367" s="189" t="n">
        <x:v>30</x:v>
      </x:c>
      <x:c r="H367" s="203" t="n">
        <x:v>2640</x:v>
      </x:c>
      <x:c r="I367" s="193" t="n">
        <x:v>30</x:v>
      </x:c>
    </x:row>
    <x:row r="368">
      <x:c r="A368" s="188" t="str">
        <x:v>T00364</x:v>
      </x:c>
      <x:c r="B368" s="189" t="str">
        <x:v>P023</x:v>
      </x:c>
      <x:c r="C368" s="189" t="str">
        <x:v>S05</x:v>
      </x:c>
      <x:c r="D368" s="189" t="str">
        <x:v>Sara Lin</x:v>
      </x:c>
      <x:c r="E368" s="189" t="str">
        <x:v>Project Management</x:v>
      </x:c>
      <x:c r="F368" s="190" t="n">
        <x:v>46190</x:v>
      </x:c>
      <x:c r="G368" s="189" t="n">
        <x:v>32</x:v>
      </x:c>
      <x:c r="H368" s="203" t="n">
        <x:v>2240</x:v>
      </x:c>
      <x:c r="I368" s="193" t="n">
        <x:v>32</x:v>
      </x:c>
    </x:row>
    <x:row r="369">
      <x:c r="A369" s="188" t="str">
        <x:v>T00365</x:v>
      </x:c>
      <x:c r="B369" s="189" t="str">
        <x:v>P023</x:v>
      </x:c>
      <x:c r="C369" s="189" t="str">
        <x:v>S06</x:v>
      </x:c>
      <x:c r="D369" s="189" t="str">
        <x:v>Leo Martin</x:v>
      </x:c>
      <x:c r="E369" s="189" t="str">
        <x:v>Development</x:v>
      </x:c>
      <x:c r="F369" s="190" t="n">
        <x:v>46209</x:v>
      </x:c>
      <x:c r="G369" s="189" t="n">
        <x:v>30</x:v>
      </x:c>
      <x:c r="H369" s="203" t="n">
        <x:v>2760</x:v>
      </x:c>
      <x:c r="I369" s="193" t="n">
        <x:v>30</x:v>
      </x:c>
    </x:row>
    <x:row r="370">
      <x:c r="A370" s="188" t="str">
        <x:v>T00366</x:v>
      </x:c>
      <x:c r="B370" s="189" t="str">
        <x:v>P023</x:v>
      </x:c>
      <x:c r="C370" s="189" t="str">
        <x:v>S07</x:v>
      </x:c>
      <x:c r="D370" s="189" t="str">
        <x:v>Ava Stone</x:v>
      </x:c>
      <x:c r="E370" s="189" t="str">
        <x:v>Content</x:v>
      </x:c>
      <x:c r="F370" s="190" t="n">
        <x:v>46233</x:v>
      </x:c>
      <x:c r="G370" s="189" t="n">
        <x:v>29</x:v>
      </x:c>
      <x:c r="H370" s="203" t="n">
        <x:v>1682</x:v>
      </x:c>
      <x:c r="I370" s="193" t="n">
        <x:v>29</x:v>
      </x:c>
    </x:row>
    <x:row r="371">
      <x:c r="A371" s="188" t="str">
        <x:v>T00367</x:v>
      </x:c>
      <x:c r="B371" s="189" t="str">
        <x:v>P023</x:v>
      </x:c>
      <x:c r="C371" s="189" t="str">
        <x:v>S08</x:v>
      </x:c>
      <x:c r="D371" s="189" t="str">
        <x:v>Theo King</x:v>
      </x:c>
      <x:c r="E371" s="189" t="str">
        <x:v>Analytics</x:v>
      </x:c>
      <x:c r="F371" s="190" t="n">
        <x:v>46207</x:v>
      </x:c>
      <x:c r="G371" s="189" t="n">
        <x:v>33</x:v>
      </x:c>
      <x:c r="H371" s="203" t="n">
        <x:v>2574</x:v>
      </x:c>
      <x:c r="I371" s="193" t="n">
        <x:v>33</x:v>
      </x:c>
    </x:row>
    <x:row r="372">
      <x:c r="A372" s="188" t="str">
        <x:v>T00368</x:v>
      </x:c>
      <x:c r="B372" s="189" t="str">
        <x:v>P023</x:v>
      </x:c>
      <x:c r="C372" s="189" t="str">
        <x:v>S09</x:v>
      </x:c>
      <x:c r="D372" s="189" t="str">
        <x:v>Emma Hayes</x:v>
      </x:c>
      <x:c r="E372" s="189" t="str">
        <x:v>Design</x:v>
      </x:c>
      <x:c r="F372" s="190" t="n">
        <x:v>46247</x:v>
      </x:c>
      <x:c r="G372" s="189" t="n">
        <x:v>27</x:v>
      </x:c>
      <x:c r="H372" s="203" t="n">
        <x:v>1836</x:v>
      </x:c>
      <x:c r="I372" s="193" t="n">
        <x:v>27</x:v>
      </x:c>
    </x:row>
    <x:row r="373">
      <x:c r="A373" s="188" t="str">
        <x:v>T00369</x:v>
      </x:c>
      <x:c r="B373" s="189" t="str">
        <x:v>P023</x:v>
      </x:c>
      <x:c r="C373" s="189" t="str">
        <x:v>S10</x:v>
      </x:c>
      <x:c r="D373" s="189" t="str">
        <x:v>Noah Reed</x:v>
      </x:c>
      <x:c r="E373" s="189" t="str">
        <x:v>Strategy</x:v>
      </x:c>
      <x:c r="F373" s="190" t="n">
        <x:v>46209</x:v>
      </x:c>
      <x:c r="G373" s="189" t="n">
        <x:v>22</x:v>
      </x:c>
      <x:c r="H373" s="203" t="n">
        <x:v>1980</x:v>
      </x:c>
      <x:c r="I373" s="193" t="n">
        <x:v>22</x:v>
      </x:c>
    </x:row>
    <x:row r="374">
      <x:c r="A374" s="188" t="str">
        <x:v>T00370</x:v>
      </x:c>
      <x:c r="B374" s="189" t="str">
        <x:v>P023</x:v>
      </x:c>
      <x:c r="C374" s="189" t="str">
        <x:v>S01</x:v>
      </x:c>
      <x:c r="D374" s="189" t="str">
        <x:v>Maya Chen</x:v>
      </x:c>
      <x:c r="E374" s="189" t="str">
        <x:v>Strategy</x:v>
      </x:c>
      <x:c r="F374" s="190" t="n">
        <x:v>46210</x:v>
      </x:c>
      <x:c r="G374" s="189" t="n">
        <x:v>33</x:v>
      </x:c>
      <x:c r="H374" s="203" t="n">
        <x:v>3135</x:v>
      </x:c>
      <x:c r="I374" s="193" t="n">
        <x:v>0</x:v>
      </x:c>
    </x:row>
    <x:row r="375">
      <x:c r="A375" s="188" t="str">
        <x:v>T00371</x:v>
      </x:c>
      <x:c r="B375" s="189" t="str">
        <x:v>P023</x:v>
      </x:c>
      <x:c r="C375" s="189" t="str">
        <x:v>S02</x:v>
      </x:c>
      <x:c r="D375" s="189" t="str">
        <x:v>Elias Ward</x:v>
      </x:c>
      <x:c r="E375" s="189" t="str">
        <x:v>Design</x:v>
      </x:c>
      <x:c r="F375" s="190" t="n">
        <x:v>46228</x:v>
      </x:c>
      <x:c r="G375" s="189" t="n">
        <x:v>20</x:v>
      </x:c>
      <x:c r="H375" s="203" t="n">
        <x:v>1440</x:v>
      </x:c>
      <x:c r="I375" s="193" t="n">
        <x:v>20</x:v>
      </x:c>
    </x:row>
    <x:row r="376">
      <x:c r="A376" s="188" t="str">
        <x:v>T00372</x:v>
      </x:c>
      <x:c r="B376" s="189" t="str">
        <x:v>P023</x:v>
      </x:c>
      <x:c r="C376" s="189" t="str">
        <x:v>S03</x:v>
      </x:c>
      <x:c r="D376" s="189" t="str">
        <x:v>Nora Patel</x:v>
      </x:c>
      <x:c r="E376" s="189" t="str">
        <x:v>Analytics</x:v>
      </x:c>
      <x:c r="F376" s="190" t="n">
        <x:v>46184</x:v>
      </x:c>
      <x:c r="G376" s="189" t="n">
        <x:v>32</x:v>
      </x:c>
      <x:c r="H376" s="203" t="n">
        <x:v>2624</x:v>
      </x:c>
      <x:c r="I376" s="193" t="n">
        <x:v>0</x:v>
      </x:c>
    </x:row>
    <x:row r="377">
      <x:c r="A377" s="188" t="str">
        <x:v>T00373</x:v>
      </x:c>
      <x:c r="B377" s="189" t="str">
        <x:v>P023</x:v>
      </x:c>
      <x:c r="C377" s="189" t="str">
        <x:v>S04</x:v>
      </x:c>
      <x:c r="D377" s="189" t="str">
        <x:v>Owen Brooks</x:v>
      </x:c>
      <x:c r="E377" s="189" t="str">
        <x:v>Development</x:v>
      </x:c>
      <x:c r="F377" s="190" t="n">
        <x:v>46213</x:v>
      </x:c>
      <x:c r="G377" s="189" t="n">
        <x:v>21</x:v>
      </x:c>
      <x:c r="H377" s="203" t="n">
        <x:v>1848</x:v>
      </x:c>
      <x:c r="I377" s="193" t="n">
        <x:v>21</x:v>
      </x:c>
    </x:row>
    <x:row r="378">
      <x:c r="A378" s="188" t="str">
        <x:v>T00374</x:v>
      </x:c>
      <x:c r="B378" s="189" t="str">
        <x:v>P023</x:v>
      </x:c>
      <x:c r="C378" s="189" t="str">
        <x:v>S05</x:v>
      </x:c>
      <x:c r="D378" s="189" t="str">
        <x:v>Sara Lin</x:v>
      </x:c>
      <x:c r="E378" s="189" t="str">
        <x:v>Project Management</x:v>
      </x:c>
      <x:c r="F378" s="190" t="n">
        <x:v>46210</x:v>
      </x:c>
      <x:c r="G378" s="189" t="n">
        <x:v>29</x:v>
      </x:c>
      <x:c r="H378" s="203" t="n">
        <x:v>2030</x:v>
      </x:c>
      <x:c r="I378" s="193" t="n">
        <x:v>29</x:v>
      </x:c>
    </x:row>
    <x:row r="379">
      <x:c r="A379" s="188" t="str">
        <x:v>T00375</x:v>
      </x:c>
      <x:c r="B379" s="189" t="str">
        <x:v>P023</x:v>
      </x:c>
      <x:c r="C379" s="189" t="str">
        <x:v>S06</x:v>
      </x:c>
      <x:c r="D379" s="189" t="str">
        <x:v>Leo Martin</x:v>
      </x:c>
      <x:c r="E379" s="189" t="str">
        <x:v>Development</x:v>
      </x:c>
      <x:c r="F379" s="190" t="n">
        <x:v>46220</x:v>
      </x:c>
      <x:c r="G379" s="189" t="n">
        <x:v>27</x:v>
      </x:c>
      <x:c r="H379" s="203" t="n">
        <x:v>2484</x:v>
      </x:c>
      <x:c r="I379" s="193" t="n">
        <x:v>27</x:v>
      </x:c>
    </x:row>
    <x:row r="380">
      <x:c r="A380" s="188" t="str">
        <x:v>T00376</x:v>
      </x:c>
      <x:c r="B380" s="189" t="str">
        <x:v>P023</x:v>
      </x:c>
      <x:c r="C380" s="189" t="str">
        <x:v>S07</x:v>
      </x:c>
      <x:c r="D380" s="189" t="str">
        <x:v>Ava Stone</x:v>
      </x:c>
      <x:c r="E380" s="189" t="str">
        <x:v>Content</x:v>
      </x:c>
      <x:c r="F380" s="190" t="n">
        <x:v>46222</x:v>
      </x:c>
      <x:c r="G380" s="189" t="n">
        <x:v>26</x:v>
      </x:c>
      <x:c r="H380" s="203" t="n">
        <x:v>1508</x:v>
      </x:c>
      <x:c r="I380" s="193" t="n">
        <x:v>0</x:v>
      </x:c>
    </x:row>
    <x:row r="381">
      <x:c r="A381" s="188" t="str">
        <x:v>T00377</x:v>
      </x:c>
      <x:c r="B381" s="189" t="str">
        <x:v>P023</x:v>
      </x:c>
      <x:c r="C381" s="189" t="str">
        <x:v>S08</x:v>
      </x:c>
      <x:c r="D381" s="189" t="str">
        <x:v>Theo King</x:v>
      </x:c>
      <x:c r="E381" s="189" t="str">
        <x:v>Analytics</x:v>
      </x:c>
      <x:c r="F381" s="190" t="n">
        <x:v>46187</x:v>
      </x:c>
      <x:c r="G381" s="189" t="n">
        <x:v>24</x:v>
      </x:c>
      <x:c r="H381" s="203" t="n">
        <x:v>1872</x:v>
      </x:c>
      <x:c r="I381" s="193" t="n">
        <x:v>24</x:v>
      </x:c>
    </x:row>
    <x:row r="382">
      <x:c r="A382" s="188" t="str">
        <x:v>T00378</x:v>
      </x:c>
      <x:c r="B382" s="189" t="str">
        <x:v>P023</x:v>
      </x:c>
      <x:c r="C382" s="189" t="str">
        <x:v>S09</x:v>
      </x:c>
      <x:c r="D382" s="189" t="str">
        <x:v>Emma Hayes</x:v>
      </x:c>
      <x:c r="E382" s="189" t="str">
        <x:v>Design</x:v>
      </x:c>
      <x:c r="F382" s="190" t="n">
        <x:v>46260</x:v>
      </x:c>
      <x:c r="G382" s="189" t="n">
        <x:v>26</x:v>
      </x:c>
      <x:c r="H382" s="203" t="n">
        <x:v>1768</x:v>
      </x:c>
      <x:c r="I382" s="193" t="n">
        <x:v>0</x:v>
      </x:c>
    </x:row>
    <x:row r="383">
      <x:c r="A383" s="188" t="str">
        <x:v>T00379</x:v>
      </x:c>
      <x:c r="B383" s="189" t="str">
        <x:v>P023</x:v>
      </x:c>
      <x:c r="C383" s="189" t="str">
        <x:v>S10</x:v>
      </x:c>
      <x:c r="D383" s="189" t="str">
        <x:v>Noah Reed</x:v>
      </x:c>
      <x:c r="E383" s="189" t="str">
        <x:v>Strategy</x:v>
      </x:c>
      <x:c r="F383" s="190" t="n">
        <x:v>46241</x:v>
      </x:c>
      <x:c r="G383" s="189" t="n">
        <x:v>9</x:v>
      </x:c>
      <x:c r="H383" s="203" t="n">
        <x:v>810</x:v>
      </x:c>
      <x:c r="I383" s="193" t="n">
        <x:v>9</x:v>
      </x:c>
    </x:row>
    <x:row r="384">
      <x:c r="A384" s="188" t="str">
        <x:v>T00380</x:v>
      </x:c>
      <x:c r="B384" s="189" t="str">
        <x:v>P024</x:v>
      </x:c>
      <x:c r="C384" s="189" t="str">
        <x:v>S04</x:v>
      </x:c>
      <x:c r="D384" s="189" t="str">
        <x:v>Owen Brooks</x:v>
      </x:c>
      <x:c r="E384" s="189" t="str">
        <x:v>Development</x:v>
      </x:c>
      <x:c r="F384" s="190" t="n">
        <x:v>46265</x:v>
      </x:c>
      <x:c r="G384" s="189" t="n">
        <x:v>10</x:v>
      </x:c>
      <x:c r="H384" s="203" t="n">
        <x:v>880</x:v>
      </x:c>
      <x:c r="I384" s="193" t="n">
        <x:v>10</x:v>
      </x:c>
    </x:row>
    <x:row r="385">
      <x:c r="A385" s="188" t="str">
        <x:v>T00381</x:v>
      </x:c>
      <x:c r="B385" s="189" t="str">
        <x:v>P024</x:v>
      </x:c>
      <x:c r="C385" s="189" t="str">
        <x:v>S05</x:v>
      </x:c>
      <x:c r="D385" s="189" t="str">
        <x:v>Sara Lin</x:v>
      </x:c>
      <x:c r="E385" s="189" t="str">
        <x:v>Project Management</x:v>
      </x:c>
      <x:c r="F385" s="190" t="n">
        <x:v>46295</x:v>
      </x:c>
      <x:c r="G385" s="189" t="n">
        <x:v>10</x:v>
      </x:c>
      <x:c r="H385" s="203" t="n">
        <x:v>700</x:v>
      </x:c>
      <x:c r="I385" s="193" t="n">
        <x:v>10</x:v>
      </x:c>
    </x:row>
    <x:row r="386">
      <x:c r="A386" s="188" t="str">
        <x:v>T00382</x:v>
      </x:c>
      <x:c r="B386" s="189" t="str">
        <x:v>P024</x:v>
      </x:c>
      <x:c r="C386" s="189" t="str">
        <x:v>S06</x:v>
      </x:c>
      <x:c r="D386" s="189" t="str">
        <x:v>Leo Martin</x:v>
      </x:c>
      <x:c r="E386" s="189" t="str">
        <x:v>Development</x:v>
      </x:c>
      <x:c r="F386" s="190" t="n">
        <x:v>46273</x:v>
      </x:c>
      <x:c r="G386" s="189" t="n">
        <x:v>8</x:v>
      </x:c>
      <x:c r="H386" s="203" t="n">
        <x:v>736</x:v>
      </x:c>
      <x:c r="I386" s="193" t="n">
        <x:v>0</x:v>
      </x:c>
    </x:row>
    <x:row r="387">
      <x:c r="A387" s="188" t="str">
        <x:v>T00383</x:v>
      </x:c>
      <x:c r="B387" s="189" t="str">
        <x:v>P024</x:v>
      </x:c>
      <x:c r="C387" s="189" t="str">
        <x:v>S07</x:v>
      </x:c>
      <x:c r="D387" s="189" t="str">
        <x:v>Ava Stone</x:v>
      </x:c>
      <x:c r="E387" s="189" t="str">
        <x:v>Content</x:v>
      </x:c>
      <x:c r="F387" s="190" t="n">
        <x:v>46246</x:v>
      </x:c>
      <x:c r="G387" s="189" t="n">
        <x:v>6</x:v>
      </x:c>
      <x:c r="H387" s="203" t="n">
        <x:v>348</x:v>
      </x:c>
      <x:c r="I387" s="193" t="n">
        <x:v>6</x:v>
      </x:c>
    </x:row>
    <x:row r="388">
      <x:c r="A388" s="188" t="str">
        <x:v>T00384</x:v>
      </x:c>
      <x:c r="B388" s="189" t="str">
        <x:v>P024</x:v>
      </x:c>
      <x:c r="C388" s="189" t="str">
        <x:v>S08</x:v>
      </x:c>
      <x:c r="D388" s="189" t="str">
        <x:v>Theo King</x:v>
      </x:c>
      <x:c r="E388" s="189" t="str">
        <x:v>Analytics</x:v>
      </x:c>
      <x:c r="F388" s="190" t="n">
        <x:v>46216</x:v>
      </x:c>
      <x:c r="G388" s="189" t="n">
        <x:v>8</x:v>
      </x:c>
      <x:c r="H388" s="203" t="n">
        <x:v>624</x:v>
      </x:c>
      <x:c r="I388" s="193" t="n">
        <x:v>8</x:v>
      </x:c>
    </x:row>
    <x:row r="389">
      <x:c r="A389" s="188" t="str">
        <x:v>T00385</x:v>
      </x:c>
      <x:c r="B389" s="189" t="str">
        <x:v>P024</x:v>
      </x:c>
      <x:c r="C389" s="189" t="str">
        <x:v>S09</x:v>
      </x:c>
      <x:c r="D389" s="189" t="str">
        <x:v>Emma Hayes</x:v>
      </x:c>
      <x:c r="E389" s="189" t="str">
        <x:v>Design</x:v>
      </x:c>
      <x:c r="F389" s="190" t="n">
        <x:v>46238</x:v>
      </x:c>
      <x:c r="G389" s="189" t="n">
        <x:v>12</x:v>
      </x:c>
      <x:c r="H389" s="203" t="n">
        <x:v>816</x:v>
      </x:c>
      <x:c r="I389" s="193" t="n">
        <x:v>12</x:v>
      </x:c>
    </x:row>
    <x:row r="390">
      <x:c r="A390" s="188" t="str">
        <x:v>T00386</x:v>
      </x:c>
      <x:c r="B390" s="189" t="str">
        <x:v>P024</x:v>
      </x:c>
      <x:c r="C390" s="189" t="str">
        <x:v>S10</x:v>
      </x:c>
      <x:c r="D390" s="189" t="str">
        <x:v>Noah Reed</x:v>
      </x:c>
      <x:c r="E390" s="189" t="str">
        <x:v>Strategy</x:v>
      </x:c>
      <x:c r="F390" s="190" t="n">
        <x:v>46216</x:v>
      </x:c>
      <x:c r="G390" s="189" t="n">
        <x:v>11</x:v>
      </x:c>
      <x:c r="H390" s="203" t="n">
        <x:v>990</x:v>
      </x:c>
      <x:c r="I390" s="193" t="n">
        <x:v>11</x:v>
      </x:c>
    </x:row>
    <x:row r="391">
      <x:c r="A391" s="188" t="str">
        <x:v>T00387</x:v>
      </x:c>
      <x:c r="B391" s="189" t="str">
        <x:v>P024</x:v>
      </x:c>
      <x:c r="C391" s="189" t="str">
        <x:v>S01</x:v>
      </x:c>
      <x:c r="D391" s="189" t="str">
        <x:v>Maya Chen</x:v>
      </x:c>
      <x:c r="E391" s="189" t="str">
        <x:v>Strategy</x:v>
      </x:c>
      <x:c r="F391" s="190" t="n">
        <x:v>46208</x:v>
      </x:c>
      <x:c r="G391" s="189" t="n">
        <x:v>7</x:v>
      </x:c>
      <x:c r="H391" s="203" t="n">
        <x:v>665</x:v>
      </x:c>
      <x:c r="I391" s="193" t="n">
        <x:v>0</x:v>
      </x:c>
    </x:row>
    <x:row r="392">
      <x:c r="A392" s="188" t="str">
        <x:v>T00388</x:v>
      </x:c>
      <x:c r="B392" s="189" t="str">
        <x:v>P024</x:v>
      </x:c>
      <x:c r="C392" s="189" t="str">
        <x:v>S02</x:v>
      </x:c>
      <x:c r="D392" s="189" t="str">
        <x:v>Elias Ward</x:v>
      </x:c>
      <x:c r="E392" s="189" t="str">
        <x:v>Design</x:v>
      </x:c>
      <x:c r="F392" s="190" t="n">
        <x:v>46292</x:v>
      </x:c>
      <x:c r="G392" s="189" t="n">
        <x:v>9</x:v>
      </x:c>
      <x:c r="H392" s="203" t="n">
        <x:v>648</x:v>
      </x:c>
      <x:c r="I392" s="193" t="n">
        <x:v>9</x:v>
      </x:c>
    </x:row>
    <x:row r="393">
      <x:c r="A393" s="188" t="str">
        <x:v>T00389</x:v>
      </x:c>
      <x:c r="B393" s="189" t="str">
        <x:v>P024</x:v>
      </x:c>
      <x:c r="C393" s="189" t="str">
        <x:v>S03</x:v>
      </x:c>
      <x:c r="D393" s="189" t="str">
        <x:v>Nora Patel</x:v>
      </x:c>
      <x:c r="E393" s="189" t="str">
        <x:v>Analytics</x:v>
      </x:c>
      <x:c r="F393" s="190" t="n">
        <x:v>46251</x:v>
      </x:c>
      <x:c r="G393" s="189" t="n">
        <x:v>7</x:v>
      </x:c>
      <x:c r="H393" s="203" t="n">
        <x:v>574</x:v>
      </x:c>
      <x:c r="I393" s="193" t="n">
        <x:v>7</x:v>
      </x:c>
    </x:row>
    <x:row r="394">
      <x:c r="A394" s="188" t="str">
        <x:v>T00390</x:v>
      </x:c>
      <x:c r="B394" s="189" t="str">
        <x:v>P024</x:v>
      </x:c>
      <x:c r="C394" s="189" t="str">
        <x:v>S04</x:v>
      </x:c>
      <x:c r="D394" s="189" t="str">
        <x:v>Owen Brooks</x:v>
      </x:c>
      <x:c r="E394" s="189" t="str">
        <x:v>Development</x:v>
      </x:c>
      <x:c r="F394" s="190" t="n">
        <x:v>46244</x:v>
      </x:c>
      <x:c r="G394" s="189" t="n">
        <x:v>12</x:v>
      </x:c>
      <x:c r="H394" s="203" t="n">
        <x:v>1056</x:v>
      </x:c>
      <x:c r="I394" s="193" t="n">
        <x:v>12</x:v>
      </x:c>
    </x:row>
    <x:row r="395">
      <x:c r="A395" s="188" t="str">
        <x:v>T00391</x:v>
      </x:c>
      <x:c r="B395" s="189" t="str">
        <x:v>P024</x:v>
      </x:c>
      <x:c r="C395" s="189" t="str">
        <x:v>S05</x:v>
      </x:c>
      <x:c r="D395" s="189" t="str">
        <x:v>Sara Lin</x:v>
      </x:c>
      <x:c r="E395" s="189" t="str">
        <x:v>Project Management</x:v>
      </x:c>
      <x:c r="F395" s="190" t="n">
        <x:v>46204</x:v>
      </x:c>
      <x:c r="G395" s="189" t="n">
        <x:v>6</x:v>
      </x:c>
      <x:c r="H395" s="203" t="n">
        <x:v>420</x:v>
      </x:c>
      <x:c r="I395" s="193" t="n">
        <x:v>6</x:v>
      </x:c>
    </x:row>
    <x:row r="396">
      <x:c r="A396" s="188" t="str">
        <x:v>T00392</x:v>
      </x:c>
      <x:c r="B396" s="189" t="str">
        <x:v>P024</x:v>
      </x:c>
      <x:c r="C396" s="189" t="str">
        <x:v>S06</x:v>
      </x:c>
      <x:c r="D396" s="189" t="str">
        <x:v>Leo Martin</x:v>
      </x:c>
      <x:c r="E396" s="189" t="str">
        <x:v>Development</x:v>
      </x:c>
      <x:c r="F396" s="190" t="n">
        <x:v>46204</x:v>
      </x:c>
      <x:c r="G396" s="189" t="n">
        <x:v>12</x:v>
      </x:c>
      <x:c r="H396" s="203" t="n">
        <x:v>1104</x:v>
      </x:c>
      <x:c r="I396" s="193" t="n">
        <x:v>12</x:v>
      </x:c>
    </x:row>
    <x:row r="397">
      <x:c r="A397" s="188" t="str">
        <x:v>T00393</x:v>
      </x:c>
      <x:c r="B397" s="189" t="str">
        <x:v>P024</x:v>
      </x:c>
      <x:c r="C397" s="189" t="str">
        <x:v>S07</x:v>
      </x:c>
      <x:c r="D397" s="189" t="str">
        <x:v>Ava Stone</x:v>
      </x:c>
      <x:c r="E397" s="189" t="str">
        <x:v>Content</x:v>
      </x:c>
      <x:c r="F397" s="190" t="n">
        <x:v>46267</x:v>
      </x:c>
      <x:c r="G397" s="189" t="n">
        <x:v>11</x:v>
      </x:c>
      <x:c r="H397" s="203" t="n">
        <x:v>638</x:v>
      </x:c>
      <x:c r="I397" s="193" t="n">
        <x:v>11</x:v>
      </x:c>
    </x:row>
    <x:row r="398">
      <x:c r="A398" s="188" t="str">
        <x:v>T00394</x:v>
      </x:c>
      <x:c r="B398" s="189" t="str">
        <x:v>P024</x:v>
      </x:c>
      <x:c r="C398" s="189" t="str">
        <x:v>S08</x:v>
      </x:c>
      <x:c r="D398" s="189" t="str">
        <x:v>Theo King</x:v>
      </x:c>
      <x:c r="E398" s="189" t="str">
        <x:v>Analytics</x:v>
      </x:c>
      <x:c r="F398" s="190" t="n">
        <x:v>46236</x:v>
      </x:c>
      <x:c r="G398" s="189" t="n">
        <x:v>9</x:v>
      </x:c>
      <x:c r="H398" s="203" t="n">
        <x:v>702</x:v>
      </x:c>
      <x:c r="I398" s="193" t="n">
        <x:v>9</x:v>
      </x:c>
    </x:row>
    <x:row r="399">
      <x:c r="A399" s="194" t="str">
        <x:v>T00395</x:v>
      </x:c>
      <x:c r="B399" s="195" t="str">
        <x:v>P024</x:v>
      </x:c>
      <x:c r="C399" s="195" t="str">
        <x:v>S09</x:v>
      </x:c>
      <x:c r="D399" s="195" t="str">
        <x:v>Emma Hayes</x:v>
      </x:c>
      <x:c r="E399" s="195" t="str">
        <x:v>Design</x:v>
      </x:c>
      <x:c r="F399" s="196" t="n">
        <x:v>46262</x:v>
      </x:c>
      <x:c r="G399" s="195" t="n">
        <x:v>11</x:v>
      </x:c>
      <x:c r="H399" s="204" t="n">
        <x:v>748</x:v>
      </x:c>
      <x:c r="I399" s="199" t="n">
        <x:v>11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1" hidden="0" customWidth="1"/>
    <x:col min="4" max="4" width="12" hidden="0" customWidth="1"/>
    <x:col min="5" max="5" width="14" hidden="0" customWidth="1"/>
  </x:cols>
  <x:sheetData>
    <x:row r="1" ht="34" customHeight="1">
      <x:c r="A1" s="137" t="str">
        <x:v>Vendor Costs</x:v>
      </x:c>
      <x:c r="B1" s="137"/>
      <x:c r="C1" s="137"/>
      <x:c r="D1" s="137"/>
      <x:c r="E1" s="137"/>
    </x:row>
    <x:row r="2" ht="24" customHeight="1">
      <x:c r="A2" s="138" t="str">
        <x:v>External delivery costs allocated to projects</x:v>
      </x:c>
      <x:c r="B2" s="138"/>
      <x:c r="C2" s="138"/>
      <x:c r="D2" s="138"/>
      <x:c r="E2" s="138"/>
    </x:row>
    <x:row r="3">
      <x:c r="A3" s="139"/>
      <x:c r="B3" s="139"/>
      <x:c r="C3" s="139"/>
      <x:c r="D3" s="139"/>
      <x:c r="E3" s="139"/>
    </x:row>
    <x:row r="4">
      <x:c r="A4" s="200" t="str">
        <x:v>Cost ID</x:v>
      </x:c>
      <x:c r="B4" s="201" t="str">
        <x:v>Project ID</x:v>
      </x:c>
      <x:c r="C4" s="201" t="str">
        <x:v>Cost Type</x:v>
      </x:c>
      <x:c r="D4" s="201" t="str">
        <x:v>Date</x:v>
      </x:c>
      <x:c r="E4" s="202" t="str">
        <x:v>Amount</x:v>
      </x:c>
    </x:row>
    <x:row r="5">
      <x:c r="A5" s="188" t="str">
        <x:v>V0001</x:v>
      </x:c>
      <x:c r="B5" s="189" t="str">
        <x:v>P001</x:v>
      </x:c>
      <x:c r="C5" s="189" t="str">
        <x:v>Production</x:v>
      </x:c>
      <x:c r="D5" s="190" t="n">
        <x:v>46043</x:v>
      </x:c>
      <x:c r="E5" s="205" t="n">
        <x:v>916.59</x:v>
      </x:c>
    </x:row>
    <x:row r="6">
      <x:c r="A6" s="188" t="str">
        <x:v>V0002</x:v>
      </x:c>
      <x:c r="B6" s="189" t="str">
        <x:v>P001</x:v>
      </x:c>
      <x:c r="C6" s="189" t="str">
        <x:v>Freelance design</x:v>
      </x:c>
      <x:c r="D6" s="190" t="n">
        <x:v>46043</x:v>
      </x:c>
      <x:c r="E6" s="205" t="n">
        <x:v>5921.63</x:v>
      </x:c>
    </x:row>
    <x:row r="7">
      <x:c r="A7" s="188" t="str">
        <x:v>V0003</x:v>
      </x:c>
      <x:c r="B7" s="189" t="str">
        <x:v>P002</x:v>
      </x:c>
      <x:c r="C7" s="189" t="str">
        <x:v>Freelance design</x:v>
      </x:c>
      <x:c r="D7" s="190" t="n">
        <x:v>46048</x:v>
      </x:c>
      <x:c r="E7" s="205" t="n">
        <x:v>2990.88</x:v>
      </x:c>
    </x:row>
    <x:row r="8">
      <x:c r="A8" s="188" t="str">
        <x:v>V0004</x:v>
      </x:c>
      <x:c r="B8" s="189" t="str">
        <x:v>P003</x:v>
      </x:c>
      <x:c r="C8" s="189" t="str">
        <x:v>Research</x:v>
      </x:c>
      <x:c r="D8" s="190" t="n">
        <x:v>46053</x:v>
      </x:c>
      <x:c r="E8" s="205" t="n">
        <x:v>1677.57</x:v>
      </x:c>
    </x:row>
    <x:row r="9">
      <x:c r="A9" s="188" t="str">
        <x:v>V0005</x:v>
      </x:c>
      <x:c r="B9" s="189" t="str">
        <x:v>P004</x:v>
      </x:c>
      <x:c r="C9" s="189" t="str">
        <x:v>Research</x:v>
      </x:c>
      <x:c r="D9" s="190" t="n">
        <x:v>46058</x:v>
      </x:c>
      <x:c r="E9" s="205" t="n">
        <x:v>5150.2</x:v>
      </x:c>
    </x:row>
    <x:row r="10">
      <x:c r="A10" s="188" t="str">
        <x:v>V0006</x:v>
      </x:c>
      <x:c r="B10" s="189" t="str">
        <x:v>P004</x:v>
      </x:c>
      <x:c r="C10" s="189" t="str">
        <x:v>Hosting</x:v>
      </x:c>
      <x:c r="D10" s="190" t="n">
        <x:v>46058</x:v>
      </x:c>
      <x:c r="E10" s="205" t="n">
        <x:v>2657.93</x:v>
      </x:c>
    </x:row>
    <x:row r="11">
      <x:c r="A11" s="188" t="str">
        <x:v>V0007</x:v>
      </x:c>
      <x:c r="B11" s="189" t="str">
        <x:v>P005</x:v>
      </x:c>
      <x:c r="C11" s="189" t="str">
        <x:v>Hosting</x:v>
      </x:c>
      <x:c r="D11" s="190" t="n">
        <x:v>46074</x:v>
      </x:c>
      <x:c r="E11" s="205" t="n">
        <x:v>3130.29</x:v>
      </x:c>
    </x:row>
    <x:row r="12">
      <x:c r="A12" s="188" t="str">
        <x:v>V0008</x:v>
      </x:c>
      <x:c r="B12" s="189" t="str">
        <x:v>P006</x:v>
      </x:c>
      <x:c r="C12" s="189" t="str">
        <x:v>Production</x:v>
      </x:c>
      <x:c r="D12" s="190" t="n">
        <x:v>46079</x:v>
      </x:c>
      <x:c r="E12" s="205" t="n">
        <x:v>1018.75</x:v>
      </x:c>
    </x:row>
    <x:row r="13">
      <x:c r="A13" s="188" t="str">
        <x:v>V0009</x:v>
      </x:c>
      <x:c r="B13" s="189" t="str">
        <x:v>P007</x:v>
      </x:c>
      <x:c r="C13" s="189" t="str">
        <x:v>Media spend</x:v>
      </x:c>
      <x:c r="D13" s="190" t="n">
        <x:v>46084</x:v>
      </x:c>
      <x:c r="E13" s="205" t="n">
        <x:v>1158.98</x:v>
      </x:c>
    </x:row>
    <x:row r="14">
      <x:c r="A14" s="188" t="str">
        <x:v>V0010</x:v>
      </x:c>
      <x:c r="B14" s="189" t="str">
        <x:v>P007</x:v>
      </x:c>
      <x:c r="C14" s="189" t="str">
        <x:v>Research</x:v>
      </x:c>
      <x:c r="D14" s="190" t="n">
        <x:v>46084</x:v>
      </x:c>
      <x:c r="E14" s="205" t="n">
        <x:v>2181.08</x:v>
      </x:c>
    </x:row>
    <x:row r="15">
      <x:c r="A15" s="188" t="str">
        <x:v>V0011</x:v>
      </x:c>
      <x:c r="B15" s="189" t="str">
        <x:v>P008</x:v>
      </x:c>
      <x:c r="C15" s="189" t="str">
        <x:v>Media spend</x:v>
      </x:c>
      <x:c r="D15" s="190" t="n">
        <x:v>46089</x:v>
      </x:c>
      <x:c r="E15" s="205" t="n">
        <x:v>947.09</x:v>
      </x:c>
    </x:row>
    <x:row r="16">
      <x:c r="A16" s="188" t="str">
        <x:v>V0012</x:v>
      </x:c>
      <x:c r="B16" s="189" t="str">
        <x:v>P009</x:v>
      </x:c>
      <x:c r="C16" s="189" t="str">
        <x:v>Freelance design</x:v>
      </x:c>
      <x:c r="D16" s="190" t="n">
        <x:v>46102</x:v>
      </x:c>
      <x:c r="E16" s="205" t="n">
        <x:v>2175.3</x:v>
      </x:c>
    </x:row>
    <x:row r="17">
      <x:c r="A17" s="188" t="str">
        <x:v>V0013</x:v>
      </x:c>
      <x:c r="B17" s="189" t="str">
        <x:v>P010</x:v>
      </x:c>
      <x:c r="C17" s="189" t="str">
        <x:v>Media spend</x:v>
      </x:c>
      <x:c r="D17" s="190" t="n">
        <x:v>46107</x:v>
      </x:c>
      <x:c r="E17" s="205" t="n">
        <x:v>4943.88</x:v>
      </x:c>
    </x:row>
    <x:row r="18">
      <x:c r="A18" s="188" t="str">
        <x:v>V0014</x:v>
      </x:c>
      <x:c r="B18" s="189" t="str">
        <x:v>P010</x:v>
      </x:c>
      <x:c r="C18" s="189" t="str">
        <x:v>Hosting</x:v>
      </x:c>
      <x:c r="D18" s="190" t="n">
        <x:v>46107</x:v>
      </x:c>
      <x:c r="E18" s="205" t="n">
        <x:v>4477.91</x:v>
      </x:c>
    </x:row>
    <x:row r="19">
      <x:c r="A19" s="188" t="str">
        <x:v>V0015</x:v>
      </x:c>
      <x:c r="B19" s="189" t="str">
        <x:v>P011</x:v>
      </x:c>
      <x:c r="C19" s="189" t="str">
        <x:v>Production</x:v>
      </x:c>
      <x:c r="D19" s="190" t="n">
        <x:v>46112</x:v>
      </x:c>
      <x:c r="E19" s="205" t="n">
        <x:v>1438.09</x:v>
      </x:c>
    </x:row>
    <x:row r="20">
      <x:c r="A20" s="188" t="str">
        <x:v>V0016</x:v>
      </x:c>
      <x:c r="B20" s="189" t="str">
        <x:v>P012</x:v>
      </x:c>
      <x:c r="C20" s="189" t="str">
        <x:v>Research</x:v>
      </x:c>
      <x:c r="D20" s="190" t="n">
        <x:v>46117</x:v>
      </x:c>
      <x:c r="E20" s="205" t="n">
        <x:v>5572.21</x:v>
      </x:c>
    </x:row>
    <x:row r="21">
      <x:c r="A21" s="188" t="str">
        <x:v>V0017</x:v>
      </x:c>
      <x:c r="B21" s="189" t="str">
        <x:v>P013</x:v>
      </x:c>
      <x:c r="C21" s="189" t="str">
        <x:v>Freelance design</x:v>
      </x:c>
      <x:c r="D21" s="190" t="n">
        <x:v>46133</x:v>
      </x:c>
      <x:c r="E21" s="205" t="n">
        <x:v>4386.04</x:v>
      </x:c>
    </x:row>
    <x:row r="22">
      <x:c r="A22" s="188" t="str">
        <x:v>V0018</x:v>
      </x:c>
      <x:c r="B22" s="189" t="str">
        <x:v>P013</x:v>
      </x:c>
      <x:c r="C22" s="189" t="str">
        <x:v>Hosting</x:v>
      </x:c>
      <x:c r="D22" s="190" t="n">
        <x:v>46133</x:v>
      </x:c>
      <x:c r="E22" s="205" t="n">
        <x:v>4564.09</x:v>
      </x:c>
    </x:row>
    <x:row r="23">
      <x:c r="A23" s="188" t="str">
        <x:v>V0019</x:v>
      </x:c>
      <x:c r="B23" s="189" t="str">
        <x:v>P014</x:v>
      </x:c>
      <x:c r="C23" s="189" t="str">
        <x:v>Hosting</x:v>
      </x:c>
      <x:c r="D23" s="190" t="n">
        <x:v>46138</x:v>
      </x:c>
      <x:c r="E23" s="205" t="n">
        <x:v>3747.86</x:v>
      </x:c>
    </x:row>
    <x:row r="24">
      <x:c r="A24" s="188" t="str">
        <x:v>V0020</x:v>
      </x:c>
      <x:c r="B24" s="189" t="str">
        <x:v>P015</x:v>
      </x:c>
      <x:c r="C24" s="189" t="str">
        <x:v>Freelance design</x:v>
      </x:c>
      <x:c r="D24" s="190" t="n">
        <x:v>46143</x:v>
      </x:c>
      <x:c r="E24" s="205" t="n">
        <x:v>5084.02</x:v>
      </x:c>
    </x:row>
    <x:row r="25">
      <x:c r="A25" s="188" t="str">
        <x:v>V0021</x:v>
      </x:c>
      <x:c r="B25" s="189" t="str">
        <x:v>P016</x:v>
      </x:c>
      <x:c r="C25" s="189" t="str">
        <x:v>Production</x:v>
      </x:c>
      <x:c r="D25" s="190" t="n">
        <x:v>46148</x:v>
      </x:c>
      <x:c r="E25" s="205" t="n">
        <x:v>5813.22</x:v>
      </x:c>
    </x:row>
    <x:row r="26">
      <x:c r="A26" s="188" t="str">
        <x:v>V0022</x:v>
      </x:c>
      <x:c r="B26" s="189" t="str">
        <x:v>P016</x:v>
      </x:c>
      <x:c r="C26" s="189" t="str">
        <x:v>Hosting</x:v>
      </x:c>
      <x:c r="D26" s="190" t="n">
        <x:v>46148</x:v>
      </x:c>
      <x:c r="E26" s="205" t="n">
        <x:v>5006.79</x:v>
      </x:c>
    </x:row>
    <x:row r="27">
      <x:c r="A27" s="188" t="str">
        <x:v>V0023</x:v>
      </x:c>
      <x:c r="B27" s="189" t="str">
        <x:v>P017</x:v>
      </x:c>
      <x:c r="C27" s="189" t="str">
        <x:v>Production</x:v>
      </x:c>
      <x:c r="D27" s="190" t="n">
        <x:v>46163</x:v>
      </x:c>
      <x:c r="E27" s="205" t="n">
        <x:v>1097.69</x:v>
      </x:c>
    </x:row>
    <x:row r="28">
      <x:c r="A28" s="188" t="str">
        <x:v>V0024</x:v>
      </x:c>
      <x:c r="B28" s="189" t="str">
        <x:v>P018</x:v>
      </x:c>
      <x:c r="C28" s="189" t="str">
        <x:v>Production</x:v>
      </x:c>
      <x:c r="D28" s="190" t="n">
        <x:v>46168</x:v>
      </x:c>
      <x:c r="E28" s="205" t="n">
        <x:v>2019.93</x:v>
      </x:c>
    </x:row>
    <x:row r="29">
      <x:c r="A29" s="188" t="str">
        <x:v>V0025</x:v>
      </x:c>
      <x:c r="B29" s="189" t="str">
        <x:v>P019</x:v>
      </x:c>
      <x:c r="C29" s="189" t="str">
        <x:v>Production</x:v>
      </x:c>
      <x:c r="D29" s="190" t="n">
        <x:v>46173</x:v>
      </x:c>
      <x:c r="E29" s="205" t="n">
        <x:v>5491.17</x:v>
      </x:c>
    </x:row>
    <x:row r="30">
      <x:c r="A30" s="188" t="str">
        <x:v>V0026</x:v>
      </x:c>
      <x:c r="B30" s="189" t="str">
        <x:v>P019</x:v>
      </x:c>
      <x:c r="C30" s="189" t="str">
        <x:v>Freelance design</x:v>
      </x:c>
      <x:c r="D30" s="190" t="n">
        <x:v>46173</x:v>
      </x:c>
      <x:c r="E30" s="205" t="n">
        <x:v>2772.31</x:v>
      </x:c>
    </x:row>
    <x:row r="31">
      <x:c r="A31" s="188" t="str">
        <x:v>V0027</x:v>
      </x:c>
      <x:c r="B31" s="189" t="str">
        <x:v>P020</x:v>
      </x:c>
      <x:c r="C31" s="189" t="str">
        <x:v>Research</x:v>
      </x:c>
      <x:c r="D31" s="190" t="n">
        <x:v>46178</x:v>
      </x:c>
      <x:c r="E31" s="205" t="n">
        <x:v>4439.42</x:v>
      </x:c>
    </x:row>
    <x:row r="32">
      <x:c r="A32" s="188" t="str">
        <x:v>V0028</x:v>
      </x:c>
      <x:c r="B32" s="189" t="str">
        <x:v>P021</x:v>
      </x:c>
      <x:c r="C32" s="189" t="str">
        <x:v>Research</x:v>
      </x:c>
      <x:c r="D32" s="190" t="n">
        <x:v>46194</x:v>
      </x:c>
      <x:c r="E32" s="205" t="n">
        <x:v>3834</x:v>
      </x:c>
    </x:row>
    <x:row r="33">
      <x:c r="A33" s="188" t="str">
        <x:v>V0029</x:v>
      </x:c>
      <x:c r="B33" s="189" t="str">
        <x:v>P022</x:v>
      </x:c>
      <x:c r="C33" s="189" t="str">
        <x:v>Media spend</x:v>
      </x:c>
      <x:c r="D33" s="190" t="n">
        <x:v>46199</x:v>
      </x:c>
      <x:c r="E33" s="205" t="n">
        <x:v>5640.09</x:v>
      </x:c>
    </x:row>
    <x:row r="34">
      <x:c r="A34" s="188" t="str">
        <x:v>V0030</x:v>
      </x:c>
      <x:c r="B34" s="189" t="str">
        <x:v>P022</x:v>
      </x:c>
      <x:c r="C34" s="189" t="str">
        <x:v>Freelance design</x:v>
      </x:c>
      <x:c r="D34" s="190" t="n">
        <x:v>46199</x:v>
      </x:c>
      <x:c r="E34" s="205" t="n">
        <x:v>2398.75</x:v>
      </x:c>
    </x:row>
    <x:row r="35">
      <x:c r="A35" s="188" t="str">
        <x:v>V0031</x:v>
      </x:c>
      <x:c r="B35" s="189" t="str">
        <x:v>P023</x:v>
      </x:c>
      <x:c r="C35" s="189" t="str">
        <x:v>Media spend</x:v>
      </x:c>
      <x:c r="D35" s="190" t="n">
        <x:v>46204</x:v>
      </x:c>
      <x:c r="E35" s="205" t="n">
        <x:v>1434.42</x:v>
      </x:c>
    </x:row>
    <x:row r="36">
      <x:c r="A36" s="194" t="str">
        <x:v>V0032</x:v>
      </x:c>
      <x:c r="B36" s="195" t="str">
        <x:v>P024</x:v>
      </x:c>
      <x:c r="C36" s="195" t="str">
        <x:v>Production</x:v>
      </x:c>
      <x:c r="D36" s="196" t="n">
        <x:v>46209</x:v>
      </x:c>
      <x:c r="E36" s="206" t="n">
        <x:v>2360.3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</x:cols>
  <x:sheetData>
    <x:row r="1" ht="34" customHeight="1">
      <x:c r="A1" s="137" t="str">
        <x:v>Client Summary</x:v>
      </x:c>
      <x:c r="B1" s="137"/>
      <x:c r="C1" s="137"/>
      <x:c r="D1" s="137"/>
      <x:c r="E1" s="137"/>
      <x:c r="F1" s="137"/>
      <x:c r="G1" s="137"/>
    </x:row>
    <x:row r="2" ht="24" customHeight="1">
      <x:c r="A2" s="138" t="str">
        <x:v>Revenue, cost, profit and margin by account</x:v>
      </x:c>
      <x:c r="B2" s="138"/>
      <x:c r="C2" s="138"/>
      <x:c r="D2" s="138"/>
      <x:c r="E2" s="138"/>
      <x:c r="F2" s="138"/>
      <x:c r="G2" s="138"/>
    </x:row>
    <x:row r="3">
      <x:c r="A3" s="139"/>
      <x:c r="B3" s="139"/>
      <x:c r="C3" s="139"/>
      <x:c r="D3" s="139"/>
      <x:c r="E3" s="139"/>
      <x:c r="F3" s="139"/>
      <x:c r="G3" s="139"/>
    </x:row>
    <x:row r="4">
      <x:c r="A4" s="200" t="str">
        <x:v>Client</x:v>
      </x:c>
      <x:c r="B4" s="201" t="str">
        <x:v>Industry</x:v>
      </x:c>
      <x:c r="C4" s="201" t="str">
        <x:v>Projects</x:v>
      </x:c>
      <x:c r="D4" s="201" t="str">
        <x:v>Revenue</x:v>
      </x:c>
      <x:c r="E4" s="201" t="str">
        <x:v>Actual Cost</x:v>
      </x:c>
      <x:c r="F4" s="201" t="str">
        <x:v>Gross Profit</x:v>
      </x:c>
      <x:c r="G4" s="202" t="str">
        <x:v>Margin</x:v>
      </x:c>
    </x:row>
    <x:row r="5">
      <x:c r="A5" s="188" t="str">
        <x:v>Northstar Retail</x:v>
      </x:c>
      <x:c r="B5" s="189" t="str">
        <x:v>Retail</x:v>
      </x:c>
      <x:c r="C5" s="189" t="n">
        <x:f>COUNTIF('Project Profitability'!$C$5:$C$28,A5)</x:f>
        <x:v>3</x:v>
      </x:c>
      <x:c r="D5" s="191" t="n">
        <x:f>SUMIF('Project Profitability'!$C$5:$C$28,A5,'Project Profitability'!$I$5:$I$28)</x:f>
        <x:v>249800</x:v>
      </x:c>
      <x:c r="E5" s="191" t="n">
        <x:f>SUMIF('Project Profitability'!$C$5:$C$28,A5,'Project Profitability'!$O$5:$O$28)</x:f>
        <x:v>123978.21</x:v>
      </x:c>
      <x:c r="F5" s="191" t="n">
        <x:f>D5-E5</x:f>
        <x:v>125821.79</x:v>
      </x:c>
      <x:c r="G5" s="207" t="n">
        <x:f>F5/D5</x:f>
        <x:v>0.5036901120896717</x:v>
      </x:c>
    </x:row>
    <x:row r="6">
      <x:c r="A6" s="188" t="str">
        <x:v>Lumen Health</x:v>
      </x:c>
      <x:c r="B6" s="189" t="str">
        <x:v>Healthcare</x:v>
      </x:c>
      <x:c r="C6" s="189" t="n">
        <x:f>COUNTIF('Project Profitability'!$C$5:$C$28,A6)</x:f>
        <x:v>3</x:v>
      </x:c>
      <x:c r="D6" s="191" t="n">
        <x:f>SUMIF('Project Profitability'!$C$5:$C$28,A6,'Project Profitability'!$I$5:$I$28)</x:f>
        <x:v>142100</x:v>
      </x:c>
      <x:c r="E6" s="191" t="n">
        <x:f>SUMIF('Project Profitability'!$C$5:$C$28,A6,'Project Profitability'!$O$5:$O$28)</x:f>
        <x:v>73110.6</x:v>
      </x:c>
      <x:c r="F6" s="191" t="n">
        <x:f>D6-E6</x:f>
        <x:v>68989.4</x:v>
      </x:c>
      <x:c r="G6" s="207" t="n">
        <x:f>F6/D6</x:f>
        <x:v>0.4854989444053483</x:v>
      </x:c>
    </x:row>
    <x:row r="7">
      <x:c r="A7" s="188" t="str">
        <x:v>Atlas Property</x:v>
      </x:c>
      <x:c r="B7" s="189" t="str">
        <x:v>Real Estate</x:v>
      </x:c>
      <x:c r="C7" s="189" t="n">
        <x:f>COUNTIF('Project Profitability'!$C$5:$C$28,A7)</x:f>
        <x:v>3</x:v>
      </x:c>
      <x:c r="D7" s="191" t="n">
        <x:f>SUMIF('Project Profitability'!$C$5:$C$28,A7,'Project Profitability'!$I$5:$I$28)</x:f>
        <x:v>151100</x:v>
      </x:c>
      <x:c r="E7" s="191" t="n">
        <x:f>SUMIF('Project Profitability'!$C$5:$C$28,A7,'Project Profitability'!$O$5:$O$28)</x:f>
        <x:v>86901.14</x:v>
      </x:c>
      <x:c r="F7" s="191" t="n">
        <x:f>D7-E7</x:f>
        <x:v>64198.86</x:v>
      </x:c>
      <x:c r="G7" s="207" t="n">
        <x:f>F7/D7</x:f>
        <x:v>0.42487663798808734</x:v>
      </x:c>
    </x:row>
    <x:row r="8">
      <x:c r="A8" s="188" t="str">
        <x:v>Orbit SaaS</x:v>
      </x:c>
      <x:c r="B8" s="189" t="str">
        <x:v>Technology</x:v>
      </x:c>
      <x:c r="C8" s="189" t="n">
        <x:f>COUNTIF('Project Profitability'!$C$5:$C$28,A8)</x:f>
        <x:v>3</x:v>
      </x:c>
      <x:c r="D8" s="191" t="n">
        <x:f>SUMIF('Project Profitability'!$C$5:$C$28,A8,'Project Profitability'!$I$5:$I$28)</x:f>
        <x:v>180600</x:v>
      </x:c>
      <x:c r="E8" s="191" t="n">
        <x:f>SUMIF('Project Profitability'!$C$5:$C$28,A8,'Project Profitability'!$O$5:$O$28)</x:f>
        <x:v>98595.76</x:v>
      </x:c>
      <x:c r="F8" s="191" t="n">
        <x:f>D8-E8</x:f>
        <x:v>82004.24</x:v>
      </x:c>
      <x:c r="G8" s="207" t="n">
        <x:f>F8/D8</x:f>
        <x:v>0.45406555924695463</x:v>
      </x:c>
    </x:row>
    <x:row r="9">
      <x:c r="A9" s="188" t="str">
        <x:v>Cedar Finance</x:v>
      </x:c>
      <x:c r="B9" s="189" t="str">
        <x:v>Financial Services</x:v>
      </x:c>
      <x:c r="C9" s="189" t="n">
        <x:f>COUNTIF('Project Profitability'!$C$5:$C$28,A9)</x:f>
        <x:v>3</x:v>
      </x:c>
      <x:c r="D9" s="191" t="n">
        <x:f>SUMIF('Project Profitability'!$C$5:$C$28,A9,'Project Profitability'!$I$5:$I$28)</x:f>
        <x:v>166600</x:v>
      </x:c>
      <x:c r="E9" s="191" t="n">
        <x:f>SUMIF('Project Profitability'!$C$5:$C$28,A9,'Project Profitability'!$O$5:$O$28)</x:f>
        <x:v>97755.42</x:v>
      </x:c>
      <x:c r="F9" s="191" t="n">
        <x:f>D9-E9</x:f>
        <x:v>68844.58</x:v>
      </x:c>
      <x:c r="G9" s="207" t="n">
        <x:f>F9/D9</x:f>
        <x:v>0.4132327731092437</x:v>
      </x:c>
    </x:row>
    <x:row r="10">
      <x:c r="A10" s="188" t="str">
        <x:v>BrightPath Learning</x:v>
      </x:c>
      <x:c r="B10" s="189" t="str">
        <x:v>Education</x:v>
      </x:c>
      <x:c r="C10" s="189" t="n">
        <x:f>COUNTIF('Project Profitability'!$C$5:$C$28,A10)</x:f>
        <x:v>3</x:v>
      </x:c>
      <x:c r="D10" s="191" t="n">
        <x:f>SUMIF('Project Profitability'!$C$5:$C$28,A10,'Project Profitability'!$I$5:$I$28)</x:f>
        <x:v>163500</x:v>
      </x:c>
      <x:c r="E10" s="191" t="n">
        <x:f>SUMIF('Project Profitability'!$C$5:$C$28,A10,'Project Profitability'!$O$5:$O$28)</x:f>
        <x:v>93207.45</x:v>
      </x:c>
      <x:c r="F10" s="191" t="n">
        <x:f>D10-E10</x:f>
        <x:v>70292.55</x:v>
      </x:c>
      <x:c r="G10" s="207" t="n">
        <x:f>F10/D10</x:f>
        <x:v>0.4299238532110092</x:v>
      </x:c>
    </x:row>
    <x:row r="11">
      <x:c r="A11" s="188" t="str">
        <x:v>Harbor Legal</x:v>
      </x:c>
      <x:c r="B11" s="189" t="str">
        <x:v>Legal</x:v>
      </x:c>
      <x:c r="C11" s="189" t="n">
        <x:f>COUNTIF('Project Profitability'!$C$5:$C$28,A11)</x:f>
        <x:v>3</x:v>
      </x:c>
      <x:c r="D11" s="191" t="n">
        <x:f>SUMIF('Project Profitability'!$C$5:$C$28,A11,'Project Profitability'!$I$5:$I$28)</x:f>
        <x:v>201200</x:v>
      </x:c>
      <x:c r="E11" s="191" t="n">
        <x:f>SUMIF('Project Profitability'!$C$5:$C$28,A11,'Project Profitability'!$O$5:$O$28)</x:f>
        <x:v>110949.5</x:v>
      </x:c>
      <x:c r="F11" s="191" t="n">
        <x:f>D11-E11</x:f>
        <x:v>90250.5</x:v>
      </x:c>
      <x:c r="G11" s="207" t="n">
        <x:f>F11/D11</x:f>
        <x:v>0.4485611332007952</x:v>
      </x:c>
    </x:row>
    <x:row r="12">
      <x:c r="A12" s="194" t="str">
        <x:v>PeakFit Clubs</x:v>
      </x:c>
      <x:c r="B12" s="195" t="str">
        <x:v>Fitness</x:v>
      </x:c>
      <x:c r="C12" s="195" t="n">
        <x:f>COUNTIF('Project Profitability'!$C$5:$C$28,A12)</x:f>
        <x:v>3</x:v>
      </x:c>
      <x:c r="D12" s="197" t="n">
        <x:f>SUMIF('Project Profitability'!$C$5:$C$28,A12,'Project Profitability'!$I$5:$I$28)</x:f>
        <x:v>176900</x:v>
      </x:c>
      <x:c r="E12" s="197" t="n">
        <x:f>SUMIF('Project Profitability'!$C$5:$C$28,A12,'Project Profitability'!$O$5:$O$28)</x:f>
        <x:v>109230.40000000001</x:v>
      </x:c>
      <x:c r="F12" s="197" t="n">
        <x:f>D12-E12</x:f>
        <x:v>67669.59999999999</x:v>
      </x:c>
      <x:c r="G12" s="208" t="n">
        <x:f>F12/D12</x:f>
        <x:v>0.3825302430751837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22" hidden="0" customWidth="1"/>
  </x:cols>
  <x:sheetData>
    <x:row r="1" ht="34" customHeight="1">
      <x:c r="A1" s="137" t="str">
        <x:v>Checks &amp; Controls</x:v>
      </x:c>
      <x:c r="B1" s="137"/>
      <x:c r="C1" s="137"/>
      <x:c r="D1" s="137"/>
      <x:c r="E1" s="137"/>
      <x:c r="F1" s="137"/>
    </x:row>
    <x:row r="2" ht="24" customHeight="1">
      <x:c r="A2" s="138" t="str">
        <x:v>MODEL STATUS passes only when every reconciliation is within tolerance</x:v>
      </x:c>
      <x:c r="B2" s="138"/>
      <x:c r="C2" s="138"/>
      <x:c r="D2" s="138"/>
      <x:c r="E2" s="138"/>
      <x:c r="F2" s="138"/>
    </x:row>
    <x:row r="3">
      <x:c r="A3" s="139"/>
      <x:c r="B3" s="139"/>
      <x:c r="C3" s="139"/>
      <x:c r="D3" s="139"/>
      <x:c r="E3" s="139"/>
      <x:c r="F3" s="139"/>
    </x:row>
    <x:row r="4">
      <x:c r="A4" s="200" t="str">
        <x:v>Check</x:v>
      </x:c>
      <x:c r="B4" s="201" t="str">
        <x:v>Expected</x:v>
      </x:c>
      <x:c r="C4" s="201" t="str">
        <x:v>Actual</x:v>
      </x:c>
      <x:c r="D4" s="201" t="str">
        <x:v>Delta</x:v>
      </x:c>
      <x:c r="E4" s="201" t="str">
        <x:v>Status</x:v>
      </x:c>
      <x:c r="F4" s="202" t="str">
        <x:v>Where to fix</x:v>
      </x:c>
    </x:row>
    <x:row r="5">
      <x:c r="A5" s="188" t="str">
        <x:v>Project count</x:v>
      </x:c>
      <x:c r="B5" s="189" t="n">
        <x:v>24</x:v>
      </x:c>
      <x:c r="C5" s="189" t="n">
        <x:f>COUNTA('Project Profitability'!$A$5:$A$28)</x:f>
        <x:v>24</x:v>
      </x:c>
      <x:c r="D5" s="189" t="n">
        <x:f>C5-B5</x:f>
        <x:v>0</x:v>
      </x:c>
      <x:c r="E5" s="189" t="str">
        <x:f>IF(ABS(D5)&lt;0.01,"PASS","FAIL")</x:f>
        <x:v>PASS</x:v>
      </x:c>
      <x:c r="F5" s="193" t="str">
        <x:v>Project Profitability</x:v>
      </x:c>
    </x:row>
    <x:row r="6">
      <x:c r="A6" s="188" t="str">
        <x:v>Revenue ties</x:v>
      </x:c>
      <x:c r="B6" s="189" t="n">
        <x:v>1431800</x:v>
      </x:c>
      <x:c r="C6" s="189" t="n">
        <x:f>SUM('Project Profitability'!$I$5:$I$28)</x:f>
        <x:v>1431800</x:v>
      </x:c>
      <x:c r="D6" s="189" t="n">
        <x:f>C6-B6</x:f>
        <x:v>0</x:v>
      </x:c>
      <x:c r="E6" s="189" t="str">
        <x:f>IF(ABS(D6)&lt;0.01,"PASS","FAIL")</x:f>
        <x:v>PASS</x:v>
      </x:c>
      <x:c r="F6" s="193" t="str">
        <x:v>Project Profitability</x:v>
      </x:c>
    </x:row>
    <x:row r="7">
      <x:c r="A7" s="188" t="str">
        <x:v>Labor cost ties</x:v>
      </x:c>
      <x:c r="B7" s="189" t="n">
        <x:v>687280</x:v>
      </x:c>
      <x:c r="C7" s="189" t="n">
        <x:f>SUM('Time Entries'!$H$5:$H$400)</x:f>
        <x:v>687280</x:v>
      </x:c>
      <x:c r="D7" s="189" t="n">
        <x:f>C7-B7</x:f>
        <x:v>0</x:v>
      </x:c>
      <x:c r="E7" s="189" t="str">
        <x:f>IF(ABS(D7)&lt;0.01,"PASS","FAIL")</x:f>
        <x:v>PASS</x:v>
      </x:c>
      <x:c r="F7" s="193" t="str">
        <x:v>Time Entries</x:v>
      </x:c>
    </x:row>
    <x:row r="8">
      <x:c r="A8" s="188" t="str">
        <x:v>Vendor cost ties</x:v>
      </x:c>
      <x:c r="B8" s="189" t="n">
        <x:v>106448.48</x:v>
      </x:c>
      <x:c r="C8" s="189" t="n">
        <x:f>SUM('Vendor Costs'!$E$5:$E$40)</x:f>
        <x:v>106448.47999999998</x:v>
      </x:c>
      <x:c r="D8" s="189" t="n">
        <x:f>C8-B8</x:f>
        <x:v>-1.4551915228366852e-11</x:v>
      </x:c>
      <x:c r="E8" s="189" t="str">
        <x:f>IF(ABS(D8)&lt;0.01,"PASS","FAIL")</x:f>
        <x:v>PASS</x:v>
      </x:c>
      <x:c r="F8" s="193" t="str">
        <x:v>Vendor Costs</x:v>
      </x:c>
    </x:row>
    <x:row r="9">
      <x:c r="A9" s="188" t="str">
        <x:v>Actual cost roll-up</x:v>
      </x:c>
      <x:c r="B9" s="189" t="n">
        <x:v>0</x:v>
      </x:c>
      <x:c r="C9" s="189" t="n">
        <x:f>SUM('Project Profitability'!$M$5:$M$28)+SUM('Project Profitability'!$N$5:$N$28)-SUM('Project Profitability'!$O$5:$O$28)</x:f>
        <x:v>0</x:v>
      </x:c>
      <x:c r="D9" s="189" t="n">
        <x:f>C9-B9</x:f>
        <x:v>0</x:v>
      </x:c>
      <x:c r="E9" s="189" t="str">
        <x:f>IF(ABS(D9)&lt;0.01,"PASS","FAIL")</x:f>
        <x:v>PASS</x:v>
      </x:c>
      <x:c r="F9" s="193" t="str">
        <x:v>Project Profitability</x:v>
      </x:c>
    </x:row>
    <x:row r="10">
      <x:c r="A10" s="188" t="str">
        <x:v>Profit equation</x:v>
      </x:c>
      <x:c r="B10" s="189" t="n">
        <x:v>0</x:v>
      </x:c>
      <x:c r="C10" s="189" t="n">
        <x:f>SUM('Project Profitability'!$I$5:$I$28)-SUM('Project Profitability'!$O$5:$O$28)-SUM('Project Profitability'!$P$5:$P$28)</x:f>
        <x:v>1.1641532182693481e-10</x:v>
      </x:c>
      <x:c r="D10" s="189" t="n">
        <x:f>C10-B10</x:f>
        <x:v>1.1641532182693481e-10</x:v>
      </x:c>
      <x:c r="E10" s="189" t="str">
        <x:f>IF(ABS(D10)&lt;0.01,"PASS","FAIL")</x:f>
        <x:v>PASS</x:v>
      </x:c>
      <x:c r="F10" s="193" t="str">
        <x:v>Project Profitability</x:v>
      </x:c>
    </x:row>
    <x:row r="11">
      <x:c r="A11" s="188" t="str">
        <x:v>Hours roll-up</x:v>
      </x:c>
      <x:c r="B11" s="189" t="n">
        <x:v>8738</x:v>
      </x:c>
      <x:c r="C11" s="189" t="n">
        <x:f>SUM('Project Profitability'!$L$5:$L$28)</x:f>
        <x:v>8738</x:v>
      </x:c>
      <x:c r="D11" s="189" t="n">
        <x:f>C11-B11</x:f>
        <x:v>0</x:v>
      </x:c>
      <x:c r="E11" s="189" t="str">
        <x:f>IF(ABS(D11)&lt;0.01,"PASS","FAIL")</x:f>
        <x:v>PASS</x:v>
      </x:c>
      <x:c r="F11" s="193" t="str">
        <x:v>Time Entries</x:v>
      </x:c>
    </x:row>
    <x:row r="12">
      <x:c r="A12" s="188" t="str">
        <x:v>Client revenue ties</x:v>
      </x:c>
      <x:c r="B12" s="189" t="n">
        <x:v>0</x:v>
      </x:c>
      <x:c r="C12" s="189" t="n">
        <x:f>SUM('Client Summary'!$D$5:$D$12)-SUM('Project Profitability'!$I$5:$I$28)</x:f>
        <x:v>0</x:v>
      </x:c>
      <x:c r="D12" s="189" t="n">
        <x:f>C12-B12</x:f>
        <x:v>0</x:v>
      </x:c>
      <x:c r="E12" s="189" t="str">
        <x:f>IF(ABS(D12)&lt;0.01,"PASS","FAIL")</x:f>
        <x:v>PASS</x:v>
      </x:c>
      <x:c r="F12" s="193" t="str">
        <x:v>Client Summary</x:v>
      </x:c>
    </x:row>
    <x:row r="13">
      <x:c r="A13" s="188" t="str">
        <x:v>Risk count ties</x:v>
      </x:c>
      <x:c r="B13" s="189" t="n">
        <x:v>5</x:v>
      </x:c>
      <x:c r="C13" s="189" t="n">
        <x:f>COUNTIF('Project Profitability'!$V$5:$V$28,"Critical")</x:f>
        <x:v>5</x:v>
      </x:c>
      <x:c r="D13" s="189" t="n">
        <x:f>C13-B13</x:f>
        <x:v>0</x:v>
      </x:c>
      <x:c r="E13" s="189" t="str">
        <x:f>IF(ABS(D13)&lt;0.01,"PASS","FAIL")</x:f>
        <x:v>PASS</x:v>
      </x:c>
      <x:c r="F13" s="193" t="str">
        <x:v>Dashboard</x:v>
      </x:c>
    </x:row>
    <x:row r="14">
      <x:c r="A14" s="194" t="str">
        <x:v>Missing project IDs</x:v>
      </x:c>
      <x:c r="B14" s="195" t="n">
        <x:v>0</x:v>
      </x:c>
      <x:c r="C14" s="195" t="n">
        <x:f>COUNTIF('Project Profitability'!$A$5:$A$28,"")</x:f>
        <x:v>0</x:v>
      </x:c>
      <x:c r="D14" s="195" t="n">
        <x:f>C14-B14</x:f>
        <x:v>0</x:v>
      </x:c>
      <x:c r="E14" s="195" t="str">
        <x:f>IF(ABS(D14)&lt;0.01,"PASS","FAIL")</x:f>
        <x:v>PASS</x:v>
      </x:c>
      <x:c r="F14" s="199" t="str">
        <x:v>Project Profitability</x:v>
      </x:c>
    </x:row>
    <x:row r="15">
      <x:c r="A15" s="139"/>
      <x:c r="B15" s="139"/>
      <x:c r="C15" s="139"/>
      <x:c r="D15" s="139"/>
      <x:c r="E15" s="139"/>
      <x:c r="F15" s="139"/>
    </x:row>
    <x:row r="16">
      <x:c r="A16" s="209" t="str">
        <x:v>MODEL STATUS</x:v>
      </x:c>
      <x:c r="B16" s="210" t="str">
        <x:f>IF(COUNTIF(E5:E14,"FAIL")=0,"PASS","FAIL")</x:f>
        <x:v>PASS</x:v>
      </x:c>
      <x:c r="C16" s="139"/>
      <x:c r="D16" s="139"/>
      <x:c r="E16" s="139"/>
      <x:c r="F16" s="139"/>
    </x:row>
    <x:row r="17">
      <x:c r="A17" s="211" t="str">
        <x:v>Passed Controls</x:v>
      </x:c>
      <x:c r="B17" s="212" t="str">
        <x:f>COUNTIF(E5:E14,"PASS")&amp;" / 10"</x:f>
        <x:v>10 / 10</x:v>
      </x:c>
      <x:c r="C17" s="139"/>
      <x:c r="D17" s="139"/>
      <x:c r="E17" s="139"/>
      <x:c r="F17" s="139"/>
    </x:row>
  </x:sheetData>
  <x:mergeCells>
    <x:mergeCell ref="A1:F1"/>
    <x:mergeCell ref="A2:F2"/>
  </x:mergeCells>
  <x:conditionalFormatting sqref="E5:E14">
    <x:cfRule type="containsText" dxfId="1" priority="1" operator="containsText" text="PASS"/>
  </x:conditionalFormatting>
  <x:pageMargins left="0.7" right="0.7" top="0.75" bottom="0.75" header="0.3" footer="0.3"/>
</x:worksheet>
</file>