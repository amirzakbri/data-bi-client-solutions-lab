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488f8d24a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Summary" sheetId="1" r:id="Rda6d9b3737ba4d80"/>
    <x:sheet xmlns:r="http://schemas.openxmlformats.org/officeDocument/2006/relationships" name="Daily Data" sheetId="2" r:id="Rc75b07a54b0a4761"/>
    <x:sheet xmlns:r="http://schemas.openxmlformats.org/officeDocument/2006/relationships" name="KPI Definitions" sheetId="3" r:id="Rab21e4c3f78441df"/>
    <x:sheet xmlns:r="http://schemas.openxmlformats.org/officeDocument/2006/relationships" name="QA Controls" sheetId="4" r:id="Rf064769b5f07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#,##0"/>
    <x:numFmt numFmtId="202" formatCode="0.0%"/>
    <x:numFmt numFmtId="203" formatCode="0.0"/>
    <x:numFmt numFmtId="204" formatCode="yyyy-mm-dd"/>
    <x:numFmt numFmtId="205" formatCode="$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53F"/>
      <x:name val="Carlito"/>
    </x:font>
    <x:font>
      <x:b/>
      <x:sz val="11"/>
      <x:color rgb="FFFFFFFF"/>
      <x:name val="Carlito"/>
    </x:font>
    <x:font>
      <x:b/>
      <x:sz val="20"/>
      <x:color rgb="FF15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447"/>
      </x:patternFill>
    </x:fill>
    <x:fill>
      <x:patternFill patternType="solid">
        <x:fgColor rgb="FFD6E7EB"/>
      </x:patternFill>
    </x:fill>
    <x:fill>
      <x:patternFill patternType="solid">
        <x:fgColor rgb="FF16877A"/>
      </x:patternFill>
    </x:fill>
    <x:fill>
      <x:patternFill patternType="solid">
        <x:fgColor rgb="FFE8F2F2"/>
      </x:patternFill>
    </x:fill>
  </x:fills>
  <x:borders count="8">
    <x:border/>
    <x:border>
      <x:left style="thin">
        <x:color rgb="FFA9C4C8"/>
      </x:left>
      <x:top style="thin">
        <x:color rgb="FFA9C4C8"/>
      </x:top>
    </x:border>
    <x:border>
      <x:top style="thin">
        <x:color rgb="FFA9C4C8"/>
      </x:top>
    </x:border>
    <x:border>
      <x:right style="thin">
        <x:color rgb="FFA9C4C8"/>
      </x:right>
      <x:top style="thin">
        <x:color rgb="FFA9C4C8"/>
      </x:top>
    </x:border>
    <x:border>
      <x:left style="thin">
        <x:color rgb="FFA9C4C8"/>
      </x:left>
      <x:bottom style="thin">
        <x:color rgb="FFA9C4C8"/>
      </x:bottom>
    </x:border>
    <x:border>
      <x:bottom style="thin">
        <x:color rgb="FFA9C4C8"/>
      </x:bottom>
    </x:border>
    <x:border>
      <x:right style="thin">
        <x:color rgb="FFA9C4C8"/>
      </x:right>
      <x:bottom style="thin">
        <x:color rgb="FFA9C4C8"/>
      </x:bottom>
    </x:border>
    <x:border>
      <x:left style="thin">
        <x:color rgb="FFCBD8DC"/>
      </x:left>
      <x:right style="thin">
        <x:color rgb="FFCBD8DC"/>
      </x:right>
      <x:top style="thin">
        <x:color rgb="FFCBD8DC"/>
      </x:top>
      <x:bottom style="thin">
        <x:color rgb="FFCBD8DC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2" borderId="7" xfId="0" applyNumberFormat="1" applyFont="1" applyFill="1" applyBorder="1"/>
    <x:xf numFmtId="0" fontId="3" fillId="2" borderId="7" xfId="0" applyNumberFormat="1" applyFont="1" applyFill="1" applyBorder="1"/>
    <x:xf numFmtId="203" fontId="0" fillId="0" borderId="7" xfId="0" applyNumberFormat="1" applyFont="1" applyFill="1" applyBorder="1"/>
    <x:xf numFmtId="200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4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4" borderId="7" xfId="0" applyNumberFormat="1" applyFont="1" applyFill="1" applyBorder="1"/>
    <x:xf numFmtId="205" fontId="0" fillId="0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C64B49"/>
      </x:font>
      <x:fill>
        <x:patternFill patternType="solid">
          <x:bgColor rgb="FFF8DFDD"/>
        </x:patternFill>
      </x:fill>
    </x:dxf>
    <x:dxf>
      <x:font>
        <x:b/>
        <x:color rgb="FFD48A20"/>
      </x:font>
      <x:fill>
        <x:patternFill patternType="solid">
          <x:bgColor rgb="FFFAEDCF"/>
        </x:patternFill>
      </x:fill>
    </x:dxf>
    <x:dxf>
      <x:font>
        <x:b/>
        <x:color rgb="FF2D8A5B"/>
      </x:font>
      <x:fill>
        <x:patternFill patternType="solid">
          <x:bgColor rgb="FFDF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865cea0ee4557" /><Relationship Type="http://schemas.openxmlformats.org/officeDocument/2006/relationships/theme" Target="/xl/theme/theme1.xml" Id="R4128bc9c16114d68" /><Relationship Type="http://schemas.openxmlformats.org/officeDocument/2006/relationships/sharedStrings" Target="/xl/sharedStrings.xml" Id="R684ed954dd0440da" /><Relationship Type="http://schemas.openxmlformats.org/officeDocument/2006/relationships/worksheet" Target="/xl/worksheets/sheet1.xml" Id="Rda6d9b3737ba4d80" /><Relationship Type="http://schemas.openxmlformats.org/officeDocument/2006/relationships/worksheet" Target="/xl/worksheets/sheet2.xml" Id="Rc75b07a54b0a4761" /><Relationship Type="http://schemas.openxmlformats.org/officeDocument/2006/relationships/worksheet" Target="/xl/worksheets/sheet3.xml" Id="Rab21e4c3f78441df" /><Relationship Type="http://schemas.openxmlformats.org/officeDocument/2006/relationships/worksheet" Target="/xl/worksheets/sheet4.xml" Id="Rf064769b5f074b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7039324df048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revenue versus target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'Weekly Summary'!$A$20:$A$24</c:f>
              <c:strCache>
                <c:ptCount val="0"/>
              </c:strCache>
            </c:strRef>
          </c:cat>
          <c:val>
            <c:numRef>
              <c:f>'Weekly Summary'!$B$20:$B$24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'Weekly Summary'!$A$20:$A$24</c:f>
              <c:strCache>
                <c:ptCount val="0"/>
              </c:strCache>
            </c:strRef>
          </c:cat>
          <c:val>
            <c:numRef>
              <c:f>'Weekly Summary'!$C$20:$C$24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039324df048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PerformanceTable" displayName="DailyPerformanceTable" ref="A1:H281" headerRowCount="1" totalsRowCount="0" totalsRowShown="0">
  <x:tableColumns count="8">
    <x:tableColumn id="1" name="Date"/>
    <x:tableColumn id="2" name="Channel"/>
    <x:tableColumn id="3" name="Sessions"/>
    <x:tableColumn id="4" name="Orders"/>
    <x:tableColumn id="5" name="Revenue"/>
    <x:tableColumn id="6" name="Cogs"/>
    <x:tableColumn id="7" name="Refund Orders"/>
    <x:tableColumn id="8" name="On Time Or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600431c6294b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29c82dab14b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6" hidden="0" customWidth="1"/>
    <x:col min="7" max="7" width="14" hidden="0" customWidth="1"/>
    <x:col min="8" max="8" width="38" hidden="0" customWidth="1"/>
    <x:col min="9" max="9" width="3" hidden="0" customWidth="1"/>
    <x:col min="10" max="10" width="20" hidden="0" customWidth="1"/>
    <x:col min="11" max="11" width="14" hidden="0" customWidth="1"/>
    <x:col min="12" max="12" width="18" hidden="0" customWidth="1"/>
  </x:cols>
  <x:sheetData>
    <x:row r="1">
      <x:c r="A1" s="3" t="str">
        <x:v>AUTOMATED WEEKLY KPI SUMMARY</x:v>
      </x:c>
      <x:c r="B1" s="3" t="str">
        <x:v>AUTOMATED WEEKLY KPI SUMMARY</x:v>
      </x:c>
      <x:c r="C1" s="3" t="str">
        <x:v>AUTOMATED WEEKLY KPI SUMMARY</x:v>
      </x:c>
      <x:c r="D1" s="3" t="str">
        <x:v>AUTOMATED WEEKLY KPI SUMMARY</x:v>
      </x:c>
      <x:c r="E1" s="3" t="str">
        <x:v>AUTOMATED WEEKLY KPI SUMMARY</x:v>
      </x:c>
      <x:c r="F1" s="3" t="str">
        <x:v>AUTOMATED WEEKLY KPI SUMMARY</x:v>
      </x:c>
      <x:c r="G1" s="3" t="str">
        <x:v>AUTOMATED WEEKLY KPI SUMMARY</x:v>
      </x:c>
      <x:c r="H1" s="3" t="str">
        <x:v>AUTOMATED WEEKLY KPI SUMMARY</x:v>
      </x:c>
      <x:c r="I1" s="3" t="str">
        <x:v>AUTOMATED WEEKLY KPI SUMMARY</x:v>
      </x:c>
      <x:c r="J1" s="3" t="str">
        <x:v>AUTOMATED WEEKLY KPI SUMMARY</x:v>
      </x:c>
      <x:c r="K1" s="3" t="str">
        <x:v>AUTOMATED WEEKLY KPI SUMMARY</x:v>
      </x:c>
      <x:c r="L1" s="3" t="str">
        <x:v>AUTOMATED WEEKLY KPI SUMMARY</x:v>
      </x:c>
    </x:row>
    <x:row r="2">
      <x:c r="A2" s="3" t="str">
        <x:v>AUTOMATED WEEKLY KPI SUMMARY</x:v>
      </x:c>
      <x:c r="B2" s="3" t="str">
        <x:v>AUTOMATED WEEKLY KPI SUMMARY</x:v>
      </x:c>
      <x:c r="C2" s="3" t="str">
        <x:v>AUTOMATED WEEKLY KPI SUMMARY</x:v>
      </x:c>
      <x:c r="D2" s="3" t="str">
        <x:v>AUTOMATED WEEKLY KPI SUMMARY</x:v>
      </x:c>
      <x:c r="E2" s="3" t="str">
        <x:v>AUTOMATED WEEKLY KPI SUMMARY</x:v>
      </x:c>
      <x:c r="F2" s="3" t="str">
        <x:v>AUTOMATED WEEKLY KPI SUMMARY</x:v>
      </x:c>
      <x:c r="G2" s="3" t="str">
        <x:v>AUTOMATED WEEKLY KPI SUMMARY</x:v>
      </x:c>
      <x:c r="H2" s="3" t="str">
        <x:v>AUTOMATED WEEKLY KPI SUMMARY</x:v>
      </x:c>
      <x:c r="I2" s="3" t="str">
        <x:v>AUTOMATED WEEKLY KPI SUMMARY</x:v>
      </x:c>
      <x:c r="J2" s="3" t="str">
        <x:v>AUTOMATED WEEKLY KPI SUMMARY</x:v>
      </x:c>
      <x:c r="K2" s="3" t="str">
        <x:v>AUTOMATED WEEKLY KPI SUMMARY</x:v>
      </x:c>
      <x:c r="L2" s="3" t="str">
        <x:v>AUTOMATED WEEKLY KPI SUMMARY</x:v>
      </x:c>
    </x:row>
    <x:row r="3">
      <x:c r="A3" s="5" t="str">
        <x:v>Complete week: 2026-07-27 to 2026-08-02  |  Prior week: 2026-07-20 to 2026-07-26  |  Timezone: Europe/Istanbul</x:v>
      </x:c>
    </x:row>
    <x:row r="5">
      <x:c r="A5" s="8" t="str">
        <x:v>Revenue</x:v>
      </x:c>
      <x:c r="B5" s="8" t="str">
        <x:v>Revenue</x:v>
      </x:c>
      <x:c r="C5" s="8" t="str">
        <x:v>Revenue</x:v>
      </x:c>
      <x:c r="D5" s="8" t="str">
        <x:v>Orders</x:v>
      </x:c>
      <x:c r="E5" s="8" t="str">
        <x:v>Orders</x:v>
      </x:c>
      <x:c r="F5" s="8" t="str">
        <x:v>Orders</x:v>
      </x:c>
      <x:c r="G5" s="8" t="str">
        <x:v>Conversion</x:v>
      </x:c>
      <x:c r="H5" s="8" t="str">
        <x:v>Conversion</x:v>
      </x:c>
      <x:c r="I5" s="8" t="str">
        <x:v>Conversion</x:v>
      </x:c>
      <x:c r="J5" s="8" t="str">
        <x:v>Gross Margin</x:v>
      </x:c>
      <x:c r="K5" s="8" t="str">
        <x:v>Gross Margin</x:v>
      </x:c>
      <x:c r="L5" s="8" t="str">
        <x:v>Gross Margin</x:v>
      </x:c>
    </x:row>
    <x:row r="6">
      <x:c r="A6" s="29" t="n">
        <x:v>43857.99999999999</x:v>
      </x:c>
      <x:c r="B6" s="30" t="n">
        <x:v>43857.99999999999</x:v>
      </x:c>
      <x:c r="C6" s="31" t="n">
        <x:v>43857.99999999999</x:v>
      </x:c>
      <x:c r="D6" s="47" t="n">
        <x:v>511</x:v>
      </x:c>
      <x:c r="E6" s="48" t="n">
        <x:v>511</x:v>
      </x:c>
      <x:c r="F6" s="49" t="n">
        <x:v>511</x:v>
      </x:c>
      <x:c r="G6" s="65" t="n">
        <x:v>0.03118515806176004</x:v>
      </x:c>
      <x:c r="H6" s="66" t="n">
        <x:v>0.03118515806176004</x:v>
      </x:c>
      <x:c r="I6" s="67" t="n">
        <x:v>0.03118515806176004</x:v>
      </x:c>
      <x:c r="J6" s="65" t="n">
        <x:v>0.4181551826348669</x:v>
      </x:c>
      <x:c r="K6" s="66" t="n">
        <x:v>0.4181551826348669</x:v>
      </x:c>
      <x:c r="L6" s="67" t="n">
        <x:v>0.4181551826348669</x:v>
      </x:c>
    </x:row>
    <x:row r="7">
      <x:c r="A7" s="32" t="n">
        <x:v>43857.99999999999</x:v>
      </x:c>
      <x:c r="B7" s="33" t="n">
        <x:v>43857.99999999999</x:v>
      </x:c>
      <x:c r="C7" s="34" t="n">
        <x:v>43857.99999999999</x:v>
      </x:c>
      <x:c r="D7" s="50" t="n">
        <x:v>511</x:v>
      </x:c>
      <x:c r="E7" s="51" t="n">
        <x:v>511</x:v>
      </x:c>
      <x:c r="F7" s="52" t="n">
        <x:v>511</x:v>
      </x:c>
      <x:c r="G7" s="68" t="n">
        <x:v>0.03118515806176004</x:v>
      </x:c>
      <x:c r="H7" s="69" t="n">
        <x:v>0.03118515806176004</x:v>
      </x:c>
      <x:c r="I7" s="70" t="n">
        <x:v>0.03118515806176004</x:v>
      </x:c>
      <x:c r="J7" s="68" t="n">
        <x:v>0.4181551826348669</x:v>
      </x:c>
      <x:c r="K7" s="69" t="n">
        <x:v>0.4181551826348669</x:v>
      </x:c>
      <x:c r="L7" s="70" t="n">
        <x:v>0.4181551826348669</x:v>
      </x:c>
    </x:row>
    <x:row r="9">
      <x:c r="A9" s="73" t="str">
        <x:v>KPI</x:v>
      </x:c>
      <x:c r="B9" s="73" t="str">
        <x:v>Current Week</x:v>
      </x:c>
      <x:c r="C9" s="73" t="str">
        <x:v>Prior Week</x:v>
      </x:c>
      <x:c r="D9" s="73" t="str">
        <x:v>WoW Change</x:v>
      </x:c>
      <x:c r="E9" s="73" t="str">
        <x:v>Target</x:v>
      </x:c>
      <x:c r="F9" s="73" t="str">
        <x:v>Target Variance</x:v>
      </x:c>
      <x:c r="G9" s="73" t="str">
        <x:v>Status</x:v>
      </x:c>
      <x:c r="H9" s="73" t="str">
        <x:v>Management interpretation</x:v>
      </x:c>
      <x:c r="J9" s="78" t="str">
        <x:v>EXCEPTION SUMMARY</x:v>
      </x:c>
    </x:row>
    <x:row r="10">
      <x:c r="A10" s="71" t="str">
        <x:v>Revenue</x:v>
      </x:c>
      <x:c r="B10" s="75" t="n">
        <x:v>43857.99999999999</x:v>
      </x:c>
      <x:c r="C10" s="75" t="n">
        <x:v>49626.17</x:v>
      </x:c>
      <x:c r="D10" s="76" t="n">
        <x:v>-0.11623242333631642</x:v>
      </x:c>
      <x:c r="E10" s="74" t="n">
        <x:v>48000</x:v>
      </x:c>
      <x:c r="F10" s="74" t="n">
        <x:v>-4142.000000000007</x:v>
      </x:c>
      <x:c r="G10" s="71" t="str">
        <x:v>Action</x:v>
      </x:c>
      <x:c r="H10" s="71" t="str">
        <x:v>Assign owner and corrective action</x:v>
      </x:c>
      <x:c r="J10" s="71" t="str">
        <x:v>Action KPIs</x:v>
      </x:c>
      <x:c r="K10" s="71" t="n">
        <x:v>4</x:v>
      </x:c>
      <x:c r="L10" s="71" t="str">
        <x:v>Immediate</x:v>
      </x:c>
    </x:row>
    <x:row r="11">
      <x:c r="A11" s="71" t="str">
        <x:v>Orders</x:v>
      </x:c>
      <x:c r="B11" s="74" t="n">
        <x:v>511</x:v>
      </x:c>
      <x:c r="C11" s="74" t="n">
        <x:v>600</x:v>
      </x:c>
      <x:c r="D11" s="76" t="n">
        <x:v>-0.14833333333333334</x:v>
      </x:c>
      <x:c r="E11" s="74" t="n">
        <x:v>560</x:v>
      </x:c>
      <x:c r="F11" s="74" t="n">
        <x:v>-49</x:v>
      </x:c>
      <x:c r="G11" s="71" t="str">
        <x:v>Action</x:v>
      </x:c>
      <x:c r="H11" s="71" t="str">
        <x:v>Assign owner and corrective action</x:v>
      </x:c>
      <x:c r="J11" s="71" t="str">
        <x:v>Watch KPIs</x:v>
      </x:c>
      <x:c r="K11" s="71" t="n">
        <x:v>2</x:v>
      </x:c>
      <x:c r="L11" s="71" t="str">
        <x:v>Next review</x:v>
      </x:c>
    </x:row>
    <x:row r="12">
      <x:c r="A12" s="71" t="str">
        <x:v>Conversion Rate</x:v>
      </x:c>
      <x:c r="B12" s="76" t="n">
        <x:v>0.03118515806176004</x:v>
      </x:c>
      <x:c r="C12" s="76" t="n">
        <x:v>0.032392161097014524</x:v>
      </x:c>
      <x:c r="D12" s="76" t="n">
        <x:v>-0.03726219537003137</x:v>
      </x:c>
      <x:c r="E12" s="76" t="n">
        <x:v>0.033</x:v>
      </x:c>
      <x:c r="F12" s="76" t="n">
        <x:v>-0.0018148419382399625</x:v>
      </x:c>
      <x:c r="G12" s="71" t="str">
        <x:v>Action</x:v>
      </x:c>
      <x:c r="H12" s="71" t="str">
        <x:v>Assign owner and corrective action</x:v>
      </x:c>
      <x:c r="J12" s="71" t="str">
        <x:v>On-track KPIs</x:v>
      </x:c>
      <x:c r="K12" s="71" t="n">
        <x:v>1</x:v>
      </x:c>
      <x:c r="L12" s="71" t="str">
        <x:v>Maintain</x:v>
      </x:c>
    </x:row>
    <x:row r="13">
      <x:c r="A13" s="71" t="str">
        <x:v>Average Order Value</x:v>
      </x:c>
      <x:c r="B13" s="75" t="n">
        <x:v>85.82778864970645</x:v>
      </x:c>
      <x:c r="C13" s="75" t="n">
        <x:v>82.71028333333334</x:v>
      </x:c>
      <x:c r="D13" s="76" t="n">
        <x:v>0.03769187083798462</x:v>
      </x:c>
      <x:c r="E13" s="74" t="n">
        <x:v>84</x:v>
      </x:c>
      <x:c r="F13" s="74" t="n">
        <x:v>1.8277886497064486</x:v>
      </x:c>
      <x:c r="G13" s="71" t="str">
        <x:v>On Track</x:v>
      </x:c>
      <x:c r="H13" s="71" t="str">
        <x:v>Maintain current operating plan</x:v>
      </x:c>
      <x:c r="J13" s="71" t="str">
        <x:v>Data completeness</x:v>
      </x:c>
      <x:c r="K13" s="71" t="str">
        <x:v>100%</x:v>
      </x:c>
      <x:c r="L13" s="71" t="str">
        <x:v>Validated</x:v>
      </x:c>
    </x:row>
    <x:row r="14">
      <x:c r="A14" s="71" t="str">
        <x:v>Gross Margin</x:v>
      </x:c>
      <x:c r="B14" s="76" t="n">
        <x:v>0.4181551826348669</x:v>
      </x:c>
      <x:c r="C14" s="76" t="n">
        <x:v>0.42708071164871264</x:v>
      </x:c>
      <x:c r="D14" s="76" t="n">
        <x:v>-0.020898927931887672</x:v>
      </x:c>
      <x:c r="E14" s="76" t="n">
        <x:v>0.42</x:v>
      </x:c>
      <x:c r="F14" s="76" t="n">
        <x:v>-0.001844817365133089</x:v>
      </x:c>
      <x:c r="G14" s="71" t="str">
        <x:v>Watch</x:v>
      </x:c>
      <x:c r="H14" s="71" t="str">
        <x:v>Monitor driver movement next week</x:v>
      </x:c>
      <x:c r="J14" s="71" t="str">
        <x:v>Report cutoff</x:v>
      </x:c>
      <x:c r="K14" s="71" t="str">
        <x:v>Complete week</x:v>
      </x:c>
      <x:c r="L14" s="71" t="str">
        <x:v>No partial data</x:v>
      </x:c>
    </x:row>
    <x:row r="15">
      <x:c r="A15" s="71" t="str">
        <x:v>Refund Rate</x:v>
      </x:c>
      <x:c r="B15" s="76" t="n">
        <x:v>0.05675146771037182</x:v>
      </x:c>
      <x:c r="C15" s="76" t="n">
        <x:v>0.045</x:v>
      </x:c>
      <x:c r="D15" s="76" t="n">
        <x:v>0.26114372689715154</x:v>
      </x:c>
      <x:c r="E15" s="76" t="n">
        <x:v>0.045</x:v>
      </x:c>
      <x:c r="F15" s="76" t="n">
        <x:v>0.011751467710371818</x:v>
      </x:c>
      <x:c r="G15" s="71" t="str">
        <x:v>Action</x:v>
      </x:c>
      <x:c r="H15" s="71" t="str">
        <x:v>Assign owner and corrective action</x:v>
      </x:c>
    </x:row>
    <x:row r="16">
      <x:c r="A16" s="71" t="str">
        <x:v>On-Time Fulfilment</x:v>
      </x:c>
      <x:c r="B16" s="76" t="n">
        <x:v>0.9119373776908023</x:v>
      </x:c>
      <x:c r="C16" s="76" t="n">
        <x:v>0.945</x:v>
      </x:c>
      <x:c r="D16" s="76" t="n">
        <x:v>-0.034986901914494876</x:v>
      </x:c>
      <x:c r="E16" s="76" t="n">
        <x:v>0.94</x:v>
      </x:c>
      <x:c r="F16" s="76" t="n">
        <x:v>-0.02806262230919765</x:v>
      </x:c>
      <x:c r="G16" s="71" t="str">
        <x:v>Watch</x:v>
      </x:c>
      <x:c r="H16" s="71" t="str">
        <x:v>Monitor driver movement next week</x:v>
      </x:c>
    </x:row>
    <x:row r="19">
      <x:c r="A19" t="str">
        <x:v>Week</x:v>
      </x:c>
      <x:c r="B19" t="str">
        <x:v>Revenue</x:v>
      </x:c>
      <x:c r="C19" t="str">
        <x:v>Target</x:v>
      </x:c>
    </x:row>
    <x:row r="20">
      <x:c r="A20" t="str">
        <x:v>2026-06-29</x:v>
      </x:c>
      <x:c r="B20" s="79" t="n">
        <x:v>43794.17999999999</x:v>
      </x:c>
      <x:c r="C20" s="79" t="n">
        <x:v>48000</x:v>
      </x:c>
    </x:row>
    <x:row r="21">
      <x:c r="A21" t="str">
        <x:v>2026-07-06</x:v>
      </x:c>
      <x:c r="B21" s="79" t="n">
        <x:v>44650.74000000001</x:v>
      </x:c>
      <x:c r="C21" s="79" t="n">
        <x:v>48000</x:v>
      </x:c>
    </x:row>
    <x:row r="22">
      <x:c r="A22" t="str">
        <x:v>2026-07-13</x:v>
      </x:c>
      <x:c r="B22" s="79" t="n">
        <x:v>44655.57000000001</x:v>
      </x:c>
      <x:c r="C22" s="79" t="n">
        <x:v>48000</x:v>
      </x:c>
    </x:row>
    <x:row r="23">
      <x:c r="A23" t="str">
        <x:v>2026-07-20</x:v>
      </x:c>
      <x:c r="B23" s="79" t="n">
        <x:v>49626.17</x:v>
      </x:c>
      <x:c r="C23" s="79" t="n">
        <x:v>48000</x:v>
      </x:c>
    </x:row>
    <x:row r="24">
      <x:c r="A24" t="str">
        <x:v>2026-07-27</x:v>
      </x:c>
      <x:c r="B24" s="79" t="n">
        <x:v>43857.99999999999</x:v>
      </x:c>
      <x:c r="C24" s="79" t="n">
        <x:v>48000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J9:L9"/>
  </x:mergeCells>
  <x:conditionalFormatting sqref="G10:G16">
    <x:cfRule type="containsText" dxfId="0" priority="1" operator="containsText" text="Action"/>
    <x:cfRule type="containsText" dxfId="1" priority="2" operator="containsText" text="Watch"/>
    <x:cfRule type="containsText" dxfId="2" priority="3" operator="containsText" text="On Track"/>
  </x:conditionalFormatting>
  <x:pageMargins left="0.7" right="0.7" top="0.75" bottom="0.75" header="0.3" footer="0.3"/>
  <x:drawing xmlns:r="http://schemas.openxmlformats.org/officeDocument/2006/relationships" r:id="R96600431c6294b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</x:cols>
  <x:sheetData>
    <x:row r="1">
      <x:c r="A1" s="77" t="str">
        <x:v>Date</x:v>
      </x:c>
      <x:c r="B1" s="77" t="str">
        <x:v>Channel</x:v>
      </x:c>
      <x:c r="C1" s="77" t="str">
        <x:v>Sessions</x:v>
      </x:c>
      <x:c r="D1" s="77" t="str">
        <x:v>Orders</x:v>
      </x:c>
      <x:c r="E1" s="77" t="str">
        <x:v>Revenue</x:v>
      </x:c>
      <x:c r="F1" s="77" t="str">
        <x:v>Cogs</x:v>
      </x:c>
      <x:c r="G1" s="77" t="str">
        <x:v>Refund Orders</x:v>
      </x:c>
      <x:c r="H1" s="77" t="str">
        <x:v>On Time Orders</x:v>
      </x:c>
    </x:row>
    <x:row r="2">
      <x:c r="A2" s="80" t="str">
        <x:v>2026-05-25</x:v>
      </x:c>
      <x:c r="B2" t="str">
        <x:v>Organic Search</x:v>
      </x:c>
      <x:c r="C2" t="n">
        <x:v>689</x:v>
      </x:c>
      <x:c r="D2" t="n">
        <x:v>21</x:v>
      </x:c>
      <x:c r="E2" s="81" t="n">
        <x:v>1810.55</x:v>
      </x:c>
      <x:c r="F2" s="81" t="n">
        <x:v>1031.12</x:v>
      </x:c>
      <x:c r="G2" t="n">
        <x:v>1</x:v>
      </x:c>
      <x:c r="H2" t="n">
        <x:v>20</x:v>
      </x:c>
    </x:row>
    <x:row r="3">
      <x:c r="A3" s="80" t="str">
        <x:v>2026-05-25</x:v>
      </x:c>
      <x:c r="B3" t="str">
        <x:v>Paid Social</x:v>
      </x:c>
      <x:c r="C3" t="n">
        <x:v>535</x:v>
      </x:c>
      <x:c r="D3" t="n">
        <x:v>16</x:v>
      </x:c>
      <x:c r="E3" s="81" t="n">
        <x:v>1394.59</x:v>
      </x:c>
      <x:c r="F3" s="81" t="n">
        <x:v>803.91</x:v>
      </x:c>
      <x:c r="G3" t="n">
        <x:v>1</x:v>
      </x:c>
      <x:c r="H3" t="n">
        <x:v>15</x:v>
      </x:c>
    </x:row>
    <x:row r="4">
      <x:c r="A4" s="80" t="str">
        <x:v>2026-05-25</x:v>
      </x:c>
      <x:c r="B4" t="str">
        <x:v>Email</x:v>
      </x:c>
      <x:c r="C4" t="n">
        <x:v>695</x:v>
      </x:c>
      <x:c r="D4" t="n">
        <x:v>25</x:v>
      </x:c>
      <x:c r="E4" s="81" t="n">
        <x:v>2011.15</x:v>
      </x:c>
      <x:c r="F4" s="81" t="n">
        <x:v>1130.33</x:v>
      </x:c>
      <x:c r="G4" t="n">
        <x:v>1</x:v>
      </x:c>
      <x:c r="H4" t="n">
        <x:v>23</x:v>
      </x:c>
    </x:row>
    <x:row r="5">
      <x:c r="A5" s="80" t="str">
        <x:v>2026-05-25</x:v>
      </x:c>
      <x:c r="B5" t="str">
        <x:v>Referral</x:v>
      </x:c>
      <x:c r="C5" t="n">
        <x:v>600</x:v>
      </x:c>
      <x:c r="D5" t="n">
        <x:v>20</x:v>
      </x:c>
      <x:c r="E5" s="81" t="n">
        <x:v>1556.64</x:v>
      </x:c>
      <x:c r="F5" s="81" t="n">
        <x:v>909.46</x:v>
      </x:c>
      <x:c r="G5" t="n">
        <x:v>1</x:v>
      </x:c>
      <x:c r="H5" t="n">
        <x:v>19</x:v>
      </x:c>
    </x:row>
    <x:row r="6">
      <x:c r="A6" s="80" t="str">
        <x:v>2026-05-26</x:v>
      </x:c>
      <x:c r="B6" t="str">
        <x:v>Organic Search</x:v>
      </x:c>
      <x:c r="C6" t="n">
        <x:v>705</x:v>
      </x:c>
      <x:c r="D6" t="n">
        <x:v>23</x:v>
      </x:c>
      <x:c r="E6" s="81" t="n">
        <x:v>1803.54</x:v>
      </x:c>
      <x:c r="F6" s="81" t="n">
        <x:v>1017.67</x:v>
      </x:c>
      <x:c r="G6" t="n">
        <x:v>1</x:v>
      </x:c>
      <x:c r="H6" t="n">
        <x:v>22</x:v>
      </x:c>
    </x:row>
    <x:row r="7">
      <x:c r="A7" s="80" t="str">
        <x:v>2026-05-26</x:v>
      </x:c>
      <x:c r="B7" t="str">
        <x:v>Paid Social</x:v>
      </x:c>
      <x:c r="C7" t="n">
        <x:v>766</x:v>
      </x:c>
      <x:c r="D7" t="n">
        <x:v>23</x:v>
      </x:c>
      <x:c r="E7" s="81" t="n">
        <x:v>2045.77</x:v>
      </x:c>
      <x:c r="F7" s="81" t="n">
        <x:v>1137.09</x:v>
      </x:c>
      <x:c r="G7" t="n">
        <x:v>1</x:v>
      </x:c>
      <x:c r="H7" t="n">
        <x:v>21</x:v>
      </x:c>
    </x:row>
    <x:row r="8">
      <x:c r="A8" s="80" t="str">
        <x:v>2026-05-26</x:v>
      </x:c>
      <x:c r="B8" t="str">
        <x:v>Email</x:v>
      </x:c>
      <x:c r="C8" t="n">
        <x:v>650</x:v>
      </x:c>
      <x:c r="D8" t="n">
        <x:v>21</x:v>
      </x:c>
      <x:c r="E8" s="81" t="n">
        <x:v>1742.84</x:v>
      </x:c>
      <x:c r="F8" s="81" t="n">
        <x:v>1021.76</x:v>
      </x:c>
      <x:c r="G8" t="n">
        <x:v>1</x:v>
      </x:c>
      <x:c r="H8" t="n">
        <x:v>20</x:v>
      </x:c>
    </x:row>
    <x:row r="9">
      <x:c r="A9" s="80" t="str">
        <x:v>2026-05-26</x:v>
      </x:c>
      <x:c r="B9" t="str">
        <x:v>Referral</x:v>
      </x:c>
      <x:c r="C9" t="n">
        <x:v>641</x:v>
      </x:c>
      <x:c r="D9" t="n">
        <x:v>21</x:v>
      </x:c>
      <x:c r="E9" s="81" t="n">
        <x:v>1743.64</x:v>
      </x:c>
      <x:c r="F9" s="81" t="n">
        <x:v>967.54</x:v>
      </x:c>
      <x:c r="G9" t="n">
        <x:v>1</x:v>
      </x:c>
      <x:c r="H9" t="n">
        <x:v>20</x:v>
      </x:c>
    </x:row>
    <x:row r="10">
      <x:c r="A10" s="80" t="str">
        <x:v>2026-05-27</x:v>
      </x:c>
      <x:c r="B10" t="str">
        <x:v>Organic Search</x:v>
      </x:c>
      <x:c r="C10" t="n">
        <x:v>917</x:v>
      </x:c>
      <x:c r="D10" t="n">
        <x:v>28</x:v>
      </x:c>
      <x:c r="E10" s="81" t="n">
        <x:v>2435.31</x:v>
      </x:c>
      <x:c r="F10" s="81" t="n">
        <x:v>1348.29</x:v>
      </x:c>
      <x:c r="G10" t="n">
        <x:v>1</x:v>
      </x:c>
      <x:c r="H10" t="n">
        <x:v>26</x:v>
      </x:c>
    </x:row>
    <x:row r="11">
      <x:c r="A11" s="80" t="str">
        <x:v>2026-05-27</x:v>
      </x:c>
      <x:c r="B11" t="str">
        <x:v>Paid Social</x:v>
      </x:c>
      <x:c r="C11" t="n">
        <x:v>711</x:v>
      </x:c>
      <x:c r="D11" t="n">
        <x:v>22</x:v>
      </x:c>
      <x:c r="E11" s="81" t="n">
        <x:v>1746.65</x:v>
      </x:c>
      <x:c r="F11" s="81" t="n">
        <x:v>1011.35</x:v>
      </x:c>
      <x:c r="G11" t="n">
        <x:v>1</x:v>
      </x:c>
      <x:c r="H11" t="n">
        <x:v>21</x:v>
      </x:c>
    </x:row>
    <x:row r="12">
      <x:c r="A12" s="80" t="str">
        <x:v>2026-05-27</x:v>
      </x:c>
      <x:c r="B12" t="str">
        <x:v>Email</x:v>
      </x:c>
      <x:c r="C12" t="n">
        <x:v>565</x:v>
      </x:c>
      <x:c r="D12" t="n">
        <x:v>17</x:v>
      </x:c>
      <x:c r="E12" s="81" t="n">
        <x:v>1425.92</x:v>
      </x:c>
      <x:c r="F12" s="81" t="n">
        <x:v>832.1</x:v>
      </x:c>
      <x:c r="G12" t="n">
        <x:v>1</x:v>
      </x:c>
      <x:c r="H12" t="n">
        <x:v>16</x:v>
      </x:c>
    </x:row>
    <x:row r="13">
      <x:c r="A13" s="80" t="str">
        <x:v>2026-05-27</x:v>
      </x:c>
      <x:c r="B13" t="str">
        <x:v>Referral</x:v>
      </x:c>
      <x:c r="C13" t="n">
        <x:v>709</x:v>
      </x:c>
      <x:c r="D13" t="n">
        <x:v>25</x:v>
      </x:c>
      <x:c r="E13" s="81" t="n">
        <x:v>2001.36</x:v>
      </x:c>
      <x:c r="F13" s="81" t="n">
        <x:v>1125.87</x:v>
      </x:c>
      <x:c r="G13" t="n">
        <x:v>1</x:v>
      </x:c>
      <x:c r="H13" t="n">
        <x:v>24</x:v>
      </x:c>
    </x:row>
    <x:row r="14">
      <x:c r="A14" s="80" t="str">
        <x:v>2026-05-28</x:v>
      </x:c>
      <x:c r="B14" t="str">
        <x:v>Organic Search</x:v>
      </x:c>
      <x:c r="C14" t="n">
        <x:v>879</x:v>
      </x:c>
      <x:c r="D14" t="n">
        <x:v>29</x:v>
      </x:c>
      <x:c r="E14" s="81" t="n">
        <x:v>2245.99</x:v>
      </x:c>
      <x:c r="F14" s="81" t="n">
        <x:v>1290.1</x:v>
      </x:c>
      <x:c r="G14" t="n">
        <x:v>1</x:v>
      </x:c>
      <x:c r="H14" t="n">
        <x:v>27</x:v>
      </x:c>
    </x:row>
    <x:row r="15">
      <x:c r="A15" s="80" t="str">
        <x:v>2026-05-28</x:v>
      </x:c>
      <x:c r="B15" t="str">
        <x:v>Paid Social</x:v>
      </x:c>
      <x:c r="C15" t="n">
        <x:v>621</x:v>
      </x:c>
      <x:c r="D15" t="n">
        <x:v>21</x:v>
      </x:c>
      <x:c r="E15" s="81" t="n">
        <x:v>1730.51</x:v>
      </x:c>
      <x:c r="F15" s="81" t="n">
        <x:v>1000.13</x:v>
      </x:c>
      <x:c r="G15" t="n">
        <x:v>1</x:v>
      </x:c>
      <x:c r="H15" t="n">
        <x:v>19</x:v>
      </x:c>
    </x:row>
    <x:row r="16">
      <x:c r="A16" s="80" t="str">
        <x:v>2026-05-28</x:v>
      </x:c>
      <x:c r="B16" t="str">
        <x:v>Email</x:v>
      </x:c>
      <x:c r="C16" t="n">
        <x:v>674</x:v>
      </x:c>
      <x:c r="D16" t="n">
        <x:v>23</x:v>
      </x:c>
      <x:c r="E16" s="81" t="n">
        <x:v>1825.42</x:v>
      </x:c>
      <x:c r="F16" s="81" t="n">
        <x:v>1048.87</x:v>
      </x:c>
      <x:c r="G16" t="n">
        <x:v>1</x:v>
      </x:c>
      <x:c r="H16" t="n">
        <x:v>21</x:v>
      </x:c>
    </x:row>
    <x:row r="17">
      <x:c r="A17" s="80" t="str">
        <x:v>2026-05-28</x:v>
      </x:c>
      <x:c r="B17" t="str">
        <x:v>Referral</x:v>
      </x:c>
      <x:c r="C17" t="n">
        <x:v>655</x:v>
      </x:c>
      <x:c r="D17" t="n">
        <x:v>23</x:v>
      </x:c>
      <x:c r="E17" s="81" t="n">
        <x:v>2010.79</x:v>
      </x:c>
      <x:c r="F17" s="81" t="n">
        <x:v>1146.06</x:v>
      </x:c>
      <x:c r="G17" t="n">
        <x:v>1</x:v>
      </x:c>
      <x:c r="H17" t="n">
        <x:v>22</x:v>
      </x:c>
    </x:row>
    <x:row r="18">
      <x:c r="A18" s="80" t="str">
        <x:v>2026-05-29</x:v>
      </x:c>
      <x:c r="B18" t="str">
        <x:v>Organic Search</x:v>
      </x:c>
      <x:c r="C18" t="n">
        <x:v>680</x:v>
      </x:c>
      <x:c r="D18" t="n">
        <x:v>23</x:v>
      </x:c>
      <x:c r="E18" s="81" t="n">
        <x:v>2031.31</x:v>
      </x:c>
      <x:c r="F18" s="81" t="n">
        <x:v>1155.7</x:v>
      </x:c>
      <x:c r="G18" t="n">
        <x:v>1</x:v>
      </x:c>
      <x:c r="H18" t="n">
        <x:v>22</x:v>
      </x:c>
    </x:row>
    <x:row r="19">
      <x:c r="A19" s="80" t="str">
        <x:v>2026-05-29</x:v>
      </x:c>
      <x:c r="B19" t="str">
        <x:v>Paid Social</x:v>
      </x:c>
      <x:c r="C19" t="n">
        <x:v>710</x:v>
      </x:c>
      <x:c r="D19" t="n">
        <x:v>21</x:v>
      </x:c>
      <x:c r="E19" s="81" t="n">
        <x:v>1596.98</x:v>
      </x:c>
      <x:c r="F19" s="81" t="n">
        <x:v>919.81</x:v>
      </x:c>
      <x:c r="G19" t="n">
        <x:v>1</x:v>
      </x:c>
      <x:c r="H19" t="n">
        <x:v>20</x:v>
      </x:c>
    </x:row>
    <x:row r="20">
      <x:c r="A20" s="80" t="str">
        <x:v>2026-05-29</x:v>
      </x:c>
      <x:c r="B20" t="str">
        <x:v>Email</x:v>
      </x:c>
      <x:c r="C20" t="n">
        <x:v>740</x:v>
      </x:c>
      <x:c r="D20" t="n">
        <x:v>23</x:v>
      </x:c>
      <x:c r="E20" s="81" t="n">
        <x:v>1780.47</x:v>
      </x:c>
      <x:c r="F20" s="81" t="n">
        <x:v>1015.7</x:v>
      </x:c>
      <x:c r="G20" t="n">
        <x:v>1</x:v>
      </x:c>
      <x:c r="H20" t="n">
        <x:v>22</x:v>
      </x:c>
    </x:row>
    <x:row r="21">
      <x:c r="A21" s="80" t="str">
        <x:v>2026-05-29</x:v>
      </x:c>
      <x:c r="B21" t="str">
        <x:v>Referral</x:v>
      </x:c>
      <x:c r="C21" t="n">
        <x:v>383</x:v>
      </x:c>
      <x:c r="D21" t="n">
        <x:v>13</x:v>
      </x:c>
      <x:c r="E21" s="81" t="n">
        <x:v>1039.71</x:v>
      </x:c>
      <x:c r="F21" s="81" t="n">
        <x:v>597</x:v>
      </x:c>
      <x:c r="G21" t="n">
        <x:v>1</x:v>
      </x:c>
      <x:c r="H21" t="n">
        <x:v>12</x:v>
      </x:c>
    </x:row>
    <x:row r="22">
      <x:c r="A22" s="80" t="str">
        <x:v>2026-05-30</x:v>
      </x:c>
      <x:c r="B22" t="str">
        <x:v>Organic Search</x:v>
      </x:c>
      <x:c r="C22" t="n">
        <x:v>786</x:v>
      </x:c>
      <x:c r="D22" t="n">
        <x:v>29</x:v>
      </x:c>
      <x:c r="E22" s="81" t="n">
        <x:v>2338.11</x:v>
      </x:c>
      <x:c r="F22" s="81" t="n">
        <x:v>1364.97</x:v>
      </x:c>
      <x:c r="G22" t="n">
        <x:v>1</x:v>
      </x:c>
      <x:c r="H22" t="n">
        <x:v>27</x:v>
      </x:c>
    </x:row>
    <x:row r="23">
      <x:c r="A23" s="80" t="str">
        <x:v>2026-05-30</x:v>
      </x:c>
      <x:c r="B23" t="str">
        <x:v>Paid Social</x:v>
      </x:c>
      <x:c r="C23" t="n">
        <x:v>667</x:v>
      </x:c>
      <x:c r="D23" t="n">
        <x:v>25</x:v>
      </x:c>
      <x:c r="E23" s="81" t="n">
        <x:v>2177</x:v>
      </x:c>
      <x:c r="F23" s="81" t="n">
        <x:v>1264.35</x:v>
      </x:c>
      <x:c r="G23" t="n">
        <x:v>1</x:v>
      </x:c>
      <x:c r="H23" t="n">
        <x:v>23</x:v>
      </x:c>
    </x:row>
    <x:row r="24">
      <x:c r="A24" s="80" t="str">
        <x:v>2026-05-30</x:v>
      </x:c>
      <x:c r="B24" t="str">
        <x:v>Email</x:v>
      </x:c>
      <x:c r="C24" t="n">
        <x:v>628</x:v>
      </x:c>
      <x:c r="D24" t="n">
        <x:v>20</x:v>
      </x:c>
      <x:c r="E24" s="81" t="n">
        <x:v>1654.95</x:v>
      </x:c>
      <x:c r="F24" s="81" t="n">
        <x:v>952.13</x:v>
      </x:c>
      <x:c r="G24" t="n">
        <x:v>1</x:v>
      </x:c>
      <x:c r="H24" t="n">
        <x:v>19</x:v>
      </x:c>
    </x:row>
    <x:row r="25">
      <x:c r="A25" s="80" t="str">
        <x:v>2026-05-30</x:v>
      </x:c>
      <x:c r="B25" t="str">
        <x:v>Referral</x:v>
      </x:c>
      <x:c r="C25" t="n">
        <x:v>392</x:v>
      </x:c>
      <x:c r="D25" t="n">
        <x:v>14</x:v>
      </x:c>
      <x:c r="E25" s="81" t="n">
        <x:v>1121.62</x:v>
      </x:c>
      <x:c r="F25" s="81" t="n">
        <x:v>644.83</x:v>
      </x:c>
      <x:c r="G25" t="n">
        <x:v>1</x:v>
      </x:c>
      <x:c r="H25" t="n">
        <x:v>13</x:v>
      </x:c>
    </x:row>
    <x:row r="26">
      <x:c r="A26" s="80" t="str">
        <x:v>2026-05-31</x:v>
      </x:c>
      <x:c r="B26" t="str">
        <x:v>Organic Search</x:v>
      </x:c>
      <x:c r="C26" t="n">
        <x:v>675</x:v>
      </x:c>
      <x:c r="D26" t="n">
        <x:v>25</x:v>
      </x:c>
      <x:c r="E26" s="81" t="n">
        <x:v>2025.47</x:v>
      </x:c>
      <x:c r="F26" s="81" t="n">
        <x:v>1132.14</x:v>
      </x:c>
      <x:c r="G26" t="n">
        <x:v>1</x:v>
      </x:c>
      <x:c r="H26" t="n">
        <x:v>23</x:v>
      </x:c>
    </x:row>
    <x:row r="27">
      <x:c r="A27" s="80" t="str">
        <x:v>2026-05-31</x:v>
      </x:c>
      <x:c r="B27" t="str">
        <x:v>Paid Social</x:v>
      </x:c>
      <x:c r="C27" t="n">
        <x:v>633</x:v>
      </x:c>
      <x:c r="D27" t="n">
        <x:v>23</x:v>
      </x:c>
      <x:c r="E27" s="81" t="n">
        <x:v>1758.26</x:v>
      </x:c>
      <x:c r="F27" s="81" t="n">
        <x:v>1011.81</x:v>
      </x:c>
      <x:c r="G27" t="n">
        <x:v>1</x:v>
      </x:c>
      <x:c r="H27" t="n">
        <x:v>22</x:v>
      </x:c>
    </x:row>
    <x:row r="28">
      <x:c r="A28" s="80" t="str">
        <x:v>2026-05-31</x:v>
      </x:c>
      <x:c r="B28" t="str">
        <x:v>Email</x:v>
      </x:c>
      <x:c r="C28" t="n">
        <x:v>492</x:v>
      </x:c>
      <x:c r="D28" t="n">
        <x:v>18</x:v>
      </x:c>
      <x:c r="E28" s="81" t="n">
        <x:v>1357.37</x:v>
      </x:c>
      <x:c r="F28" s="81" t="n">
        <x:v>766.84</x:v>
      </x:c>
      <x:c r="G28" t="n">
        <x:v>1</x:v>
      </x:c>
      <x:c r="H28" t="n">
        <x:v>17</x:v>
      </x:c>
    </x:row>
    <x:row r="29">
      <x:c r="A29" s="80" t="str">
        <x:v>2026-05-31</x:v>
      </x:c>
      <x:c r="B29" t="str">
        <x:v>Referral</x:v>
      </x:c>
      <x:c r="C29" t="n">
        <x:v>521</x:v>
      </x:c>
      <x:c r="D29" t="n">
        <x:v>16</x:v>
      </x:c>
      <x:c r="E29" s="81" t="n">
        <x:v>1360.22</x:v>
      </x:c>
      <x:c r="F29" s="81" t="n">
        <x:v>776.53</x:v>
      </x:c>
      <x:c r="G29" t="n">
        <x:v>1</x:v>
      </x:c>
      <x:c r="H29" t="n">
        <x:v>15</x:v>
      </x:c>
    </x:row>
    <x:row r="30">
      <x:c r="A30" s="80" t="str">
        <x:v>2026-06-01</x:v>
      </x:c>
      <x:c r="B30" t="str">
        <x:v>Organic Search</x:v>
      </x:c>
      <x:c r="C30" t="n">
        <x:v>782</x:v>
      </x:c>
      <x:c r="D30" t="n">
        <x:v>24</x:v>
      </x:c>
      <x:c r="E30" s="81" t="n">
        <x:v>1878.17</x:v>
      </x:c>
      <x:c r="F30" s="81" t="n">
        <x:v>1095.42</x:v>
      </x:c>
      <x:c r="G30" t="n">
        <x:v>1</x:v>
      </x:c>
      <x:c r="H30" t="n">
        <x:v>22</x:v>
      </x:c>
    </x:row>
    <x:row r="31">
      <x:c r="A31" s="80" t="str">
        <x:v>2026-06-01</x:v>
      </x:c>
      <x:c r="B31" t="str">
        <x:v>Paid Social</x:v>
      </x:c>
      <x:c r="C31" t="n">
        <x:v>765</x:v>
      </x:c>
      <x:c r="D31" t="n">
        <x:v>27</x:v>
      </x:c>
      <x:c r="E31" s="81" t="n">
        <x:v>2178.37</x:v>
      </x:c>
      <x:c r="F31" s="81" t="n">
        <x:v>1248.56</x:v>
      </x:c>
      <x:c r="G31" t="n">
        <x:v>1</x:v>
      </x:c>
      <x:c r="H31" t="n">
        <x:v>25</x:v>
      </x:c>
    </x:row>
    <x:row r="32">
      <x:c r="A32" s="80" t="str">
        <x:v>2026-06-01</x:v>
      </x:c>
      <x:c r="B32" t="str">
        <x:v>Email</x:v>
      </x:c>
      <x:c r="C32" t="n">
        <x:v>580</x:v>
      </x:c>
      <x:c r="D32" t="n">
        <x:v>20</x:v>
      </x:c>
      <x:c r="E32" s="81" t="n">
        <x:v>1754.03</x:v>
      </x:c>
      <x:c r="F32" s="81" t="n">
        <x:v>1019.68</x:v>
      </x:c>
      <x:c r="G32" t="n">
        <x:v>1</x:v>
      </x:c>
      <x:c r="H32" t="n">
        <x:v>19</x:v>
      </x:c>
    </x:row>
    <x:row r="33">
      <x:c r="A33" s="80" t="str">
        <x:v>2026-06-01</x:v>
      </x:c>
      <x:c r="B33" t="str">
        <x:v>Referral</x:v>
      </x:c>
      <x:c r="C33" t="n">
        <x:v>545</x:v>
      </x:c>
      <x:c r="D33" t="n">
        <x:v>18</x:v>
      </x:c>
      <x:c r="E33" s="81" t="n">
        <x:v>1525.51</x:v>
      </x:c>
      <x:c r="F33" s="81" t="n">
        <x:v>892.78</x:v>
      </x:c>
      <x:c r="G33" t="n">
        <x:v>1</x:v>
      </x:c>
      <x:c r="H33" t="n">
        <x:v>17</x:v>
      </x:c>
    </x:row>
    <x:row r="34">
      <x:c r="A34" s="80" t="str">
        <x:v>2026-06-02</x:v>
      </x:c>
      <x:c r="B34" t="str">
        <x:v>Organic Search</x:v>
      </x:c>
      <x:c r="C34" t="n">
        <x:v>780</x:v>
      </x:c>
      <x:c r="D34" t="n">
        <x:v>27</x:v>
      </x:c>
      <x:c r="E34" s="81" t="n">
        <x:v>2109.57</x:v>
      </x:c>
      <x:c r="F34" s="81" t="n">
        <x:v>1193.05</x:v>
      </x:c>
      <x:c r="G34" t="n">
        <x:v>1</x:v>
      </x:c>
      <x:c r="H34" t="n">
        <x:v>25</x:v>
      </x:c>
    </x:row>
    <x:row r="35">
      <x:c r="A35" s="80" t="str">
        <x:v>2026-06-02</x:v>
      </x:c>
      <x:c r="B35" t="str">
        <x:v>Paid Social</x:v>
      </x:c>
      <x:c r="C35" t="n">
        <x:v>628</x:v>
      </x:c>
      <x:c r="D35" t="n">
        <x:v>23</x:v>
      </x:c>
      <x:c r="E35" s="81" t="n">
        <x:v>1938.1</x:v>
      </x:c>
      <x:c r="F35" s="81" t="n">
        <x:v>1085.62</x:v>
      </x:c>
      <x:c r="G35" t="n">
        <x:v>1</x:v>
      </x:c>
      <x:c r="H35" t="n">
        <x:v>22</x:v>
      </x:c>
    </x:row>
    <x:row r="36">
      <x:c r="A36" s="80" t="str">
        <x:v>2026-06-02</x:v>
      </x:c>
      <x:c r="B36" t="str">
        <x:v>Email</x:v>
      </x:c>
      <x:c r="C36" t="n">
        <x:v>654</x:v>
      </x:c>
      <x:c r="D36" t="n">
        <x:v>19</x:v>
      </x:c>
      <x:c r="E36" s="81" t="n">
        <x:v>1512.25</x:v>
      </x:c>
      <x:c r="F36" s="81" t="n">
        <x:v>844.1</x:v>
      </x:c>
      <x:c r="G36" t="n">
        <x:v>1</x:v>
      </x:c>
      <x:c r="H36" t="n">
        <x:v>18</x:v>
      </x:c>
    </x:row>
    <x:row r="37">
      <x:c r="A37" s="80" t="str">
        <x:v>2026-06-02</x:v>
      </x:c>
      <x:c r="B37" t="str">
        <x:v>Referral</x:v>
      </x:c>
      <x:c r="C37" t="n">
        <x:v>607</x:v>
      </x:c>
      <x:c r="D37" t="n">
        <x:v>21</x:v>
      </x:c>
      <x:c r="E37" s="81" t="n">
        <x:v>1708.98</x:v>
      </x:c>
      <x:c r="F37" s="81" t="n">
        <x:v>989.22</x:v>
      </x:c>
      <x:c r="G37" t="n">
        <x:v>1</x:v>
      </x:c>
      <x:c r="H37" t="n">
        <x:v>20</x:v>
      </x:c>
    </x:row>
    <x:row r="38">
      <x:c r="A38" s="80" t="str">
        <x:v>2026-06-03</x:v>
      </x:c>
      <x:c r="B38" t="str">
        <x:v>Organic Search</x:v>
      </x:c>
      <x:c r="C38" t="n">
        <x:v>751</x:v>
      </x:c>
      <x:c r="D38" t="n">
        <x:v>25</x:v>
      </x:c>
      <x:c r="E38" s="81" t="n">
        <x:v>1921.1</x:v>
      </x:c>
      <x:c r="F38" s="81" t="n">
        <x:v>1118.13</x:v>
      </x:c>
      <x:c r="G38" t="n">
        <x:v>1</x:v>
      </x:c>
      <x:c r="H38" t="n">
        <x:v>24</x:v>
      </x:c>
    </x:row>
    <x:row r="39">
      <x:c r="A39" s="80" t="str">
        <x:v>2026-06-03</x:v>
      </x:c>
      <x:c r="B39" t="str">
        <x:v>Paid Social</x:v>
      </x:c>
      <x:c r="C39" t="n">
        <x:v>452</x:v>
      </x:c>
      <x:c r="D39" t="n">
        <x:v>14</x:v>
      </x:c>
      <x:c r="E39" s="81" t="n">
        <x:v>1230.91</x:v>
      </x:c>
      <x:c r="F39" s="81" t="n">
        <x:v>704.42</x:v>
      </x:c>
      <x:c r="G39" t="n">
        <x:v>1</x:v>
      </x:c>
      <x:c r="H39" t="n">
        <x:v>13</x:v>
      </x:c>
    </x:row>
    <x:row r="40">
      <x:c r="A40" s="80" t="str">
        <x:v>2026-06-03</x:v>
      </x:c>
      <x:c r="B40" t="str">
        <x:v>Email</x:v>
      </x:c>
      <x:c r="C40" t="n">
        <x:v>662</x:v>
      </x:c>
      <x:c r="D40" t="n">
        <x:v>24</x:v>
      </x:c>
      <x:c r="E40" s="81" t="n">
        <x:v>1861.35</x:v>
      </x:c>
      <x:c r="F40" s="81" t="n">
        <x:v>1074.42</x:v>
      </x:c>
      <x:c r="G40" t="n">
        <x:v>1</x:v>
      </x:c>
      <x:c r="H40" t="n">
        <x:v>22</x:v>
      </x:c>
    </x:row>
    <x:row r="41">
      <x:c r="A41" s="80" t="str">
        <x:v>2026-06-03</x:v>
      </x:c>
      <x:c r="B41" t="str">
        <x:v>Referral</x:v>
      </x:c>
      <x:c r="C41" t="n">
        <x:v>637</x:v>
      </x:c>
      <x:c r="D41" t="n">
        <x:v>21</x:v>
      </x:c>
      <x:c r="E41" s="81" t="n">
        <x:v>1657.77</x:v>
      </x:c>
      <x:c r="F41" s="81" t="n">
        <x:v>940.57</x:v>
      </x:c>
      <x:c r="G41" t="n">
        <x:v>1</x:v>
      </x:c>
      <x:c r="H41" t="n">
        <x:v>20</x:v>
      </x:c>
    </x:row>
    <x:row r="42">
      <x:c r="A42" s="80" t="str">
        <x:v>2026-06-04</x:v>
      </x:c>
      <x:c r="B42" t="str">
        <x:v>Organic Search</x:v>
      </x:c>
      <x:c r="C42" t="n">
        <x:v>749</x:v>
      </x:c>
      <x:c r="D42" t="n">
        <x:v>25</x:v>
      </x:c>
      <x:c r="E42" s="81" t="n">
        <x:v>2195.12</x:v>
      </x:c>
      <x:c r="F42" s="81" t="n">
        <x:v>1249.57</x:v>
      </x:c>
      <x:c r="G42" t="n">
        <x:v>1</x:v>
      </x:c>
      <x:c r="H42" t="n">
        <x:v>23</x:v>
      </x:c>
    </x:row>
    <x:row r="43">
      <x:c r="A43" s="80" t="str">
        <x:v>2026-06-04</x:v>
      </x:c>
      <x:c r="B43" t="str">
        <x:v>Paid Social</x:v>
      </x:c>
      <x:c r="C43" t="n">
        <x:v>566</x:v>
      </x:c>
      <x:c r="D43" t="n">
        <x:v>17</x:v>
      </x:c>
      <x:c r="E43" s="81" t="n">
        <x:v>1493.28</x:v>
      </x:c>
      <x:c r="F43" s="81" t="n">
        <x:v>828.7</x:v>
      </x:c>
      <x:c r="G43" t="n">
        <x:v>1</x:v>
      </x:c>
      <x:c r="H43" t="n">
        <x:v>16</x:v>
      </x:c>
    </x:row>
    <x:row r="44">
      <x:c r="A44" s="80" t="str">
        <x:v>2026-06-04</x:v>
      </x:c>
      <x:c r="B44" t="str">
        <x:v>Email</x:v>
      </x:c>
      <x:c r="C44" t="n">
        <x:v>622</x:v>
      </x:c>
      <x:c r="D44" t="n">
        <x:v>20</x:v>
      </x:c>
      <x:c r="E44" s="81" t="n">
        <x:v>1636.98</x:v>
      </x:c>
      <x:c r="F44" s="81" t="n">
        <x:v>942.42</x:v>
      </x:c>
      <x:c r="G44" t="n">
        <x:v>1</x:v>
      </x:c>
      <x:c r="H44" t="n">
        <x:v>19</x:v>
      </x:c>
    </x:row>
    <x:row r="45">
      <x:c r="A45" s="80" t="str">
        <x:v>2026-06-04</x:v>
      </x:c>
      <x:c r="B45" t="str">
        <x:v>Referral</x:v>
      </x:c>
      <x:c r="C45" t="n">
        <x:v>426</x:v>
      </x:c>
      <x:c r="D45" t="n">
        <x:v>14</x:v>
      </x:c>
      <x:c r="E45" s="81" t="n">
        <x:v>1251.71</x:v>
      </x:c>
      <x:c r="F45" s="81" t="n">
        <x:v>696.78</x:v>
      </x:c>
      <x:c r="G45" t="n">
        <x:v>1</x:v>
      </x:c>
      <x:c r="H45" t="n">
        <x:v>13</x:v>
      </x:c>
    </x:row>
    <x:row r="46">
      <x:c r="A46" s="80" t="str">
        <x:v>2026-06-05</x:v>
      </x:c>
      <x:c r="B46" t="str">
        <x:v>Organic Search</x:v>
      </x:c>
      <x:c r="C46" t="n">
        <x:v>796</x:v>
      </x:c>
      <x:c r="D46" t="n">
        <x:v>27</x:v>
      </x:c>
      <x:c r="E46" s="81" t="n">
        <x:v>2345.87</x:v>
      </x:c>
      <x:c r="F46" s="81" t="n">
        <x:v>1297.85</x:v>
      </x:c>
      <x:c r="G46" t="n">
        <x:v>1</x:v>
      </x:c>
      <x:c r="H46" t="n">
        <x:v>26</x:v>
      </x:c>
    </x:row>
    <x:row r="47">
      <x:c r="A47" s="80" t="str">
        <x:v>2026-06-05</x:v>
      </x:c>
      <x:c r="B47" t="str">
        <x:v>Paid Social</x:v>
      </x:c>
      <x:c r="C47" t="n">
        <x:v>664</x:v>
      </x:c>
      <x:c r="D47" t="n">
        <x:v>22</x:v>
      </x:c>
      <x:c r="E47" s="81" t="n">
        <x:v>1888.51</x:v>
      </x:c>
      <x:c r="F47" s="81" t="n">
        <x:v>1069.83</x:v>
      </x:c>
      <x:c r="G47" t="n">
        <x:v>1</x:v>
      </x:c>
      <x:c r="H47" t="n">
        <x:v>20</x:v>
      </x:c>
    </x:row>
    <x:row r="48">
      <x:c r="A48" s="80" t="str">
        <x:v>2026-06-05</x:v>
      </x:c>
      <x:c r="B48" t="str">
        <x:v>Email</x:v>
      </x:c>
      <x:c r="C48" t="n">
        <x:v>526</x:v>
      </x:c>
      <x:c r="D48" t="n">
        <x:v>18</x:v>
      </x:c>
      <x:c r="E48" s="81" t="n">
        <x:v>1569.94</x:v>
      </x:c>
      <x:c r="F48" s="81" t="n">
        <x:v>870.66</x:v>
      </x:c>
      <x:c r="G48" t="n">
        <x:v>1</x:v>
      </x:c>
      <x:c r="H48" t="n">
        <x:v>17</x:v>
      </x:c>
    </x:row>
    <x:row r="49">
      <x:c r="A49" s="80" t="str">
        <x:v>2026-06-05</x:v>
      </x:c>
      <x:c r="B49" t="str">
        <x:v>Referral</x:v>
      </x:c>
      <x:c r="C49" t="n">
        <x:v>735</x:v>
      </x:c>
      <x:c r="D49" t="n">
        <x:v>25</x:v>
      </x:c>
      <x:c r="E49" s="81" t="n">
        <x:v>1989.27</x:v>
      </x:c>
      <x:c r="F49" s="81" t="n">
        <x:v>1146.88</x:v>
      </x:c>
      <x:c r="G49" t="n">
        <x:v>1</x:v>
      </x:c>
      <x:c r="H49" t="n">
        <x:v>24</x:v>
      </x:c>
    </x:row>
    <x:row r="50">
      <x:c r="A50" s="80" t="str">
        <x:v>2026-06-06</x:v>
      </x:c>
      <x:c r="B50" t="str">
        <x:v>Organic Search</x:v>
      </x:c>
      <x:c r="C50" t="n">
        <x:v>904</x:v>
      </x:c>
      <x:c r="D50" t="n">
        <x:v>32</x:v>
      </x:c>
      <x:c r="E50" s="81" t="n">
        <x:v>2754.86</x:v>
      </x:c>
      <x:c r="F50" s="81" t="n">
        <x:v>1582.8</x:v>
      </x:c>
      <x:c r="G50" t="n">
        <x:v>2</x:v>
      </x:c>
      <x:c r="H50" t="n">
        <x:v>30</x:v>
      </x:c>
    </x:row>
    <x:row r="51">
      <x:c r="A51" s="80" t="str">
        <x:v>2026-06-06</x:v>
      </x:c>
      <x:c r="B51" t="str">
        <x:v>Paid Social</x:v>
      </x:c>
      <x:c r="C51" t="n">
        <x:v>521</x:v>
      </x:c>
      <x:c r="D51" t="n">
        <x:v>19</x:v>
      </x:c>
      <x:c r="E51" s="81" t="n">
        <x:v>1624.2</x:v>
      </x:c>
      <x:c r="F51" s="81" t="n">
        <x:v>901.29</x:v>
      </x:c>
      <x:c r="G51" t="n">
        <x:v>1</x:v>
      </x:c>
      <x:c r="H51" t="n">
        <x:v>18</x:v>
      </x:c>
    </x:row>
    <x:row r="52">
      <x:c r="A52" s="80" t="str">
        <x:v>2026-06-06</x:v>
      </x:c>
      <x:c r="B52" t="str">
        <x:v>Email</x:v>
      </x:c>
      <x:c r="C52" t="n">
        <x:v>685</x:v>
      </x:c>
      <x:c r="D52" t="n">
        <x:v>23</x:v>
      </x:c>
      <x:c r="E52" s="81" t="n">
        <x:v>1887.29</x:v>
      </x:c>
      <x:c r="F52" s="81" t="n">
        <x:v>1043.22</x:v>
      </x:c>
      <x:c r="G52" t="n">
        <x:v>1</x:v>
      </x:c>
      <x:c r="H52" t="n">
        <x:v>22</x:v>
      </x:c>
    </x:row>
    <x:row r="53">
      <x:c r="A53" s="80" t="str">
        <x:v>2026-06-06</x:v>
      </x:c>
      <x:c r="B53" t="str">
        <x:v>Referral</x:v>
      </x:c>
      <x:c r="C53" t="n">
        <x:v>551</x:v>
      </x:c>
      <x:c r="D53" t="n">
        <x:v>19</x:v>
      </x:c>
      <x:c r="E53" s="81" t="n">
        <x:v>1593.35</x:v>
      </x:c>
      <x:c r="F53" s="81" t="n">
        <x:v>905.2</x:v>
      </x:c>
      <x:c r="G53" t="n">
        <x:v>1</x:v>
      </x:c>
      <x:c r="H53" t="n">
        <x:v>18</x:v>
      </x:c>
    </x:row>
    <x:row r="54">
      <x:c r="A54" s="80" t="str">
        <x:v>2026-06-07</x:v>
      </x:c>
      <x:c r="B54" t="str">
        <x:v>Organic Search</x:v>
      </x:c>
      <x:c r="C54" t="n">
        <x:v>708</x:v>
      </x:c>
      <x:c r="D54" t="n">
        <x:v>23</x:v>
      </x:c>
      <x:c r="E54" s="81" t="n">
        <x:v>1855.79</x:v>
      </x:c>
      <x:c r="F54" s="81" t="n">
        <x:v>1028.31</x:v>
      </x:c>
      <x:c r="G54" t="n">
        <x:v>1</x:v>
      </x:c>
      <x:c r="H54" t="n">
        <x:v>22</x:v>
      </x:c>
    </x:row>
    <x:row r="55">
      <x:c r="A55" s="80" t="str">
        <x:v>2026-06-07</x:v>
      </x:c>
      <x:c r="B55" t="str">
        <x:v>Paid Social</x:v>
      </x:c>
      <x:c r="C55" t="n">
        <x:v>532</x:v>
      </x:c>
      <x:c r="D55" t="n">
        <x:v>17</x:v>
      </x:c>
      <x:c r="E55" s="81" t="n">
        <x:v>1514.79</x:v>
      </x:c>
      <x:c r="F55" s="81" t="n">
        <x:v>883.42</x:v>
      </x:c>
      <x:c r="G55" t="n">
        <x:v>1</x:v>
      </x:c>
      <x:c r="H55" t="n">
        <x:v>16</x:v>
      </x:c>
    </x:row>
    <x:row r="56">
      <x:c r="A56" s="80" t="str">
        <x:v>2026-06-07</x:v>
      </x:c>
      <x:c r="B56" t="str">
        <x:v>Email</x:v>
      </x:c>
      <x:c r="C56" t="n">
        <x:v>453</x:v>
      </x:c>
      <x:c r="D56" t="n">
        <x:v>17</x:v>
      </x:c>
      <x:c r="E56" s="81" t="n">
        <x:v>1461.73</x:v>
      </x:c>
      <x:c r="F56" s="81" t="n">
        <x:v>821.94</x:v>
      </x:c>
      <x:c r="G56" t="n">
        <x:v>1</x:v>
      </x:c>
      <x:c r="H56" t="n">
        <x:v>16</x:v>
      </x:c>
    </x:row>
    <x:row r="57">
      <x:c r="A57" s="80" t="str">
        <x:v>2026-06-07</x:v>
      </x:c>
      <x:c r="B57" t="str">
        <x:v>Referral</x:v>
      </x:c>
      <x:c r="C57" t="n">
        <x:v>708</x:v>
      </x:c>
      <x:c r="D57" t="n">
        <x:v>26</x:v>
      </x:c>
      <x:c r="E57" s="81" t="n">
        <x:v>2030.78</x:v>
      </x:c>
      <x:c r="F57" s="81" t="n">
        <x:v>1176.83</x:v>
      </x:c>
      <x:c r="G57" t="n">
        <x:v>1</x:v>
      </x:c>
      <x:c r="H57" t="n">
        <x:v>24</x:v>
      </x:c>
    </x:row>
    <x:row r="58">
      <x:c r="A58" s="80" t="str">
        <x:v>2026-06-08</x:v>
      </x:c>
      <x:c r="B58" t="str">
        <x:v>Organic Search</x:v>
      </x:c>
      <x:c r="C58" t="n">
        <x:v>776</x:v>
      </x:c>
      <x:c r="D58" t="n">
        <x:v>23</x:v>
      </x:c>
      <x:c r="E58" s="81" t="n">
        <x:v>1834.38</x:v>
      </x:c>
      <x:c r="F58" s="81" t="n">
        <x:v>1018.46</x:v>
      </x:c>
      <x:c r="G58" t="n">
        <x:v>1</x:v>
      </x:c>
      <x:c r="H58" t="n">
        <x:v>22</x:v>
      </x:c>
    </x:row>
    <x:row r="59">
      <x:c r="A59" s="80" t="str">
        <x:v>2026-06-08</x:v>
      </x:c>
      <x:c r="B59" t="str">
        <x:v>Paid Social</x:v>
      </x:c>
      <x:c r="C59" t="n">
        <x:v>439</x:v>
      </x:c>
      <x:c r="D59" t="n">
        <x:v>14</x:v>
      </x:c>
      <x:c r="E59" s="81" t="n">
        <x:v>1131.16</x:v>
      </x:c>
      <x:c r="F59" s="81" t="n">
        <x:v>631.13</x:v>
      </x:c>
      <x:c r="G59" t="n">
        <x:v>1</x:v>
      </x:c>
      <x:c r="H59" t="n">
        <x:v>13</x:v>
      </x:c>
    </x:row>
    <x:row r="60">
      <x:c r="A60" s="80" t="str">
        <x:v>2026-06-08</x:v>
      </x:c>
      <x:c r="B60" t="str">
        <x:v>Email</x:v>
      </x:c>
      <x:c r="C60" t="n">
        <x:v>670</x:v>
      </x:c>
      <x:c r="D60" t="n">
        <x:v>20</x:v>
      </x:c>
      <x:c r="E60" s="81" t="n">
        <x:v>1517.65</x:v>
      </x:c>
      <x:c r="F60" s="81" t="n">
        <x:v>849.15</x:v>
      </x:c>
      <x:c r="G60" t="n">
        <x:v>1</x:v>
      </x:c>
      <x:c r="H60" t="n">
        <x:v>19</x:v>
      </x:c>
    </x:row>
    <x:row r="61">
      <x:c r="A61" s="80" t="str">
        <x:v>2026-06-08</x:v>
      </x:c>
      <x:c r="B61" t="str">
        <x:v>Referral</x:v>
      </x:c>
      <x:c r="C61" t="n">
        <x:v>371</x:v>
      </x:c>
      <x:c r="D61" t="n">
        <x:v>13</x:v>
      </x:c>
      <x:c r="E61" s="81" t="n">
        <x:v>1030.11</x:v>
      </x:c>
      <x:c r="F61" s="81" t="n">
        <x:v>587.11</x:v>
      </x:c>
      <x:c r="G61" t="n">
        <x:v>1</x:v>
      </x:c>
      <x:c r="H61" t="n">
        <x:v>12</x:v>
      </x:c>
    </x:row>
    <x:row r="62">
      <x:c r="A62" s="80" t="str">
        <x:v>2026-06-09</x:v>
      </x:c>
      <x:c r="B62" t="str">
        <x:v>Organic Search</x:v>
      </x:c>
      <x:c r="C62" t="n">
        <x:v>650</x:v>
      </x:c>
      <x:c r="D62" t="n">
        <x:v>22</x:v>
      </x:c>
      <x:c r="E62" s="81" t="n">
        <x:v>1874.08</x:v>
      </x:c>
      <x:c r="F62" s="81" t="n">
        <x:v>1061.2</x:v>
      </x:c>
      <x:c r="G62" t="n">
        <x:v>1</x:v>
      </x:c>
      <x:c r="H62" t="n">
        <x:v>21</x:v>
      </x:c>
    </x:row>
    <x:row r="63">
      <x:c r="A63" s="80" t="str">
        <x:v>2026-06-09</x:v>
      </x:c>
      <x:c r="B63" t="str">
        <x:v>Paid Social</x:v>
      </x:c>
      <x:c r="C63" t="n">
        <x:v>736</x:v>
      </x:c>
      <x:c r="D63" t="n">
        <x:v>27</x:v>
      </x:c>
      <x:c r="E63" s="81" t="n">
        <x:v>2303.79</x:v>
      </x:c>
      <x:c r="F63" s="81" t="n">
        <x:v>1339.78</x:v>
      </x:c>
      <x:c r="G63" t="n">
        <x:v>1</x:v>
      </x:c>
      <x:c r="H63" t="n">
        <x:v>26</x:v>
      </x:c>
    </x:row>
    <x:row r="64">
      <x:c r="A64" s="80" t="str">
        <x:v>2026-06-09</x:v>
      </x:c>
      <x:c r="B64" t="str">
        <x:v>Email</x:v>
      </x:c>
      <x:c r="C64" t="n">
        <x:v>397</x:v>
      </x:c>
      <x:c r="D64" t="n">
        <x:v>12</x:v>
      </x:c>
      <x:c r="E64" s="81" t="n">
        <x:v>1024.2</x:v>
      </x:c>
      <x:c r="F64" s="81" t="n">
        <x:v>596.04</x:v>
      </x:c>
      <x:c r="G64" t="n">
        <x:v>0</x:v>
      </x:c>
      <x:c r="H64" t="n">
        <x:v>11</x:v>
      </x:c>
    </x:row>
    <x:row r="65">
      <x:c r="A65" s="80" t="str">
        <x:v>2026-06-09</x:v>
      </x:c>
      <x:c r="B65" t="str">
        <x:v>Referral</x:v>
      </x:c>
      <x:c r="C65" t="n">
        <x:v>713</x:v>
      </x:c>
      <x:c r="D65" t="n">
        <x:v>26</x:v>
      </x:c>
      <x:c r="E65" s="81" t="n">
        <x:v>2103.8</x:v>
      </x:c>
      <x:c r="F65" s="81" t="n">
        <x:v>1172.73</x:v>
      </x:c>
      <x:c r="G65" t="n">
        <x:v>1</x:v>
      </x:c>
      <x:c r="H65" t="n">
        <x:v>24</x:v>
      </x:c>
    </x:row>
    <x:row r="66">
      <x:c r="A66" s="80" t="str">
        <x:v>2026-06-10</x:v>
      </x:c>
      <x:c r="B66" t="str">
        <x:v>Organic Search</x:v>
      </x:c>
      <x:c r="C66" t="n">
        <x:v>616</x:v>
      </x:c>
      <x:c r="D66" t="n">
        <x:v>20</x:v>
      </x:c>
      <x:c r="E66" s="81" t="n">
        <x:v>1582.09</x:v>
      </x:c>
      <x:c r="F66" s="81" t="n">
        <x:v>909</x:v>
      </x:c>
      <x:c r="G66" t="n">
        <x:v>1</x:v>
      </x:c>
      <x:c r="H66" t="n">
        <x:v>18</x:v>
      </x:c>
    </x:row>
    <x:row r="67">
      <x:c r="A67" s="80" t="str">
        <x:v>2026-06-10</x:v>
      </x:c>
      <x:c r="B67" t="str">
        <x:v>Paid Social</x:v>
      </x:c>
      <x:c r="C67" t="n">
        <x:v>626</x:v>
      </x:c>
      <x:c r="D67" t="n">
        <x:v>22</x:v>
      </x:c>
      <x:c r="E67" s="81" t="n">
        <x:v>1715.58</x:v>
      </x:c>
      <x:c r="F67" s="81" t="n">
        <x:v>965.36</x:v>
      </x:c>
      <x:c r="G67" t="n">
        <x:v>1</x:v>
      </x:c>
      <x:c r="H67" t="n">
        <x:v>20</x:v>
      </x:c>
    </x:row>
    <x:row r="68">
      <x:c r="A68" s="80" t="str">
        <x:v>2026-06-10</x:v>
      </x:c>
      <x:c r="B68" t="str">
        <x:v>Email</x:v>
      </x:c>
      <x:c r="C68" t="n">
        <x:v>630</x:v>
      </x:c>
      <x:c r="D68" t="n">
        <x:v>19</x:v>
      </x:c>
      <x:c r="E68" s="81" t="n">
        <x:v>1664.53</x:v>
      </x:c>
      <x:c r="F68" s="81" t="n">
        <x:v>951.19</x:v>
      </x:c>
      <x:c r="G68" t="n">
        <x:v>1</x:v>
      </x:c>
      <x:c r="H68" t="n">
        <x:v>18</x:v>
      </x:c>
    </x:row>
    <x:row r="69">
      <x:c r="A69" s="80" t="str">
        <x:v>2026-06-10</x:v>
      </x:c>
      <x:c r="B69" t="str">
        <x:v>Referral</x:v>
      </x:c>
      <x:c r="C69" t="n">
        <x:v>627</x:v>
      </x:c>
      <x:c r="D69" t="n">
        <x:v>19</x:v>
      </x:c>
      <x:c r="E69" s="81" t="n">
        <x:v>1521.91</x:v>
      </x:c>
      <x:c r="F69" s="81" t="n">
        <x:v>889.87</x:v>
      </x:c>
      <x:c r="G69" t="n">
        <x:v>1</x:v>
      </x:c>
      <x:c r="H69" t="n">
        <x:v>18</x:v>
      </x:c>
    </x:row>
    <x:row r="70">
      <x:c r="A70" s="80" t="str">
        <x:v>2026-06-11</x:v>
      </x:c>
      <x:c r="B70" t="str">
        <x:v>Organic Search</x:v>
      </x:c>
      <x:c r="C70" t="n">
        <x:v>622</x:v>
      </x:c>
      <x:c r="D70" t="n">
        <x:v>18</x:v>
      </x:c>
      <x:c r="E70" s="81" t="n">
        <x:v>1435.51</x:v>
      </x:c>
      <x:c r="F70" s="81" t="n">
        <x:v>834.09</x:v>
      </x:c>
      <x:c r="G70" t="n">
        <x:v>1</x:v>
      </x:c>
      <x:c r="H70" t="n">
        <x:v>17</x:v>
      </x:c>
    </x:row>
    <x:row r="71">
      <x:c r="A71" s="80" t="str">
        <x:v>2026-06-11</x:v>
      </x:c>
      <x:c r="B71" t="str">
        <x:v>Paid Social</x:v>
      </x:c>
      <x:c r="C71" t="n">
        <x:v>713</x:v>
      </x:c>
      <x:c r="D71" t="n">
        <x:v>26</x:v>
      </x:c>
      <x:c r="E71" s="81" t="n">
        <x:v>1959.65</x:v>
      </x:c>
      <x:c r="F71" s="81" t="n">
        <x:v>1088.36</x:v>
      </x:c>
      <x:c r="G71" t="n">
        <x:v>1</x:v>
      </x:c>
      <x:c r="H71" t="n">
        <x:v>25</x:v>
      </x:c>
    </x:row>
    <x:row r="72">
      <x:c r="A72" s="80" t="str">
        <x:v>2026-06-11</x:v>
      </x:c>
      <x:c r="B72" t="str">
        <x:v>Email</x:v>
      </x:c>
      <x:c r="C72" t="n">
        <x:v>682</x:v>
      </x:c>
      <x:c r="D72" t="n">
        <x:v>23</x:v>
      </x:c>
      <x:c r="E72" s="81" t="n">
        <x:v>1882.09</x:v>
      </x:c>
      <x:c r="F72" s="81" t="n">
        <x:v>1087.85</x:v>
      </x:c>
      <x:c r="G72" t="n">
        <x:v>1</x:v>
      </x:c>
      <x:c r="H72" t="n">
        <x:v>22</x:v>
      </x:c>
    </x:row>
    <x:row r="73">
      <x:c r="A73" s="80" t="str">
        <x:v>2026-06-11</x:v>
      </x:c>
      <x:c r="B73" t="str">
        <x:v>Referral</x:v>
      </x:c>
      <x:c r="C73" t="n">
        <x:v>454</x:v>
      </x:c>
      <x:c r="D73" t="n">
        <x:v>15</x:v>
      </x:c>
      <x:c r="E73" s="81" t="n">
        <x:v>1118.57</x:v>
      </x:c>
      <x:c r="F73" s="81" t="n">
        <x:v>641.74</x:v>
      </x:c>
      <x:c r="G73" t="n">
        <x:v>1</x:v>
      </x:c>
      <x:c r="H73" t="n">
        <x:v>14</x:v>
      </x:c>
    </x:row>
    <x:row r="74">
      <x:c r="A74" s="80" t="str">
        <x:v>2026-06-12</x:v>
      </x:c>
      <x:c r="B74" t="str">
        <x:v>Organic Search</x:v>
      </x:c>
      <x:c r="C74" t="n">
        <x:v>860</x:v>
      </x:c>
      <x:c r="D74" t="n">
        <x:v>27</x:v>
      </x:c>
      <x:c r="E74" s="81" t="n">
        <x:v>2316.02</x:v>
      </x:c>
      <x:c r="F74" s="81" t="n">
        <x:v>1287.36</x:v>
      </x:c>
      <x:c r="G74" t="n">
        <x:v>1</x:v>
      </x:c>
      <x:c r="H74" t="n">
        <x:v>26</x:v>
      </x:c>
    </x:row>
    <x:row r="75">
      <x:c r="A75" s="80" t="str">
        <x:v>2026-06-12</x:v>
      </x:c>
      <x:c r="B75" t="str">
        <x:v>Paid Social</x:v>
      </x:c>
      <x:c r="C75" t="n">
        <x:v>595</x:v>
      </x:c>
      <x:c r="D75" t="n">
        <x:v>20</x:v>
      </x:c>
      <x:c r="E75" s="81" t="n">
        <x:v>1542.98</x:v>
      </x:c>
      <x:c r="F75" s="81" t="n">
        <x:v>873.87</x:v>
      </x:c>
      <x:c r="G75" t="n">
        <x:v>1</x:v>
      </x:c>
      <x:c r="H75" t="n">
        <x:v>18</x:v>
      </x:c>
    </x:row>
    <x:row r="76">
      <x:c r="A76" s="80" t="str">
        <x:v>2026-06-12</x:v>
      </x:c>
      <x:c r="B76" t="str">
        <x:v>Email</x:v>
      </x:c>
      <x:c r="C76" t="n">
        <x:v>718</x:v>
      </x:c>
      <x:c r="D76" t="n">
        <x:v>23</x:v>
      </x:c>
      <x:c r="E76" s="81" t="n">
        <x:v>1907.38</x:v>
      </x:c>
      <x:c r="F76" s="81" t="n">
        <x:v>1057.9</x:v>
      </x:c>
      <x:c r="G76" t="n">
        <x:v>1</x:v>
      </x:c>
      <x:c r="H76" t="n">
        <x:v>21</x:v>
      </x:c>
    </x:row>
    <x:row r="77">
      <x:c r="A77" s="80" t="str">
        <x:v>2026-06-12</x:v>
      </x:c>
      <x:c r="B77" t="str">
        <x:v>Referral</x:v>
      </x:c>
      <x:c r="C77" t="n">
        <x:v>619</x:v>
      </x:c>
      <x:c r="D77" t="n">
        <x:v>18</x:v>
      </x:c>
      <x:c r="E77" s="81" t="n">
        <x:v>1374.61</x:v>
      </x:c>
      <x:c r="F77" s="81" t="n">
        <x:v>767.78</x:v>
      </x:c>
      <x:c r="G77" t="n">
        <x:v>1</x:v>
      </x:c>
      <x:c r="H77" t="n">
        <x:v>17</x:v>
      </x:c>
    </x:row>
    <x:row r="78">
      <x:c r="A78" s="80" t="str">
        <x:v>2026-06-13</x:v>
      </x:c>
      <x:c r="B78" t="str">
        <x:v>Organic Search</x:v>
      </x:c>
      <x:c r="C78" t="n">
        <x:v>744</x:v>
      </x:c>
      <x:c r="D78" t="n">
        <x:v>25</x:v>
      </x:c>
      <x:c r="E78" s="81" t="n">
        <x:v>2225.04</x:v>
      </x:c>
      <x:c r="F78" s="81" t="n">
        <x:v>1290.35</x:v>
      </x:c>
      <x:c r="G78" t="n">
        <x:v>1</x:v>
      </x:c>
      <x:c r="H78" t="n">
        <x:v>24</x:v>
      </x:c>
    </x:row>
    <x:row r="79">
      <x:c r="A79" s="80" t="str">
        <x:v>2026-06-13</x:v>
      </x:c>
      <x:c r="B79" t="str">
        <x:v>Paid Social</x:v>
      </x:c>
      <x:c r="C79" t="n">
        <x:v>377</x:v>
      </x:c>
      <x:c r="D79" t="n">
        <x:v>11</x:v>
      </x:c>
      <x:c r="E79" s="81" t="n">
        <x:v>920.48</x:v>
      </x:c>
      <x:c r="F79" s="81" t="n">
        <x:v>520.93</x:v>
      </x:c>
      <x:c r="G79" t="n">
        <x:v>0</x:v>
      </x:c>
      <x:c r="H79" t="n">
        <x:v>10</x:v>
      </x:c>
    </x:row>
    <x:row r="80">
      <x:c r="A80" s="80" t="str">
        <x:v>2026-06-13</x:v>
      </x:c>
      <x:c r="B80" t="str">
        <x:v>Email</x:v>
      </x:c>
      <x:c r="C80" t="n">
        <x:v>644</x:v>
      </x:c>
      <x:c r="D80" t="n">
        <x:v>20</x:v>
      </x:c>
      <x:c r="E80" s="81" t="n">
        <x:v>1495.26</x:v>
      </x:c>
      <x:c r="F80" s="81" t="n">
        <x:v>872.03</x:v>
      </x:c>
      <x:c r="G80" t="n">
        <x:v>1</x:v>
      </x:c>
      <x:c r="H80" t="n">
        <x:v>19</x:v>
      </x:c>
    </x:row>
    <x:row r="81">
      <x:c r="A81" s="80" t="str">
        <x:v>2026-06-13</x:v>
      </x:c>
      <x:c r="B81" t="str">
        <x:v>Referral</x:v>
      </x:c>
      <x:c r="C81" t="n">
        <x:v>486</x:v>
      </x:c>
      <x:c r="D81" t="n">
        <x:v>18</x:v>
      </x:c>
      <x:c r="E81" s="81" t="n">
        <x:v>1461.11</x:v>
      </x:c>
      <x:c r="F81" s="81" t="n">
        <x:v>820.75</x:v>
      </x:c>
      <x:c r="G81" t="n">
        <x:v>1</x:v>
      </x:c>
      <x:c r="H81" t="n">
        <x:v>17</x:v>
      </x:c>
    </x:row>
    <x:row r="82">
      <x:c r="A82" s="80" t="str">
        <x:v>2026-06-14</x:v>
      </x:c>
      <x:c r="B82" t="str">
        <x:v>Organic Search</x:v>
      </x:c>
      <x:c r="C82" t="n">
        <x:v>768</x:v>
      </x:c>
      <x:c r="D82" t="n">
        <x:v>24</x:v>
      </x:c>
      <x:c r="E82" s="81" t="n">
        <x:v>1933.83</x:v>
      </x:c>
      <x:c r="F82" s="81" t="n">
        <x:v>1116.84</x:v>
      </x:c>
      <x:c r="G82" t="n">
        <x:v>1</x:v>
      </x:c>
      <x:c r="H82" t="n">
        <x:v>22</x:v>
      </x:c>
    </x:row>
    <x:row r="83">
      <x:c r="A83" s="80" t="str">
        <x:v>2026-06-14</x:v>
      </x:c>
      <x:c r="B83" t="str">
        <x:v>Paid Social</x:v>
      </x:c>
      <x:c r="C83" t="n">
        <x:v>370</x:v>
      </x:c>
      <x:c r="D83" t="n">
        <x:v>12</x:v>
      </x:c>
      <x:c r="E83" s="81" t="n">
        <x:v>1015.7</x:v>
      </x:c>
      <x:c r="F83" s="81" t="n">
        <x:v>571.24</x:v>
      </x:c>
      <x:c r="G83" t="n">
        <x:v>0</x:v>
      </x:c>
      <x:c r="H83" t="n">
        <x:v>11</x:v>
      </x:c>
    </x:row>
    <x:row r="84">
      <x:c r="A84" s="80" t="str">
        <x:v>2026-06-14</x:v>
      </x:c>
      <x:c r="B84" t="str">
        <x:v>Email</x:v>
      </x:c>
      <x:c r="C84" t="n">
        <x:v>649</x:v>
      </x:c>
      <x:c r="D84" t="n">
        <x:v>20</x:v>
      </x:c>
      <x:c r="E84" s="81" t="n">
        <x:v>1535.66</x:v>
      </x:c>
      <x:c r="F84" s="81" t="n">
        <x:v>900</x:v>
      </x:c>
      <x:c r="G84" t="n">
        <x:v>1</x:v>
      </x:c>
      <x:c r="H84" t="n">
        <x:v>19</x:v>
      </x:c>
    </x:row>
    <x:row r="85">
      <x:c r="A85" s="80" t="str">
        <x:v>2026-06-14</x:v>
      </x:c>
      <x:c r="B85" t="str">
        <x:v>Referral</x:v>
      </x:c>
      <x:c r="C85" t="n">
        <x:v>741</x:v>
      </x:c>
      <x:c r="D85" t="n">
        <x:v>25</x:v>
      </x:c>
      <x:c r="E85" s="81" t="n">
        <x:v>2091.01</x:v>
      </x:c>
      <x:c r="F85" s="81" t="n">
        <x:v>1189.86</x:v>
      </x:c>
      <x:c r="G85" t="n">
        <x:v>1</x:v>
      </x:c>
      <x:c r="H85" t="n">
        <x:v>24</x:v>
      </x:c>
    </x:row>
    <x:row r="86">
      <x:c r="A86" s="80" t="str">
        <x:v>2026-06-15</x:v>
      </x:c>
      <x:c r="B86" t="str">
        <x:v>Organic Search</x:v>
      </x:c>
      <x:c r="C86" t="n">
        <x:v>716</x:v>
      </x:c>
      <x:c r="D86" t="n">
        <x:v>26</x:v>
      </x:c>
      <x:c r="E86" s="81" t="n">
        <x:v>2096.1</x:v>
      </x:c>
      <x:c r="F86" s="81" t="n">
        <x:v>1225.57</x:v>
      </x:c>
      <x:c r="G86" t="n">
        <x:v>1</x:v>
      </x:c>
      <x:c r="H86" t="n">
        <x:v>24</x:v>
      </x:c>
    </x:row>
    <x:row r="87">
      <x:c r="A87" s="80" t="str">
        <x:v>2026-06-15</x:v>
      </x:c>
      <x:c r="B87" t="str">
        <x:v>Paid Social</x:v>
      </x:c>
      <x:c r="C87" t="n">
        <x:v>601</x:v>
      </x:c>
      <x:c r="D87" t="n">
        <x:v>21</x:v>
      </x:c>
      <x:c r="E87" s="81" t="n">
        <x:v>1649.99</x:v>
      </x:c>
      <x:c r="F87" s="81" t="n">
        <x:v>931.75</x:v>
      </x:c>
      <x:c r="G87" t="n">
        <x:v>1</x:v>
      </x:c>
      <x:c r="H87" t="n">
        <x:v>19</x:v>
      </x:c>
    </x:row>
    <x:row r="88">
      <x:c r="A88" s="80" t="str">
        <x:v>2026-06-15</x:v>
      </x:c>
      <x:c r="B88" t="str">
        <x:v>Email</x:v>
      </x:c>
      <x:c r="C88" t="n">
        <x:v>550</x:v>
      </x:c>
      <x:c r="D88" t="n">
        <x:v>17</x:v>
      </x:c>
      <x:c r="E88" s="81" t="n">
        <x:v>1430.18</x:v>
      </x:c>
      <x:c r="F88" s="81" t="n">
        <x:v>820.71</x:v>
      </x:c>
      <x:c r="G88" t="n">
        <x:v>1</x:v>
      </x:c>
      <x:c r="H88" t="n">
        <x:v>16</x:v>
      </x:c>
    </x:row>
    <x:row r="89">
      <x:c r="A89" s="80" t="str">
        <x:v>2026-06-15</x:v>
      </x:c>
      <x:c r="B89" t="str">
        <x:v>Referral</x:v>
      </x:c>
      <x:c r="C89" t="n">
        <x:v>655</x:v>
      </x:c>
      <x:c r="D89" t="n">
        <x:v>21</x:v>
      </x:c>
      <x:c r="E89" s="81" t="n">
        <x:v>1651.69</x:v>
      </x:c>
      <x:c r="F89" s="81" t="n">
        <x:v>937.65</x:v>
      </x:c>
      <x:c r="G89" t="n">
        <x:v>1</x:v>
      </x:c>
      <x:c r="H89" t="n">
        <x:v>20</x:v>
      </x:c>
    </x:row>
    <x:row r="90">
      <x:c r="A90" s="80" t="str">
        <x:v>2026-06-16</x:v>
      </x:c>
      <x:c r="B90" t="str">
        <x:v>Organic Search</x:v>
      </x:c>
      <x:c r="C90" t="n">
        <x:v>755</x:v>
      </x:c>
      <x:c r="D90" t="n">
        <x:v>22</x:v>
      </x:c>
      <x:c r="E90" s="81" t="n">
        <x:v>1897.81</x:v>
      </x:c>
      <x:c r="F90" s="81" t="n">
        <x:v>1088.53</x:v>
      </x:c>
      <x:c r="G90" t="n">
        <x:v>1</x:v>
      </x:c>
      <x:c r="H90" t="n">
        <x:v>21</x:v>
      </x:c>
    </x:row>
    <x:row r="91">
      <x:c r="A91" s="80" t="str">
        <x:v>2026-06-16</x:v>
      </x:c>
      <x:c r="B91" t="str">
        <x:v>Paid Social</x:v>
      </x:c>
      <x:c r="C91" t="n">
        <x:v>565</x:v>
      </x:c>
      <x:c r="D91" t="n">
        <x:v>17</x:v>
      </x:c>
      <x:c r="E91" s="81" t="n">
        <x:v>1331.73</x:v>
      </x:c>
      <x:c r="F91" s="81" t="n">
        <x:v>763.83</x:v>
      </x:c>
      <x:c r="G91" t="n">
        <x:v>1</x:v>
      </x:c>
      <x:c r="H91" t="n">
        <x:v>16</x:v>
      </x:c>
    </x:row>
    <x:row r="92">
      <x:c r="A92" s="80" t="str">
        <x:v>2026-06-16</x:v>
      </x:c>
      <x:c r="B92" t="str">
        <x:v>Email</x:v>
      </x:c>
      <x:c r="C92" t="n">
        <x:v>391</x:v>
      </x:c>
      <x:c r="D92" t="n">
        <x:v>13</x:v>
      </x:c>
      <x:c r="E92" s="81" t="n">
        <x:v>989.9</x:v>
      </x:c>
      <x:c r="F92" s="81" t="n">
        <x:v>548.37</x:v>
      </x:c>
      <x:c r="G92" t="n">
        <x:v>1</x:v>
      </x:c>
      <x:c r="H92" t="n">
        <x:v>12</x:v>
      </x:c>
    </x:row>
    <x:row r="93">
      <x:c r="A93" s="80" t="str">
        <x:v>2026-06-16</x:v>
      </x:c>
      <x:c r="B93" t="str">
        <x:v>Referral</x:v>
      </x:c>
      <x:c r="C93" t="n">
        <x:v>513</x:v>
      </x:c>
      <x:c r="D93" t="n">
        <x:v>16</x:v>
      </x:c>
      <x:c r="E93" s="81" t="n">
        <x:v>1256.21</x:v>
      </x:c>
      <x:c r="F93" s="81" t="n">
        <x:v>726.08</x:v>
      </x:c>
      <x:c r="G93" t="n">
        <x:v>1</x:v>
      </x:c>
      <x:c r="H93" t="n">
        <x:v>15</x:v>
      </x:c>
    </x:row>
    <x:row r="94">
      <x:c r="A94" s="80" t="str">
        <x:v>2026-06-17</x:v>
      </x:c>
      <x:c r="B94" t="str">
        <x:v>Organic Search</x:v>
      </x:c>
      <x:c r="C94" t="n">
        <x:v>922</x:v>
      </x:c>
      <x:c r="D94" t="n">
        <x:v>28</x:v>
      </x:c>
      <x:c r="E94" s="81" t="n">
        <x:v>2468.41</x:v>
      </x:c>
      <x:c r="F94" s="81" t="n">
        <x:v>1401.6</x:v>
      </x:c>
      <x:c r="G94" t="n">
        <x:v>1</x:v>
      </x:c>
      <x:c r="H94" t="n">
        <x:v>26</x:v>
      </x:c>
    </x:row>
    <x:row r="95">
      <x:c r="A95" s="80" t="str">
        <x:v>2026-06-17</x:v>
      </x:c>
      <x:c r="B95" t="str">
        <x:v>Paid Social</x:v>
      </x:c>
      <x:c r="C95" t="n">
        <x:v>427</x:v>
      </x:c>
      <x:c r="D95" t="n">
        <x:v>15</x:v>
      </x:c>
      <x:c r="E95" s="81" t="n">
        <x:v>1313.39</x:v>
      </x:c>
      <x:c r="F95" s="81" t="n">
        <x:v>743.67</x:v>
      </x:c>
      <x:c r="G95" t="n">
        <x:v>1</x:v>
      </x:c>
      <x:c r="H95" t="n">
        <x:v>14</x:v>
      </x:c>
    </x:row>
    <x:row r="96">
      <x:c r="A96" s="80" t="str">
        <x:v>2026-06-17</x:v>
      </x:c>
      <x:c r="B96" t="str">
        <x:v>Email</x:v>
      </x:c>
      <x:c r="C96" t="n">
        <x:v>652</x:v>
      </x:c>
      <x:c r="D96" t="n">
        <x:v>23</x:v>
      </x:c>
      <x:c r="E96" s="81" t="n">
        <x:v>1802.21</x:v>
      </x:c>
      <x:c r="F96" s="81" t="n">
        <x:v>1000.52</x:v>
      </x:c>
      <x:c r="G96" t="n">
        <x:v>1</x:v>
      </x:c>
      <x:c r="H96" t="n">
        <x:v>22</x:v>
      </x:c>
    </x:row>
    <x:row r="97">
      <x:c r="A97" s="80" t="str">
        <x:v>2026-06-17</x:v>
      </x:c>
      <x:c r="B97" t="str">
        <x:v>Referral</x:v>
      </x:c>
      <x:c r="C97" t="n">
        <x:v>580</x:v>
      </x:c>
      <x:c r="D97" t="n">
        <x:v>18</x:v>
      </x:c>
      <x:c r="E97" s="81" t="n">
        <x:v>1549.62</x:v>
      </x:c>
      <x:c r="F97" s="81" t="n">
        <x:v>888.63</x:v>
      </x:c>
      <x:c r="G97" t="n">
        <x:v>1</x:v>
      </x:c>
      <x:c r="H97" t="n">
        <x:v>17</x:v>
      </x:c>
    </x:row>
    <x:row r="98">
      <x:c r="A98" s="80" t="str">
        <x:v>2026-06-18</x:v>
      </x:c>
      <x:c r="B98" t="str">
        <x:v>Organic Search</x:v>
      </x:c>
      <x:c r="C98" t="n">
        <x:v>628</x:v>
      </x:c>
      <x:c r="D98" t="n">
        <x:v>21</x:v>
      </x:c>
      <x:c r="E98" s="81" t="n">
        <x:v>1688.16</x:v>
      </x:c>
      <x:c r="F98" s="81" t="n">
        <x:v>943.31</x:v>
      </x:c>
      <x:c r="G98" t="n">
        <x:v>1</x:v>
      </x:c>
      <x:c r="H98" t="n">
        <x:v>20</x:v>
      </x:c>
    </x:row>
    <x:row r="99">
      <x:c r="A99" s="80" t="str">
        <x:v>2026-06-18</x:v>
      </x:c>
      <x:c r="B99" t="str">
        <x:v>Paid Social</x:v>
      </x:c>
      <x:c r="C99" t="n">
        <x:v>412</x:v>
      </x:c>
      <x:c r="D99" t="n">
        <x:v>14</x:v>
      </x:c>
      <x:c r="E99" s="81" t="n">
        <x:v>1091.48</x:v>
      </x:c>
      <x:c r="F99" s="81" t="n">
        <x:v>632.44</x:v>
      </x:c>
      <x:c r="G99" t="n">
        <x:v>1</x:v>
      </x:c>
      <x:c r="H99" t="n">
        <x:v>13</x:v>
      </x:c>
    </x:row>
    <x:row r="100">
      <x:c r="A100" s="80" t="str">
        <x:v>2026-06-18</x:v>
      </x:c>
      <x:c r="B100" t="str">
        <x:v>Email</x:v>
      </x:c>
      <x:c r="C100" t="n">
        <x:v>447</x:v>
      </x:c>
      <x:c r="D100" t="n">
        <x:v>16</x:v>
      </x:c>
      <x:c r="E100" s="81" t="n">
        <x:v>1325.69</x:v>
      </x:c>
      <x:c r="F100" s="81" t="n">
        <x:v>739.82</x:v>
      </x:c>
      <x:c r="G100" t="n">
        <x:v>1</x:v>
      </x:c>
      <x:c r="H100" t="n">
        <x:v>15</x:v>
      </x:c>
    </x:row>
    <x:row r="101">
      <x:c r="A101" s="80" t="str">
        <x:v>2026-06-18</x:v>
      </x:c>
      <x:c r="B101" t="str">
        <x:v>Referral</x:v>
      </x:c>
      <x:c r="C101" t="n">
        <x:v>703</x:v>
      </x:c>
      <x:c r="D101" t="n">
        <x:v>25</x:v>
      </x:c>
      <x:c r="E101" s="81" t="n">
        <x:v>2097.02</x:v>
      </x:c>
      <x:c r="F101" s="81" t="n">
        <x:v>1193.76</x:v>
      </x:c>
      <x:c r="G101" t="n">
        <x:v>1</x:v>
      </x:c>
      <x:c r="H101" t="n">
        <x:v>23</x:v>
      </x:c>
    </x:row>
    <x:row r="102">
      <x:c r="A102" s="80" t="str">
        <x:v>2026-06-19</x:v>
      </x:c>
      <x:c r="B102" t="str">
        <x:v>Organic Search</x:v>
      </x:c>
      <x:c r="C102" t="n">
        <x:v>659</x:v>
      </x:c>
      <x:c r="D102" t="n">
        <x:v>20</x:v>
      </x:c>
      <x:c r="E102" s="81" t="n">
        <x:v>1577.17</x:v>
      </x:c>
      <x:c r="F102" s="81" t="n">
        <x:v>903.35</x:v>
      </x:c>
      <x:c r="G102" t="n">
        <x:v>1</x:v>
      </x:c>
      <x:c r="H102" t="n">
        <x:v>19</x:v>
      </x:c>
    </x:row>
    <x:row r="103">
      <x:c r="A103" s="80" t="str">
        <x:v>2026-06-19</x:v>
      </x:c>
      <x:c r="B103" t="str">
        <x:v>Paid Social</x:v>
      </x:c>
      <x:c r="C103" t="n">
        <x:v>422</x:v>
      </x:c>
      <x:c r="D103" t="n">
        <x:v>15</x:v>
      </x:c>
      <x:c r="E103" s="81" t="n">
        <x:v>1314.99</x:v>
      </x:c>
      <x:c r="F103" s="81" t="n">
        <x:v>757.37</x:v>
      </x:c>
      <x:c r="G103" t="n">
        <x:v>1</x:v>
      </x:c>
      <x:c r="H103" t="n">
        <x:v>14</x:v>
      </x:c>
    </x:row>
    <x:row r="104">
      <x:c r="A104" s="80" t="str">
        <x:v>2026-06-19</x:v>
      </x:c>
      <x:c r="B104" t="str">
        <x:v>Email</x:v>
      </x:c>
      <x:c r="C104" t="n">
        <x:v>649</x:v>
      </x:c>
      <x:c r="D104" t="n">
        <x:v>19</x:v>
      </x:c>
      <x:c r="E104" s="81" t="n">
        <x:v>1560.78</x:v>
      </x:c>
      <x:c r="F104" s="81" t="n">
        <x:v>899.82</x:v>
      </x:c>
      <x:c r="G104" t="n">
        <x:v>1</x:v>
      </x:c>
      <x:c r="H104" t="n">
        <x:v>18</x:v>
      </x:c>
    </x:row>
    <x:row r="105">
      <x:c r="A105" s="80" t="str">
        <x:v>2026-06-19</x:v>
      </x:c>
      <x:c r="B105" t="str">
        <x:v>Referral</x:v>
      </x:c>
      <x:c r="C105" t="n">
        <x:v>557</x:v>
      </x:c>
      <x:c r="D105" t="n">
        <x:v>18</x:v>
      </x:c>
      <x:c r="E105" s="81" t="n">
        <x:v>1512.48</x:v>
      </x:c>
      <x:c r="F105" s="81" t="n">
        <x:v>853.52</x:v>
      </x:c>
      <x:c r="G105" t="n">
        <x:v>1</x:v>
      </x:c>
      <x:c r="H105" t="n">
        <x:v>17</x:v>
      </x:c>
    </x:row>
    <x:row r="106">
      <x:c r="A106" s="80" t="str">
        <x:v>2026-06-20</x:v>
      </x:c>
      <x:c r="B106" t="str">
        <x:v>Organic Search</x:v>
      </x:c>
      <x:c r="C106" t="n">
        <x:v>682</x:v>
      </x:c>
      <x:c r="D106" t="n">
        <x:v>24</x:v>
      </x:c>
      <x:c r="E106" s="81" t="n">
        <x:v>2114.13</x:v>
      </x:c>
      <x:c r="F106" s="81" t="n">
        <x:v>1213.76</x:v>
      </x:c>
      <x:c r="G106" t="n">
        <x:v>1</x:v>
      </x:c>
      <x:c r="H106" t="n">
        <x:v>23</x:v>
      </x:c>
    </x:row>
    <x:row r="107">
      <x:c r="A107" s="80" t="str">
        <x:v>2026-06-20</x:v>
      </x:c>
      <x:c r="B107" t="str">
        <x:v>Paid Social</x:v>
      </x:c>
      <x:c r="C107" t="n">
        <x:v>706</x:v>
      </x:c>
      <x:c r="D107" t="n">
        <x:v>23</x:v>
      </x:c>
      <x:c r="E107" s="81" t="n">
        <x:v>1849.45</x:v>
      </x:c>
      <x:c r="F107" s="81" t="n">
        <x:v>1080.93</x:v>
      </x:c>
      <x:c r="G107" t="n">
        <x:v>1</x:v>
      </x:c>
      <x:c r="H107" t="n">
        <x:v>22</x:v>
      </x:c>
    </x:row>
    <x:row r="108">
      <x:c r="A108" s="80" t="str">
        <x:v>2026-06-20</x:v>
      </x:c>
      <x:c r="B108" t="str">
        <x:v>Email</x:v>
      </x:c>
      <x:c r="C108" t="n">
        <x:v>498</x:v>
      </x:c>
      <x:c r="D108" t="n">
        <x:v>15</x:v>
      </x:c>
      <x:c r="E108" s="81" t="n">
        <x:v>1221.31</x:v>
      </x:c>
      <x:c r="F108" s="81" t="n">
        <x:v>702.24</x:v>
      </x:c>
      <x:c r="G108" t="n">
        <x:v>1</x:v>
      </x:c>
      <x:c r="H108" t="n">
        <x:v>14</x:v>
      </x:c>
    </x:row>
    <x:row r="109">
      <x:c r="A109" s="80" t="str">
        <x:v>2026-06-20</x:v>
      </x:c>
      <x:c r="B109" t="str">
        <x:v>Referral</x:v>
      </x:c>
      <x:c r="C109" t="n">
        <x:v>535</x:v>
      </x:c>
      <x:c r="D109" t="n">
        <x:v>18</x:v>
      </x:c>
      <x:c r="E109" s="81" t="n">
        <x:v>1606.62</x:v>
      </x:c>
      <x:c r="F109" s="81" t="n">
        <x:v>934.36</x:v>
      </x:c>
      <x:c r="G109" t="n">
        <x:v>1</x:v>
      </x:c>
      <x:c r="H109" t="n">
        <x:v>17</x:v>
      </x:c>
    </x:row>
    <x:row r="110">
      <x:c r="A110" s="80" t="str">
        <x:v>2026-06-21</x:v>
      </x:c>
      <x:c r="B110" t="str">
        <x:v>Organic Search</x:v>
      </x:c>
      <x:c r="C110" t="n">
        <x:v>882</x:v>
      </x:c>
      <x:c r="D110" t="n">
        <x:v>27</x:v>
      </x:c>
      <x:c r="E110" s="81" t="n">
        <x:v>2064.48</x:v>
      </x:c>
      <x:c r="F110" s="81" t="n">
        <x:v>1144.38</x:v>
      </x:c>
      <x:c r="G110" t="n">
        <x:v>1</x:v>
      </x:c>
      <x:c r="H110" t="n">
        <x:v>25</x:v>
      </x:c>
    </x:row>
    <x:row r="111">
      <x:c r="A111" s="80" t="str">
        <x:v>2026-06-21</x:v>
      </x:c>
      <x:c r="B111" t="str">
        <x:v>Paid Social</x:v>
      </x:c>
      <x:c r="C111" t="n">
        <x:v>706</x:v>
      </x:c>
      <x:c r="D111" t="n">
        <x:v>26</x:v>
      </x:c>
      <x:c r="E111" s="81" t="n">
        <x:v>1968.98</x:v>
      </x:c>
      <x:c r="F111" s="81" t="n">
        <x:v>1088.82</x:v>
      </x:c>
      <x:c r="G111" t="n">
        <x:v>1</x:v>
      </x:c>
      <x:c r="H111" t="n">
        <x:v>25</x:v>
      </x:c>
    </x:row>
    <x:row r="112">
      <x:c r="A112" s="80" t="str">
        <x:v>2026-06-21</x:v>
      </x:c>
      <x:c r="B112" t="str">
        <x:v>Email</x:v>
      </x:c>
      <x:c r="C112" t="n">
        <x:v>375</x:v>
      </x:c>
      <x:c r="D112" t="n">
        <x:v>14</x:v>
      </x:c>
      <x:c r="E112" s="81" t="n">
        <x:v>1249.76</x:v>
      </x:c>
      <x:c r="F112" s="81" t="n">
        <x:v>714.63</x:v>
      </x:c>
      <x:c r="G112" t="n">
        <x:v>0</x:v>
      </x:c>
      <x:c r="H112" t="n">
        <x:v>13</x:v>
      </x:c>
    </x:row>
    <x:row r="113">
      <x:c r="A113" s="80" t="str">
        <x:v>2026-06-21</x:v>
      </x:c>
      <x:c r="B113" t="str">
        <x:v>Referral</x:v>
      </x:c>
      <x:c r="C113" t="n">
        <x:v>400</x:v>
      </x:c>
      <x:c r="D113" t="n">
        <x:v>12</x:v>
      </x:c>
      <x:c r="E113" s="81" t="n">
        <x:v>1017.3</x:v>
      </x:c>
      <x:c r="F113" s="81" t="n">
        <x:v>571.59</x:v>
      </x:c>
      <x:c r="G113" t="n">
        <x:v>1</x:v>
      </x:c>
      <x:c r="H113" t="n">
        <x:v>11</x:v>
      </x:c>
    </x:row>
    <x:row r="114">
      <x:c r="A114" s="80" t="str">
        <x:v>2026-06-22</x:v>
      </x:c>
      <x:c r="B114" t="str">
        <x:v>Organic Search</x:v>
      </x:c>
      <x:c r="C114" t="n">
        <x:v>754</x:v>
      </x:c>
      <x:c r="D114" t="n">
        <x:v>25</x:v>
      </x:c>
      <x:c r="E114" s="81" t="n">
        <x:v>1997.72</x:v>
      </x:c>
      <x:c r="F114" s="81" t="n">
        <x:v>1122.7</x:v>
      </x:c>
      <x:c r="G114" t="n">
        <x:v>1</x:v>
      </x:c>
      <x:c r="H114" t="n">
        <x:v>24</x:v>
      </x:c>
    </x:row>
    <x:row r="115">
      <x:c r="A115" s="80" t="str">
        <x:v>2026-06-22</x:v>
      </x:c>
      <x:c r="B115" t="str">
        <x:v>Paid Social</x:v>
      </x:c>
      <x:c r="C115" t="n">
        <x:v>601</x:v>
      </x:c>
      <x:c r="D115" t="n">
        <x:v>22</x:v>
      </x:c>
      <x:c r="E115" s="81" t="n">
        <x:v>1871.07</x:v>
      </x:c>
      <x:c r="F115" s="81" t="n">
        <x:v>1086.44</x:v>
      </x:c>
      <x:c r="G115" t="n">
        <x:v>1</x:v>
      </x:c>
      <x:c r="H115" t="n">
        <x:v>21</x:v>
      </x:c>
    </x:row>
    <x:row r="116">
      <x:c r="A116" s="80" t="str">
        <x:v>2026-06-22</x:v>
      </x:c>
      <x:c r="B116" t="str">
        <x:v>Email</x:v>
      </x:c>
      <x:c r="C116" t="n">
        <x:v>504</x:v>
      </x:c>
      <x:c r="D116" t="n">
        <x:v>16</x:v>
      </x:c>
      <x:c r="E116" s="81" t="n">
        <x:v>1389.31</x:v>
      </x:c>
      <x:c r="F116" s="81" t="n">
        <x:v>803.7</x:v>
      </x:c>
      <x:c r="G116" t="n">
        <x:v>1</x:v>
      </x:c>
      <x:c r="H116" t="n">
        <x:v>15</x:v>
      </x:c>
    </x:row>
    <x:row r="117">
      <x:c r="A117" s="80" t="str">
        <x:v>2026-06-22</x:v>
      </x:c>
      <x:c r="B117" t="str">
        <x:v>Referral</x:v>
      </x:c>
      <x:c r="C117" t="n">
        <x:v>637</x:v>
      </x:c>
      <x:c r="D117" t="n">
        <x:v>23</x:v>
      </x:c>
      <x:c r="E117" s="81" t="n">
        <x:v>1749.86</x:v>
      </x:c>
      <x:c r="F117" s="81" t="n">
        <x:v>990.91</x:v>
      </x:c>
      <x:c r="G117" t="n">
        <x:v>1</x:v>
      </x:c>
      <x:c r="H117" t="n">
        <x:v>22</x:v>
      </x:c>
    </x:row>
    <x:row r="118">
      <x:c r="A118" s="80" t="str">
        <x:v>2026-06-23</x:v>
      </x:c>
      <x:c r="B118" t="str">
        <x:v>Organic Search</x:v>
      </x:c>
      <x:c r="C118" t="n">
        <x:v>792</x:v>
      </x:c>
      <x:c r="D118" t="n">
        <x:v>23</x:v>
      </x:c>
      <x:c r="E118" s="81" t="n">
        <x:v>2047.48</x:v>
      </x:c>
      <x:c r="F118" s="81" t="n">
        <x:v>1164.72</x:v>
      </x:c>
      <x:c r="G118" t="n">
        <x:v>1</x:v>
      </x:c>
      <x:c r="H118" t="n">
        <x:v>21</x:v>
      </x:c>
    </x:row>
    <x:row r="119">
      <x:c r="A119" s="80" t="str">
        <x:v>2026-06-23</x:v>
      </x:c>
      <x:c r="B119" t="str">
        <x:v>Paid Social</x:v>
      </x:c>
      <x:c r="C119" t="n">
        <x:v>616</x:v>
      </x:c>
      <x:c r="D119" t="n">
        <x:v>19</x:v>
      </x:c>
      <x:c r="E119" s="81" t="n">
        <x:v>1495.77</x:v>
      </x:c>
      <x:c r="F119" s="81" t="n">
        <x:v>871.96</x:v>
      </x:c>
      <x:c r="G119" t="n">
        <x:v>1</x:v>
      </x:c>
      <x:c r="H119" t="n">
        <x:v>18</x:v>
      </x:c>
    </x:row>
    <x:row r="120">
      <x:c r="A120" s="80" t="str">
        <x:v>2026-06-23</x:v>
      </x:c>
      <x:c r="B120" t="str">
        <x:v>Email</x:v>
      </x:c>
      <x:c r="C120" t="n">
        <x:v>498</x:v>
      </x:c>
      <x:c r="D120" t="n">
        <x:v>16</x:v>
      </x:c>
      <x:c r="E120" s="81" t="n">
        <x:v>1286.2</x:v>
      </x:c>
      <x:c r="F120" s="81" t="n">
        <x:v>752.13</x:v>
      </x:c>
      <x:c r="G120" t="n">
        <x:v>1</x:v>
      </x:c>
      <x:c r="H120" t="n">
        <x:v>15</x:v>
      </x:c>
    </x:row>
    <x:row r="121">
      <x:c r="A121" s="80" t="str">
        <x:v>2026-06-23</x:v>
      </x:c>
      <x:c r="B121" t="str">
        <x:v>Referral</x:v>
      </x:c>
      <x:c r="C121" t="n">
        <x:v>749</x:v>
      </x:c>
      <x:c r="D121" t="n">
        <x:v>23</x:v>
      </x:c>
      <x:c r="E121" s="81" t="n">
        <x:v>1902.83</x:v>
      </x:c>
      <x:c r="F121" s="81" t="n">
        <x:v>1116.48</x:v>
      </x:c>
      <x:c r="G121" t="n">
        <x:v>1</x:v>
      </x:c>
      <x:c r="H121" t="n">
        <x:v>21</x:v>
      </x:c>
    </x:row>
    <x:row r="122">
      <x:c r="A122" s="80" t="str">
        <x:v>2026-06-24</x:v>
      </x:c>
      <x:c r="B122" t="str">
        <x:v>Organic Search</x:v>
      </x:c>
      <x:c r="C122" t="n">
        <x:v>917</x:v>
      </x:c>
      <x:c r="D122" t="n">
        <x:v>33</x:v>
      </x:c>
      <x:c r="E122" s="81" t="n">
        <x:v>2627.18</x:v>
      </x:c>
      <x:c r="F122" s="81" t="n">
        <x:v>1462.27</x:v>
      </x:c>
      <x:c r="G122" t="n">
        <x:v>2</x:v>
      </x:c>
      <x:c r="H122" t="n">
        <x:v>32</x:v>
      </x:c>
    </x:row>
    <x:row r="123">
      <x:c r="A123" s="80" t="str">
        <x:v>2026-06-24</x:v>
      </x:c>
      <x:c r="B123" t="str">
        <x:v>Paid Social</x:v>
      </x:c>
      <x:c r="C123" t="n">
        <x:v>560</x:v>
      </x:c>
      <x:c r="D123" t="n">
        <x:v>16</x:v>
      </x:c>
      <x:c r="E123" s="81" t="n">
        <x:v>1424.49</x:v>
      </x:c>
      <x:c r="F123" s="81" t="n">
        <x:v>826.81</x:v>
      </x:c>
      <x:c r="G123" t="n">
        <x:v>1</x:v>
      </x:c>
      <x:c r="H123" t="n">
        <x:v>15</x:v>
      </x:c>
    </x:row>
    <x:row r="124">
      <x:c r="A124" s="80" t="str">
        <x:v>2026-06-24</x:v>
      </x:c>
      <x:c r="B124" t="str">
        <x:v>Email</x:v>
      </x:c>
      <x:c r="C124" t="n">
        <x:v>576</x:v>
      </x:c>
      <x:c r="D124" t="n">
        <x:v>21</x:v>
      </x:c>
      <x:c r="E124" s="81" t="n">
        <x:v>1834.92</x:v>
      </x:c>
      <x:c r="F124" s="81" t="n">
        <x:v>1018.04</x:v>
      </x:c>
      <x:c r="G124" t="n">
        <x:v>1</x:v>
      </x:c>
      <x:c r="H124" t="n">
        <x:v>20</x:v>
      </x:c>
    </x:row>
    <x:row r="125">
      <x:c r="A125" s="80" t="str">
        <x:v>2026-06-24</x:v>
      </x:c>
      <x:c r="B125" t="str">
        <x:v>Referral</x:v>
      </x:c>
      <x:c r="C125" t="n">
        <x:v>657</x:v>
      </x:c>
      <x:c r="D125" t="n">
        <x:v>21</x:v>
      </x:c>
      <x:c r="E125" s="81" t="n">
        <x:v>1848.77</x:v>
      </x:c>
      <x:c r="F125" s="81" t="n">
        <x:v>1035.81</x:v>
      </x:c>
      <x:c r="G125" t="n">
        <x:v>1</x:v>
      </x:c>
      <x:c r="H125" t="n">
        <x:v>20</x:v>
      </x:c>
    </x:row>
    <x:row r="126">
      <x:c r="A126" s="80" t="str">
        <x:v>2026-06-25</x:v>
      </x:c>
      <x:c r="B126" t="str">
        <x:v>Organic Search</x:v>
      </x:c>
      <x:c r="C126" t="n">
        <x:v>582</x:v>
      </x:c>
      <x:c r="D126" t="n">
        <x:v>21</x:v>
      </x:c>
      <x:c r="E126" s="81" t="n">
        <x:v>1715.9</x:v>
      </x:c>
      <x:c r="F126" s="81" t="n">
        <x:v>994.7</x:v>
      </x:c>
      <x:c r="G126" t="n">
        <x:v>1</x:v>
      </x:c>
      <x:c r="H126" t="n">
        <x:v>20</x:v>
      </x:c>
    </x:row>
    <x:row r="127">
      <x:c r="A127" s="80" t="str">
        <x:v>2026-06-25</x:v>
      </x:c>
      <x:c r="B127" t="str">
        <x:v>Paid Social</x:v>
      </x:c>
      <x:c r="C127" t="n">
        <x:v>425</x:v>
      </x:c>
      <x:c r="D127" t="n">
        <x:v>13</x:v>
      </x:c>
      <x:c r="E127" s="81" t="n">
        <x:v>1157.86</x:v>
      </x:c>
      <x:c r="F127" s="81" t="n">
        <x:v>649.29</x:v>
      </x:c>
      <x:c r="G127" t="n">
        <x:v>1</x:v>
      </x:c>
      <x:c r="H127" t="n">
        <x:v>12</x:v>
      </x:c>
    </x:row>
    <x:row r="128">
      <x:c r="A128" s="80" t="str">
        <x:v>2026-06-25</x:v>
      </x:c>
      <x:c r="B128" t="str">
        <x:v>Email</x:v>
      </x:c>
      <x:c r="C128" t="n">
        <x:v>746</x:v>
      </x:c>
      <x:c r="D128" t="n">
        <x:v>27</x:v>
      </x:c>
      <x:c r="E128" s="81" t="n">
        <x:v>2318.42</x:v>
      </x:c>
      <x:c r="F128" s="81" t="n">
        <x:v>1331.29</x:v>
      </x:c>
      <x:c r="G128" t="n">
        <x:v>1</x:v>
      </x:c>
      <x:c r="H128" t="n">
        <x:v>26</x:v>
      </x:c>
    </x:row>
    <x:row r="129">
      <x:c r="A129" s="80" t="str">
        <x:v>2026-06-25</x:v>
      </x:c>
      <x:c r="B129" t="str">
        <x:v>Referral</x:v>
      </x:c>
      <x:c r="C129" t="n">
        <x:v>689</x:v>
      </x:c>
      <x:c r="D129" t="n">
        <x:v>21</x:v>
      </x:c>
      <x:c r="E129" s="81" t="n">
        <x:v>1673.56</x:v>
      </x:c>
      <x:c r="F129" s="81" t="n">
        <x:v>981.53</x:v>
      </x:c>
      <x:c r="G129" t="n">
        <x:v>1</x:v>
      </x:c>
      <x:c r="H129" t="n">
        <x:v>20</x:v>
      </x:c>
    </x:row>
    <x:row r="130">
      <x:c r="A130" s="80" t="str">
        <x:v>2026-06-26</x:v>
      </x:c>
      <x:c r="B130" t="str">
        <x:v>Organic Search</x:v>
      </x:c>
      <x:c r="C130" t="n">
        <x:v>939</x:v>
      </x:c>
      <x:c r="D130" t="n">
        <x:v>30</x:v>
      </x:c>
      <x:c r="E130" s="81" t="n">
        <x:v>2309.68</x:v>
      </x:c>
      <x:c r="F130" s="81" t="n">
        <x:v>1291.56</x:v>
      </x:c>
      <x:c r="G130" t="n">
        <x:v>1</x:v>
      </x:c>
      <x:c r="H130" t="n">
        <x:v>29</x:v>
      </x:c>
    </x:row>
    <x:row r="131">
      <x:c r="A131" s="80" t="str">
        <x:v>2026-06-26</x:v>
      </x:c>
      <x:c r="B131" t="str">
        <x:v>Paid Social</x:v>
      </x:c>
      <x:c r="C131" t="n">
        <x:v>380</x:v>
      </x:c>
      <x:c r="D131" t="n">
        <x:v>12</x:v>
      </x:c>
      <x:c r="E131" s="81" t="n">
        <x:v>991.37</x:v>
      </x:c>
      <x:c r="F131" s="81" t="n">
        <x:v>574.42</x:v>
      </x:c>
      <x:c r="G131" t="n">
        <x:v>1</x:v>
      </x:c>
      <x:c r="H131" t="n">
        <x:v>11</x:v>
      </x:c>
    </x:row>
    <x:row r="132">
      <x:c r="A132" s="80" t="str">
        <x:v>2026-06-26</x:v>
      </x:c>
      <x:c r="B132" t="str">
        <x:v>Email</x:v>
      </x:c>
      <x:c r="C132" t="n">
        <x:v>437</x:v>
      </x:c>
      <x:c r="D132" t="n">
        <x:v>15</x:v>
      </x:c>
      <x:c r="E132" s="81" t="n">
        <x:v>1161.78</x:v>
      </x:c>
      <x:c r="F132" s="81" t="n">
        <x:v>642.46</x:v>
      </x:c>
      <x:c r="G132" t="n">
        <x:v>1</x:v>
      </x:c>
      <x:c r="H132" t="n">
        <x:v>14</x:v>
      </x:c>
    </x:row>
    <x:row r="133">
      <x:c r="A133" s="80" t="str">
        <x:v>2026-06-26</x:v>
      </x:c>
      <x:c r="B133" t="str">
        <x:v>Referral</x:v>
      </x:c>
      <x:c r="C133" t="n">
        <x:v>570</x:v>
      </x:c>
      <x:c r="D133" t="n">
        <x:v>19</x:v>
      </x:c>
      <x:c r="E133" s="81" t="n">
        <x:v>1450.83</x:v>
      </x:c>
      <x:c r="F133" s="81" t="n">
        <x:v>839.6</x:v>
      </x:c>
      <x:c r="G133" t="n">
        <x:v>1</x:v>
      </x:c>
      <x:c r="H133" t="n">
        <x:v>18</x:v>
      </x:c>
    </x:row>
    <x:row r="134">
      <x:c r="A134" s="80" t="str">
        <x:v>2026-06-27</x:v>
      </x:c>
      <x:c r="B134" t="str">
        <x:v>Organic Search</x:v>
      </x:c>
      <x:c r="C134" t="n">
        <x:v>896</x:v>
      </x:c>
      <x:c r="D134" t="n">
        <x:v>28</x:v>
      </x:c>
      <x:c r="E134" s="81" t="n">
        <x:v>2369.95</x:v>
      </x:c>
      <x:c r="F134" s="81" t="n">
        <x:v>1368.39</x:v>
      </x:c>
      <x:c r="G134" t="n">
        <x:v>1</x:v>
      </x:c>
      <x:c r="H134" t="n">
        <x:v>27</x:v>
      </x:c>
    </x:row>
    <x:row r="135">
      <x:c r="A135" s="80" t="str">
        <x:v>2026-06-27</x:v>
      </x:c>
      <x:c r="B135" t="str">
        <x:v>Paid Social</x:v>
      </x:c>
      <x:c r="C135" t="n">
        <x:v>601</x:v>
      </x:c>
      <x:c r="D135" t="n">
        <x:v>20</x:v>
      </x:c>
      <x:c r="E135" s="81" t="n">
        <x:v>1498.56</x:v>
      </x:c>
      <x:c r="F135" s="81" t="n">
        <x:v>859.42</x:v>
      </x:c>
      <x:c r="G135" t="n">
        <x:v>1</x:v>
      </x:c>
      <x:c r="H135" t="n">
        <x:v>19</x:v>
      </x:c>
    </x:row>
    <x:row r="136">
      <x:c r="A136" s="80" t="str">
        <x:v>2026-06-27</x:v>
      </x:c>
      <x:c r="B136" t="str">
        <x:v>Email</x:v>
      </x:c>
      <x:c r="C136" t="n">
        <x:v>601</x:v>
      </x:c>
      <x:c r="D136" t="n">
        <x:v>22</x:v>
      </x:c>
      <x:c r="E136" s="81" t="n">
        <x:v>1838.94</x:v>
      </x:c>
      <x:c r="F136" s="81" t="n">
        <x:v>1047.22</x:v>
      </x:c>
      <x:c r="G136" t="n">
        <x:v>1</x:v>
      </x:c>
      <x:c r="H136" t="n">
        <x:v>21</x:v>
      </x:c>
    </x:row>
    <x:row r="137">
      <x:c r="A137" s="80" t="str">
        <x:v>2026-06-27</x:v>
      </x:c>
      <x:c r="B137" t="str">
        <x:v>Referral</x:v>
      </x:c>
      <x:c r="C137" t="n">
        <x:v>695</x:v>
      </x:c>
      <x:c r="D137" t="n">
        <x:v>21</x:v>
      </x:c>
      <x:c r="E137" s="81" t="n">
        <x:v>1683.44</x:v>
      </x:c>
      <x:c r="F137" s="81" t="n">
        <x:v>965.18</x:v>
      </x:c>
      <x:c r="G137" t="n">
        <x:v>1</x:v>
      </x:c>
      <x:c r="H137" t="n">
        <x:v>20</x:v>
      </x:c>
    </x:row>
    <x:row r="138">
      <x:c r="A138" s="80" t="str">
        <x:v>2026-06-28</x:v>
      </x:c>
      <x:c r="B138" t="str">
        <x:v>Organic Search</x:v>
      </x:c>
      <x:c r="C138" t="n">
        <x:v>567</x:v>
      </x:c>
      <x:c r="D138" t="n">
        <x:v>19</x:v>
      </x:c>
      <x:c r="E138" s="81" t="n">
        <x:v>1437.87</x:v>
      </x:c>
      <x:c r="F138" s="81" t="n">
        <x:v>795.82</x:v>
      </x:c>
      <x:c r="G138" t="n">
        <x:v>1</x:v>
      </x:c>
      <x:c r="H138" t="n">
        <x:v>18</x:v>
      </x:c>
    </x:row>
    <x:row r="139">
      <x:c r="A139" s="80" t="str">
        <x:v>2026-06-28</x:v>
      </x:c>
      <x:c r="B139" t="str">
        <x:v>Paid Social</x:v>
      </x:c>
      <x:c r="C139" t="n">
        <x:v>499</x:v>
      </x:c>
      <x:c r="D139" t="n">
        <x:v>17</x:v>
      </x:c>
      <x:c r="E139" s="81" t="n">
        <x:v>1520.92</x:v>
      </x:c>
      <x:c r="F139" s="81" t="n">
        <x:v>843.04</x:v>
      </x:c>
      <x:c r="G139" t="n">
        <x:v>1</x:v>
      </x:c>
      <x:c r="H139" t="n">
        <x:v>16</x:v>
      </x:c>
    </x:row>
    <x:row r="140">
      <x:c r="A140" s="80" t="str">
        <x:v>2026-06-28</x:v>
      </x:c>
      <x:c r="B140" t="str">
        <x:v>Email</x:v>
      </x:c>
      <x:c r="C140" t="n">
        <x:v>525</x:v>
      </x:c>
      <x:c r="D140" t="n">
        <x:v>16</x:v>
      </x:c>
      <x:c r="E140" s="81" t="n">
        <x:v>1205.98</x:v>
      </x:c>
      <x:c r="F140" s="81" t="n">
        <x:v>675.54</x:v>
      </x:c>
      <x:c r="G140" t="n">
        <x:v>1</x:v>
      </x:c>
      <x:c r="H140" t="n">
        <x:v>15</x:v>
      </x:c>
    </x:row>
    <x:row r="141">
      <x:c r="A141" s="80" t="str">
        <x:v>2026-06-28</x:v>
      </x:c>
      <x:c r="B141" t="str">
        <x:v>Referral</x:v>
      </x:c>
      <x:c r="C141" t="n">
        <x:v>756</x:v>
      </x:c>
      <x:c r="D141" t="n">
        <x:v>26</x:v>
      </x:c>
      <x:c r="E141" s="81" t="n">
        <x:v>1953.95</x:v>
      </x:c>
      <x:c r="F141" s="81" t="n">
        <x:v>1129.08</x:v>
      </x:c>
      <x:c r="G141" t="n">
        <x:v>1</x:v>
      </x:c>
      <x:c r="H141" t="n">
        <x:v>25</x:v>
      </x:c>
    </x:row>
    <x:row r="142">
      <x:c r="A142" s="80" t="str">
        <x:v>2026-06-29</x:v>
      </x:c>
      <x:c r="B142" t="str">
        <x:v>Organic Search</x:v>
      </x:c>
      <x:c r="C142" t="n">
        <x:v>654</x:v>
      </x:c>
      <x:c r="D142" t="n">
        <x:v>20</x:v>
      </x:c>
      <x:c r="E142" s="81" t="n">
        <x:v>1513.54</x:v>
      </x:c>
      <x:c r="F142" s="81" t="n">
        <x:v>847.68</x:v>
      </x:c>
      <x:c r="G142" t="n">
        <x:v>1</x:v>
      </x:c>
      <x:c r="H142" t="n">
        <x:v>19</x:v>
      </x:c>
    </x:row>
    <x:row r="143">
      <x:c r="A143" s="80" t="str">
        <x:v>2026-06-29</x:v>
      </x:c>
      <x:c r="B143" t="str">
        <x:v>Paid Social</x:v>
      </x:c>
      <x:c r="C143" t="n">
        <x:v>648</x:v>
      </x:c>
      <x:c r="D143" t="n">
        <x:v>24</x:v>
      </x:c>
      <x:c r="E143" s="81" t="n">
        <x:v>1933.26</x:v>
      </x:c>
      <x:c r="F143" s="81" t="n">
        <x:v>1127.32</x:v>
      </x:c>
      <x:c r="G143" t="n">
        <x:v>1</x:v>
      </x:c>
      <x:c r="H143" t="n">
        <x:v>22</x:v>
      </x:c>
    </x:row>
    <x:row r="144">
      <x:c r="A144" s="80" t="str">
        <x:v>2026-06-29</x:v>
      </x:c>
      <x:c r="B144" t="str">
        <x:v>Email</x:v>
      </x:c>
      <x:c r="C144" t="n">
        <x:v>400</x:v>
      </x:c>
      <x:c r="D144" t="n">
        <x:v>12</x:v>
      </x:c>
      <x:c r="E144" s="81" t="n">
        <x:v>921.09</x:v>
      </x:c>
      <x:c r="F144" s="81" t="n">
        <x:v>534.75</x:v>
      </x:c>
      <x:c r="G144" t="n">
        <x:v>1</x:v>
      </x:c>
      <x:c r="H144" t="n">
        <x:v>11</x:v>
      </x:c>
    </x:row>
    <x:row r="145">
      <x:c r="A145" s="80" t="str">
        <x:v>2026-06-29</x:v>
      </x:c>
      <x:c r="B145" t="str">
        <x:v>Referral</x:v>
      </x:c>
      <x:c r="C145" t="n">
        <x:v>660</x:v>
      </x:c>
      <x:c r="D145" t="n">
        <x:v>21</x:v>
      </x:c>
      <x:c r="E145" s="81" t="n">
        <x:v>1820.1</x:v>
      </x:c>
      <x:c r="F145" s="81" t="n">
        <x:v>1068.48</x:v>
      </x:c>
      <x:c r="G145" t="n">
        <x:v>1</x:v>
      </x:c>
      <x:c r="H145" t="n">
        <x:v>20</x:v>
      </x:c>
    </x:row>
    <x:row r="146">
      <x:c r="A146" s="80" t="str">
        <x:v>2026-06-30</x:v>
      </x:c>
      <x:c r="B146" t="str">
        <x:v>Organic Search</x:v>
      </x:c>
      <x:c r="C146" t="n">
        <x:v>626</x:v>
      </x:c>
      <x:c r="D146" t="n">
        <x:v>22</x:v>
      </x:c>
      <x:c r="E146" s="81" t="n">
        <x:v>1781.27</x:v>
      </x:c>
      <x:c r="F146" s="81" t="n">
        <x:v>990.01</x:v>
      </x:c>
      <x:c r="G146" t="n">
        <x:v>1</x:v>
      </x:c>
      <x:c r="H146" t="n">
        <x:v>21</x:v>
      </x:c>
    </x:row>
    <x:row r="147">
      <x:c r="A147" s="80" t="str">
        <x:v>2026-06-30</x:v>
      </x:c>
      <x:c r="B147" t="str">
        <x:v>Paid Social</x:v>
      </x:c>
      <x:c r="C147" t="n">
        <x:v>431</x:v>
      </x:c>
      <x:c r="D147" t="n">
        <x:v>13</x:v>
      </x:c>
      <x:c r="E147" s="81" t="n">
        <x:v>1130.77</x:v>
      </x:c>
      <x:c r="F147" s="81" t="n">
        <x:v>639.54</x:v>
      </x:c>
      <x:c r="G147" t="n">
        <x:v>1</x:v>
      </x:c>
      <x:c r="H147" t="n">
        <x:v>12</x:v>
      </x:c>
    </x:row>
    <x:row r="148">
      <x:c r="A148" s="80" t="str">
        <x:v>2026-06-30</x:v>
      </x:c>
      <x:c r="B148" t="str">
        <x:v>Email</x:v>
      </x:c>
      <x:c r="C148" t="n">
        <x:v>636</x:v>
      </x:c>
      <x:c r="D148" t="n">
        <x:v>22</x:v>
      </x:c>
      <x:c r="E148" s="81" t="n">
        <x:v>1786.22</x:v>
      </x:c>
      <x:c r="F148" s="81" t="n">
        <x:v>1048.26</x:v>
      </x:c>
      <x:c r="G148" t="n">
        <x:v>1</x:v>
      </x:c>
      <x:c r="H148" t="n">
        <x:v>21</x:v>
      </x:c>
    </x:row>
    <x:row r="149">
      <x:c r="A149" s="80" t="str">
        <x:v>2026-06-30</x:v>
      </x:c>
      <x:c r="B149" t="str">
        <x:v>Referral</x:v>
      </x:c>
      <x:c r="C149" t="n">
        <x:v>435</x:v>
      </x:c>
      <x:c r="D149" t="n">
        <x:v>13</x:v>
      </x:c>
      <x:c r="E149" s="81" t="n">
        <x:v>997.03</x:v>
      </x:c>
      <x:c r="F149" s="81" t="n">
        <x:v>556.23</x:v>
      </x:c>
      <x:c r="G149" t="n">
        <x:v>1</x:v>
      </x:c>
      <x:c r="H149" t="n">
        <x:v>12</x:v>
      </x:c>
    </x:row>
    <x:row r="150">
      <x:c r="A150" s="80" t="str">
        <x:v>2026-07-01</x:v>
      </x:c>
      <x:c r="B150" t="str">
        <x:v>Organic Search</x:v>
      </x:c>
      <x:c r="C150" t="n">
        <x:v>609</x:v>
      </x:c>
      <x:c r="D150" t="n">
        <x:v>18</x:v>
      </x:c>
      <x:c r="E150" s="81" t="n">
        <x:v>1588.32</x:v>
      </x:c>
      <x:c r="F150" s="81" t="n">
        <x:v>927.07</x:v>
      </x:c>
      <x:c r="G150" t="n">
        <x:v>1</x:v>
      </x:c>
      <x:c r="H150" t="n">
        <x:v>17</x:v>
      </x:c>
    </x:row>
    <x:row r="151">
      <x:c r="A151" s="80" t="str">
        <x:v>2026-07-01</x:v>
      </x:c>
      <x:c r="B151" t="str">
        <x:v>Paid Social</x:v>
      </x:c>
      <x:c r="C151" t="n">
        <x:v>420</x:v>
      </x:c>
      <x:c r="D151" t="n">
        <x:v>13</x:v>
      </x:c>
      <x:c r="E151" s="81" t="n">
        <x:v>1125.33</x:v>
      </x:c>
      <x:c r="F151" s="81" t="n">
        <x:v>635.1</x:v>
      </x:c>
      <x:c r="G151" t="n">
        <x:v>1</x:v>
      </x:c>
      <x:c r="H151" t="n">
        <x:v>13</x:v>
      </x:c>
    </x:row>
    <x:row r="152">
      <x:c r="A152" s="80" t="str">
        <x:v>2026-07-01</x:v>
      </x:c>
      <x:c r="B152" t="str">
        <x:v>Email</x:v>
      </x:c>
      <x:c r="C152" t="n">
        <x:v>388</x:v>
      </x:c>
      <x:c r="D152" t="n">
        <x:v>11</x:v>
      </x:c>
      <x:c r="E152" s="81" t="n">
        <x:v>898.92</x:v>
      </x:c>
      <x:c r="F152" s="81" t="n">
        <x:v>520.12</x:v>
      </x:c>
      <x:c r="G152" t="n">
        <x:v>0</x:v>
      </x:c>
      <x:c r="H152" t="n">
        <x:v>10</x:v>
      </x:c>
    </x:row>
    <x:row r="153">
      <x:c r="A153" s="80" t="str">
        <x:v>2026-07-01</x:v>
      </x:c>
      <x:c r="B153" t="str">
        <x:v>Referral</x:v>
      </x:c>
      <x:c r="C153" t="n">
        <x:v>380</x:v>
      </x:c>
      <x:c r="D153" t="n">
        <x:v>13</x:v>
      </x:c>
      <x:c r="E153" s="81" t="n">
        <x:v>1041.01</x:v>
      </x:c>
      <x:c r="F153" s="81" t="n">
        <x:v>575.36</x:v>
      </x:c>
      <x:c r="G153" t="n">
        <x:v>0</x:v>
      </x:c>
      <x:c r="H153" t="n">
        <x:v>12</x:v>
      </x:c>
    </x:row>
    <x:row r="154">
      <x:c r="A154" s="80" t="str">
        <x:v>2026-07-02</x:v>
      </x:c>
      <x:c r="B154" t="str">
        <x:v>Organic Search</x:v>
      </x:c>
      <x:c r="C154" t="n">
        <x:v>845</x:v>
      </x:c>
      <x:c r="D154" t="n">
        <x:v>31</x:v>
      </x:c>
      <x:c r="E154" s="81" t="n">
        <x:v>2716.07</x:v>
      </x:c>
      <x:c r="F154" s="81" t="n">
        <x:v>1522.54</x:v>
      </x:c>
      <x:c r="G154" t="n">
        <x:v>1</x:v>
      </x:c>
      <x:c r="H154" t="n">
        <x:v>29</x:v>
      </x:c>
    </x:row>
    <x:row r="155">
      <x:c r="A155" s="80" t="str">
        <x:v>2026-07-02</x:v>
      </x:c>
      <x:c r="B155" t="str">
        <x:v>Paid Social</x:v>
      </x:c>
      <x:c r="C155" t="n">
        <x:v>487</x:v>
      </x:c>
      <x:c r="D155" t="n">
        <x:v>15</x:v>
      </x:c>
      <x:c r="E155" s="81" t="n">
        <x:v>1148.93</x:v>
      </x:c>
      <x:c r="F155" s="81" t="n">
        <x:v>666.86</x:v>
      </x:c>
      <x:c r="G155" t="n">
        <x:v>1</x:v>
      </x:c>
      <x:c r="H155" t="n">
        <x:v>14</x:v>
      </x:c>
    </x:row>
    <x:row r="156">
      <x:c r="A156" s="80" t="str">
        <x:v>2026-07-02</x:v>
      </x:c>
      <x:c r="B156" t="str">
        <x:v>Email</x:v>
      </x:c>
      <x:c r="C156" t="n">
        <x:v>612</x:v>
      </x:c>
      <x:c r="D156" t="n">
        <x:v>19</x:v>
      </x:c>
      <x:c r="E156" s="81" t="n">
        <x:v>1510.55</x:v>
      </x:c>
      <x:c r="F156" s="81" t="n">
        <x:v>872.12</x:v>
      </x:c>
      <x:c r="G156" t="n">
        <x:v>1</x:v>
      </x:c>
      <x:c r="H156" t="n">
        <x:v>18</x:v>
      </x:c>
    </x:row>
    <x:row r="157">
      <x:c r="A157" s="80" t="str">
        <x:v>2026-07-02</x:v>
      </x:c>
      <x:c r="B157" t="str">
        <x:v>Referral</x:v>
      </x:c>
      <x:c r="C157" t="n">
        <x:v>614</x:v>
      </x:c>
      <x:c r="D157" t="n">
        <x:v>22</x:v>
      </x:c>
      <x:c r="E157" s="81" t="n">
        <x:v>1908.72</x:v>
      </x:c>
      <x:c r="F157" s="81" t="n">
        <x:v>1070.34</x:v>
      </x:c>
      <x:c r="G157" t="n">
        <x:v>1</x:v>
      </x:c>
      <x:c r="H157" t="n">
        <x:v>20</x:v>
      </x:c>
    </x:row>
    <x:row r="158">
      <x:c r="A158" s="80" t="str">
        <x:v>2026-07-03</x:v>
      </x:c>
      <x:c r="B158" t="str">
        <x:v>Organic Search</x:v>
      </x:c>
      <x:c r="C158" t="n">
        <x:v>764</x:v>
      </x:c>
      <x:c r="D158" t="n">
        <x:v>25</x:v>
      </x:c>
      <x:c r="E158" s="81" t="n">
        <x:v>1978.18</x:v>
      </x:c>
      <x:c r="F158" s="81" t="n">
        <x:v>1122.43</x:v>
      </x:c>
      <x:c r="G158" t="n">
        <x:v>1</x:v>
      </x:c>
      <x:c r="H158" t="n">
        <x:v>24</x:v>
      </x:c>
    </x:row>
    <x:row r="159">
      <x:c r="A159" s="80" t="str">
        <x:v>2026-07-03</x:v>
      </x:c>
      <x:c r="B159" t="str">
        <x:v>Paid Social</x:v>
      </x:c>
      <x:c r="C159" t="n">
        <x:v>600</x:v>
      </x:c>
      <x:c r="D159" t="n">
        <x:v>21</x:v>
      </x:c>
      <x:c r="E159" s="81" t="n">
        <x:v>1685.9</x:v>
      </x:c>
      <x:c r="F159" s="81" t="n">
        <x:v>965.25</x:v>
      </x:c>
      <x:c r="G159" t="n">
        <x:v>1</x:v>
      </x:c>
      <x:c r="H159" t="n">
        <x:v>19</x:v>
      </x:c>
    </x:row>
    <x:row r="160">
      <x:c r="A160" s="80" t="str">
        <x:v>2026-07-03</x:v>
      </x:c>
      <x:c r="B160" t="str">
        <x:v>Email</x:v>
      </x:c>
      <x:c r="C160" t="n">
        <x:v>590</x:v>
      </x:c>
      <x:c r="D160" t="n">
        <x:v>19</x:v>
      </x:c>
      <x:c r="E160" s="81" t="n">
        <x:v>1629.76</x:v>
      </x:c>
      <x:c r="F160" s="81" t="n">
        <x:v>947.09</x:v>
      </x:c>
      <x:c r="G160" t="n">
        <x:v>1</x:v>
      </x:c>
      <x:c r="H160" t="n">
        <x:v>18</x:v>
      </x:c>
    </x:row>
    <x:row r="161">
      <x:c r="A161" s="80" t="str">
        <x:v>2026-07-03</x:v>
      </x:c>
      <x:c r="B161" t="str">
        <x:v>Referral</x:v>
      </x:c>
      <x:c r="C161" t="n">
        <x:v>454</x:v>
      </x:c>
      <x:c r="D161" t="n">
        <x:v>15</x:v>
      </x:c>
      <x:c r="E161" s="81" t="n">
        <x:v>1123.41</x:v>
      </x:c>
      <x:c r="F161" s="81" t="n">
        <x:v>627.43</x:v>
      </x:c>
      <x:c r="G161" t="n">
        <x:v>1</x:v>
      </x:c>
      <x:c r="H161" t="n">
        <x:v>14</x:v>
      </x:c>
    </x:row>
    <x:row r="162">
      <x:c r="A162" s="80" t="str">
        <x:v>2026-07-04</x:v>
      </x:c>
      <x:c r="B162" t="str">
        <x:v>Organic Search</x:v>
      </x:c>
      <x:c r="C162" t="n">
        <x:v>545</x:v>
      </x:c>
      <x:c r="D162" t="n">
        <x:v>19</x:v>
      </x:c>
      <x:c r="E162" s="81" t="n">
        <x:v>1570.57</x:v>
      </x:c>
      <x:c r="F162" s="81" t="n">
        <x:v>872.5</x:v>
      </x:c>
      <x:c r="G162" t="n">
        <x:v>1</x:v>
      </x:c>
      <x:c r="H162" t="n">
        <x:v>18</x:v>
      </x:c>
    </x:row>
    <x:row r="163">
      <x:c r="A163" s="80" t="str">
        <x:v>2026-07-04</x:v>
      </x:c>
      <x:c r="B163" t="str">
        <x:v>Paid Social</x:v>
      </x:c>
      <x:c r="C163" t="n">
        <x:v>619</x:v>
      </x:c>
      <x:c r="D163" t="n">
        <x:v>20</x:v>
      </x:c>
      <x:c r="E163" s="81" t="n">
        <x:v>1581.75</x:v>
      </x:c>
      <x:c r="F163" s="81" t="n">
        <x:v>910.23</x:v>
      </x:c>
      <x:c r="G163" t="n">
        <x:v>1</x:v>
      </x:c>
      <x:c r="H163" t="n">
        <x:v>19</x:v>
      </x:c>
    </x:row>
    <x:row r="164">
      <x:c r="A164" s="80" t="str">
        <x:v>2026-07-04</x:v>
      </x:c>
      <x:c r="B164" t="str">
        <x:v>Email</x:v>
      </x:c>
      <x:c r="C164" t="n">
        <x:v>628</x:v>
      </x:c>
      <x:c r="D164" t="n">
        <x:v>20</x:v>
      </x:c>
      <x:c r="E164" s="81" t="n">
        <x:v>1745.21</x:v>
      </x:c>
      <x:c r="F164" s="81" t="n">
        <x:v>985.96</x:v>
      </x:c>
      <x:c r="G164" t="n">
        <x:v>1</x:v>
      </x:c>
      <x:c r="H164" t="n">
        <x:v>19</x:v>
      </x:c>
    </x:row>
    <x:row r="165">
      <x:c r="A165" s="80" t="str">
        <x:v>2026-07-04</x:v>
      </x:c>
      <x:c r="B165" t="str">
        <x:v>Referral</x:v>
      </x:c>
      <x:c r="C165" t="n">
        <x:v>477</x:v>
      </x:c>
      <x:c r="D165" t="n">
        <x:v>14</x:v>
      </x:c>
      <x:c r="E165" s="81" t="n">
        <x:v>1048.93</x:v>
      </x:c>
      <x:c r="F165" s="81" t="n">
        <x:v>590.48</x:v>
      </x:c>
      <x:c r="G165" t="n">
        <x:v>1</x:v>
      </x:c>
      <x:c r="H165" t="n">
        <x:v>13</x:v>
      </x:c>
    </x:row>
    <x:row r="166">
      <x:c r="A166" s="80" t="str">
        <x:v>2026-07-05</x:v>
      </x:c>
      <x:c r="B166" t="str">
        <x:v>Organic Search</x:v>
      </x:c>
      <x:c r="C166" t="n">
        <x:v>649</x:v>
      </x:c>
      <x:c r="D166" t="n">
        <x:v>22</x:v>
      </x:c>
      <x:c r="E166" s="81" t="n">
        <x:v>1789.09</x:v>
      </x:c>
      <x:c r="F166" s="81" t="n">
        <x:v>990.94</x:v>
      </x:c>
      <x:c r="G166" t="n">
        <x:v>1</x:v>
      </x:c>
      <x:c r="H166" t="n">
        <x:v>21</x:v>
      </x:c>
    </x:row>
    <x:row r="167">
      <x:c r="A167" s="80" t="str">
        <x:v>2026-07-05</x:v>
      </x:c>
      <x:c r="B167" t="str">
        <x:v>Paid Social</x:v>
      </x:c>
      <x:c r="C167" t="n">
        <x:v>735</x:v>
      </x:c>
      <x:c r="D167" t="n">
        <x:v>25</x:v>
      </x:c>
      <x:c r="E167" s="81" t="n">
        <x:v>2025.75</x:v>
      </x:c>
      <x:c r="F167" s="81" t="n">
        <x:v>1147.22</x:v>
      </x:c>
      <x:c r="G167" t="n">
        <x:v>1</x:v>
      </x:c>
      <x:c r="H167" t="n">
        <x:v>24</x:v>
      </x:c>
    </x:row>
    <x:row r="168">
      <x:c r="A168" s="80" t="str">
        <x:v>2026-07-05</x:v>
      </x:c>
      <x:c r="B168" t="str">
        <x:v>Email</x:v>
      </x:c>
      <x:c r="C168" t="n">
        <x:v>682</x:v>
      </x:c>
      <x:c r="D168" t="n">
        <x:v>21</x:v>
      </x:c>
      <x:c r="E168" s="81" t="n">
        <x:v>1679.77</x:v>
      </x:c>
      <x:c r="F168" s="81" t="n">
        <x:v>944.51</x:v>
      </x:c>
      <x:c r="G168" t="n">
        <x:v>1</x:v>
      </x:c>
      <x:c r="H168" t="n">
        <x:v>20</x:v>
      </x:c>
    </x:row>
    <x:row r="169">
      <x:c r="A169" s="80" t="str">
        <x:v>2026-07-05</x:v>
      </x:c>
      <x:c r="B169" t="str">
        <x:v>Referral</x:v>
      </x:c>
      <x:c r="C169" t="n">
        <x:v>718</x:v>
      </x:c>
      <x:c r="D169" t="n">
        <x:v>25</x:v>
      </x:c>
      <x:c r="E169" s="81" t="n">
        <x:v>2114.73</x:v>
      </x:c>
      <x:c r="F169" s="81" t="n">
        <x:v>1213.13</x:v>
      </x:c>
      <x:c r="G169" t="n">
        <x:v>1</x:v>
      </x:c>
      <x:c r="H169" t="n">
        <x:v>24</x:v>
      </x:c>
    </x:row>
    <x:row r="170">
      <x:c r="A170" s="80" t="str">
        <x:v>2026-07-06</x:v>
      </x:c>
      <x:c r="B170" t="str">
        <x:v>Organic Search</x:v>
      </x:c>
      <x:c r="C170" t="n">
        <x:v>562</x:v>
      </x:c>
      <x:c r="D170" t="n">
        <x:v>20</x:v>
      </x:c>
      <x:c r="E170" s="81" t="n">
        <x:v>1564.75</x:v>
      </x:c>
      <x:c r="F170" s="81" t="n">
        <x:v>895.15</x:v>
      </x:c>
      <x:c r="G170" t="n">
        <x:v>1</x:v>
      </x:c>
      <x:c r="H170" t="n">
        <x:v>18</x:v>
      </x:c>
    </x:row>
    <x:row r="171">
      <x:c r="A171" s="80" t="str">
        <x:v>2026-07-06</x:v>
      </x:c>
      <x:c r="B171" t="str">
        <x:v>Paid Social</x:v>
      </x:c>
      <x:c r="C171" t="n">
        <x:v>498</x:v>
      </x:c>
      <x:c r="D171" t="n">
        <x:v>18</x:v>
      </x:c>
      <x:c r="E171" s="81" t="n">
        <x:v>1528.3</x:v>
      </x:c>
      <x:c r="F171" s="81" t="n">
        <x:v>870.53</x:v>
      </x:c>
      <x:c r="G171" t="n">
        <x:v>1</x:v>
      </x:c>
      <x:c r="H171" t="n">
        <x:v>17</x:v>
      </x:c>
    </x:row>
    <x:row r="172">
      <x:c r="A172" s="80" t="str">
        <x:v>2026-07-06</x:v>
      </x:c>
      <x:c r="B172" t="str">
        <x:v>Email</x:v>
      </x:c>
      <x:c r="C172" t="n">
        <x:v>648</x:v>
      </x:c>
      <x:c r="D172" t="n">
        <x:v>20</x:v>
      </x:c>
      <x:c r="E172" s="81" t="n">
        <x:v>1631.81</x:v>
      </x:c>
      <x:c r="F172" s="81" t="n">
        <x:v>950.23</x:v>
      </x:c>
      <x:c r="G172" t="n">
        <x:v>1</x:v>
      </x:c>
      <x:c r="H172" t="n">
        <x:v>19</x:v>
      </x:c>
    </x:row>
    <x:row r="173">
      <x:c r="A173" s="80" t="str">
        <x:v>2026-07-06</x:v>
      </x:c>
      <x:c r="B173" t="str">
        <x:v>Referral</x:v>
      </x:c>
      <x:c r="C173" t="n">
        <x:v>736</x:v>
      </x:c>
      <x:c r="D173" t="n">
        <x:v>26</x:v>
      </x:c>
      <x:c r="E173" s="81" t="n">
        <x:v>1946.83</x:v>
      </x:c>
      <x:c r="F173" s="81" t="n">
        <x:v>1125.74</x:v>
      </x:c>
      <x:c r="G173" t="n">
        <x:v>1</x:v>
      </x:c>
      <x:c r="H173" t="n">
        <x:v>25</x:v>
      </x:c>
    </x:row>
    <x:row r="174">
      <x:c r="A174" s="80" t="str">
        <x:v>2026-07-07</x:v>
      </x:c>
      <x:c r="B174" t="str">
        <x:v>Organic Search</x:v>
      </x:c>
      <x:c r="C174" t="n">
        <x:v>838</x:v>
      </x:c>
      <x:c r="D174" t="n">
        <x:v>28</x:v>
      </x:c>
      <x:c r="E174" s="81" t="n">
        <x:v>2430.59</x:v>
      </x:c>
      <x:c r="F174" s="81" t="n">
        <x:v>1420.81</x:v>
      </x:c>
      <x:c r="G174" t="n">
        <x:v>1</x:v>
      </x:c>
      <x:c r="H174" t="n">
        <x:v>27</x:v>
      </x:c>
    </x:row>
    <x:row r="175">
      <x:c r="A175" s="80" t="str">
        <x:v>2026-07-07</x:v>
      </x:c>
      <x:c r="B175" t="str">
        <x:v>Paid Social</x:v>
      </x:c>
      <x:c r="C175" t="n">
        <x:v>537</x:v>
      </x:c>
      <x:c r="D175" t="n">
        <x:v>16</x:v>
      </x:c>
      <x:c r="E175" s="81" t="n">
        <x:v>1207.29</x:v>
      </x:c>
      <x:c r="F175" s="81" t="n">
        <x:v>700.89</x:v>
      </x:c>
      <x:c r="G175" t="n">
        <x:v>1</x:v>
      </x:c>
      <x:c r="H175" t="n">
        <x:v>15</x:v>
      </x:c>
    </x:row>
    <x:row r="176">
      <x:c r="A176" s="80" t="str">
        <x:v>2026-07-07</x:v>
      </x:c>
      <x:c r="B176" t="str">
        <x:v>Email</x:v>
      </x:c>
      <x:c r="C176" t="n">
        <x:v>681</x:v>
      </x:c>
      <x:c r="D176" t="n">
        <x:v>24</x:v>
      </x:c>
      <x:c r="E176" s="81" t="n">
        <x:v>1847.96</x:v>
      </x:c>
      <x:c r="F176" s="81" t="n">
        <x:v>1059.44</x:v>
      </x:c>
      <x:c r="G176" t="n">
        <x:v>1</x:v>
      </x:c>
      <x:c r="H176" t="n">
        <x:v>22</x:v>
      </x:c>
    </x:row>
    <x:row r="177">
      <x:c r="A177" s="80" t="str">
        <x:v>2026-07-07</x:v>
      </x:c>
      <x:c r="B177" t="str">
        <x:v>Referral</x:v>
      </x:c>
      <x:c r="C177" t="n">
        <x:v>732</x:v>
      </x:c>
      <x:c r="D177" t="n">
        <x:v>23</x:v>
      </x:c>
      <x:c r="E177" s="81" t="n">
        <x:v>1998.84</x:v>
      </x:c>
      <x:c r="F177" s="81" t="n">
        <x:v>1171.49</x:v>
      </x:c>
      <x:c r="G177" t="n">
        <x:v>1</x:v>
      </x:c>
      <x:c r="H177" t="n">
        <x:v>22</x:v>
      </x:c>
    </x:row>
    <x:row r="178">
      <x:c r="A178" s="80" t="str">
        <x:v>2026-07-08</x:v>
      </x:c>
      <x:c r="B178" t="str">
        <x:v>Organic Search</x:v>
      </x:c>
      <x:c r="C178" t="n">
        <x:v>662</x:v>
      </x:c>
      <x:c r="D178" t="n">
        <x:v>21</x:v>
      </x:c>
      <x:c r="E178" s="81" t="n">
        <x:v>1771.97</x:v>
      </x:c>
      <x:c r="F178" s="81" t="n">
        <x:v>993.25</x:v>
      </x:c>
      <x:c r="G178" t="n">
        <x:v>1</x:v>
      </x:c>
      <x:c r="H178" t="n">
        <x:v>20</x:v>
      </x:c>
    </x:row>
    <x:row r="179">
      <x:c r="A179" s="80" t="str">
        <x:v>2026-07-08</x:v>
      </x:c>
      <x:c r="B179" t="str">
        <x:v>Paid Social</x:v>
      </x:c>
      <x:c r="C179" t="n">
        <x:v>409</x:v>
      </x:c>
      <x:c r="D179" t="n">
        <x:v>14</x:v>
      </x:c>
      <x:c r="E179" s="81" t="n">
        <x:v>1112.6</x:v>
      </x:c>
      <x:c r="F179" s="81" t="n">
        <x:v>652.96</x:v>
      </x:c>
      <x:c r="G179" t="n">
        <x:v>0</x:v>
      </x:c>
      <x:c r="H179" t="n">
        <x:v>13</x:v>
      </x:c>
    </x:row>
    <x:row r="180">
      <x:c r="A180" s="80" t="str">
        <x:v>2026-07-08</x:v>
      </x:c>
      <x:c r="B180" t="str">
        <x:v>Email</x:v>
      </x:c>
      <x:c r="C180" t="n">
        <x:v>713</x:v>
      </x:c>
      <x:c r="D180" t="n">
        <x:v>24</x:v>
      </x:c>
      <x:c r="E180" s="81" t="n">
        <x:v>1862.45</x:v>
      </x:c>
      <x:c r="F180" s="81" t="n">
        <x:v>1064.89</x:v>
      </x:c>
      <x:c r="G180" t="n">
        <x:v>1</x:v>
      </x:c>
      <x:c r="H180" t="n">
        <x:v>22</x:v>
      </x:c>
    </x:row>
    <x:row r="181">
      <x:c r="A181" s="80" t="str">
        <x:v>2026-07-08</x:v>
      </x:c>
      <x:c r="B181" t="str">
        <x:v>Referral</x:v>
      </x:c>
      <x:c r="C181" t="n">
        <x:v>435</x:v>
      </x:c>
      <x:c r="D181" t="n">
        <x:v>14</x:v>
      </x:c>
      <x:c r="E181" s="81" t="n">
        <x:v>1046.41</x:v>
      </x:c>
      <x:c r="F181" s="81" t="n">
        <x:v>612.85</x:v>
      </x:c>
      <x:c r="G181" t="n">
        <x:v>1</x:v>
      </x:c>
      <x:c r="H181" t="n">
        <x:v>13</x:v>
      </x:c>
    </x:row>
    <x:row r="182">
      <x:c r="A182" s="80" t="str">
        <x:v>2026-07-09</x:v>
      </x:c>
      <x:c r="B182" t="str">
        <x:v>Organic Search</x:v>
      </x:c>
      <x:c r="C182" t="n">
        <x:v>767</x:v>
      </x:c>
      <x:c r="D182" t="n">
        <x:v>25</x:v>
      </x:c>
      <x:c r="E182" s="81" t="n">
        <x:v>1984.4</x:v>
      </x:c>
      <x:c r="F182" s="81" t="n">
        <x:v>1141.02</x:v>
      </x:c>
      <x:c r="G182" t="n">
        <x:v>1</x:v>
      </x:c>
      <x:c r="H182" t="n">
        <x:v>24</x:v>
      </x:c>
    </x:row>
    <x:row r="183">
      <x:c r="A183" s="80" t="str">
        <x:v>2026-07-09</x:v>
      </x:c>
      <x:c r="B183" t="str">
        <x:v>Paid Social</x:v>
      </x:c>
      <x:c r="C183" t="n">
        <x:v>371</x:v>
      </x:c>
      <x:c r="D183" t="n">
        <x:v>11</x:v>
      </x:c>
      <x:c r="E183" s="81" t="n">
        <x:v>966.18</x:v>
      </x:c>
      <x:c r="F183" s="81" t="n">
        <x:v>564.35</x:v>
      </x:c>
      <x:c r="G183" t="n">
        <x:v>1</x:v>
      </x:c>
      <x:c r="H183" t="n">
        <x:v>10</x:v>
      </x:c>
    </x:row>
    <x:row r="184">
      <x:c r="A184" s="80" t="str">
        <x:v>2026-07-09</x:v>
      </x:c>
      <x:c r="B184" t="str">
        <x:v>Email</x:v>
      </x:c>
      <x:c r="C184" t="n">
        <x:v>413</x:v>
      </x:c>
      <x:c r="D184" t="n">
        <x:v>13</x:v>
      </x:c>
      <x:c r="E184" s="81" t="n">
        <x:v>1089.85</x:v>
      </x:c>
      <x:c r="F184" s="81" t="n">
        <x:v>635.05</x:v>
      </x:c>
      <x:c r="G184" t="n">
        <x:v>0</x:v>
      </x:c>
      <x:c r="H184" t="n">
        <x:v>12</x:v>
      </x:c>
    </x:row>
    <x:row r="185">
      <x:c r="A185" s="80" t="str">
        <x:v>2026-07-09</x:v>
      </x:c>
      <x:c r="B185" t="str">
        <x:v>Referral</x:v>
      </x:c>
      <x:c r="C185" t="n">
        <x:v>680</x:v>
      </x:c>
      <x:c r="D185" t="n">
        <x:v>25</x:v>
      </x:c>
      <x:c r="E185" s="81" t="n">
        <x:v>1979.3</x:v>
      </x:c>
      <x:c r="F185" s="81" t="n">
        <x:v>1118.9</x:v>
      </x:c>
      <x:c r="G185" t="n">
        <x:v>1</x:v>
      </x:c>
      <x:c r="H185" t="n">
        <x:v>23</x:v>
      </x:c>
    </x:row>
    <x:row r="186">
      <x:c r="A186" s="80" t="str">
        <x:v>2026-07-10</x:v>
      </x:c>
      <x:c r="B186" t="str">
        <x:v>Organic Search</x:v>
      </x:c>
      <x:c r="C186" t="n">
        <x:v>637</x:v>
      </x:c>
      <x:c r="D186" t="n">
        <x:v>23</x:v>
      </x:c>
      <x:c r="E186" s="81" t="n">
        <x:v>1882.38</x:v>
      </x:c>
      <x:c r="F186" s="81" t="n">
        <x:v>1092.79</x:v>
      </x:c>
      <x:c r="G186" t="n">
        <x:v>1</x:v>
      </x:c>
      <x:c r="H186" t="n">
        <x:v>22</x:v>
      </x:c>
    </x:row>
    <x:row r="187">
      <x:c r="A187" s="80" t="str">
        <x:v>2026-07-10</x:v>
      </x:c>
      <x:c r="B187" t="str">
        <x:v>Paid Social</x:v>
      </x:c>
      <x:c r="C187" t="n">
        <x:v>510</x:v>
      </x:c>
      <x:c r="D187" t="n">
        <x:v>16</x:v>
      </x:c>
      <x:c r="E187" s="81" t="n">
        <x:v>1335.92</x:v>
      </x:c>
      <x:c r="F187" s="81" t="n">
        <x:v>780.41</x:v>
      </x:c>
      <x:c r="G187" t="n">
        <x:v>1</x:v>
      </x:c>
      <x:c r="H187" t="n">
        <x:v>15</x:v>
      </x:c>
    </x:row>
    <x:row r="188">
      <x:c r="A188" s="80" t="str">
        <x:v>2026-07-10</x:v>
      </x:c>
      <x:c r="B188" t="str">
        <x:v>Email</x:v>
      </x:c>
      <x:c r="C188" t="n">
        <x:v>399</x:v>
      </x:c>
      <x:c r="D188" t="n">
        <x:v>14</x:v>
      </x:c>
      <x:c r="E188" s="81" t="n">
        <x:v>1206.79</x:v>
      </x:c>
      <x:c r="F188" s="81" t="n">
        <x:v>694.63</x:v>
      </x:c>
      <x:c r="G188" t="n">
        <x:v>1</x:v>
      </x:c>
      <x:c r="H188" t="n">
        <x:v>13</x:v>
      </x:c>
    </x:row>
    <x:row r="189">
      <x:c r="A189" s="80" t="str">
        <x:v>2026-07-10</x:v>
      </x:c>
      <x:c r="B189" t="str">
        <x:v>Referral</x:v>
      </x:c>
      <x:c r="C189" t="n">
        <x:v>710</x:v>
      </x:c>
      <x:c r="D189" t="n">
        <x:v>23</x:v>
      </x:c>
      <x:c r="E189" s="81" t="n">
        <x:v>2009.8</x:v>
      </x:c>
      <x:c r="F189" s="81" t="n">
        <x:v>1129.94</x:v>
      </x:c>
      <x:c r="G189" t="n">
        <x:v>1</x:v>
      </x:c>
      <x:c r="H189" t="n">
        <x:v>21</x:v>
      </x:c>
    </x:row>
    <x:row r="190">
      <x:c r="A190" s="80" t="str">
        <x:v>2026-07-11</x:v>
      </x:c>
      <x:c r="B190" t="str">
        <x:v>Organic Search</x:v>
      </x:c>
      <x:c r="C190" t="n">
        <x:v>657</x:v>
      </x:c>
      <x:c r="D190" t="n">
        <x:v>23</x:v>
      </x:c>
      <x:c r="E190" s="81" t="n">
        <x:v>1896.28</x:v>
      </x:c>
      <x:c r="F190" s="81" t="n">
        <x:v>1090.75</x:v>
      </x:c>
      <x:c r="G190" t="n">
        <x:v>1</x:v>
      </x:c>
      <x:c r="H190" t="n">
        <x:v>22</x:v>
      </x:c>
    </x:row>
    <x:row r="191">
      <x:c r="A191" s="80" t="str">
        <x:v>2026-07-11</x:v>
      </x:c>
      <x:c r="B191" t="str">
        <x:v>Paid Social</x:v>
      </x:c>
      <x:c r="C191" t="n">
        <x:v>515</x:v>
      </x:c>
      <x:c r="D191" t="n">
        <x:v>16</x:v>
      </x:c>
      <x:c r="E191" s="81" t="n">
        <x:v>1366.21</x:v>
      </x:c>
      <x:c r="F191" s="81" t="n">
        <x:v>796</x:v>
      </x:c>
      <x:c r="G191" t="n">
        <x:v>1</x:v>
      </x:c>
      <x:c r="H191" t="n">
        <x:v>15</x:v>
      </x:c>
    </x:row>
    <x:row r="192">
      <x:c r="A192" s="80" t="str">
        <x:v>2026-07-11</x:v>
      </x:c>
      <x:c r="B192" t="str">
        <x:v>Email</x:v>
      </x:c>
      <x:c r="C192" t="n">
        <x:v>608</x:v>
      </x:c>
      <x:c r="D192" t="n">
        <x:v>19</x:v>
      </x:c>
      <x:c r="E192" s="81" t="n">
        <x:v>1419.87</x:v>
      </x:c>
      <x:c r="F192" s="81" t="n">
        <x:v>797.41</x:v>
      </x:c>
      <x:c r="G192" t="n">
        <x:v>1</x:v>
      </x:c>
      <x:c r="H192" t="n">
        <x:v>18</x:v>
      </x:c>
    </x:row>
    <x:row r="193">
      <x:c r="A193" s="80" t="str">
        <x:v>2026-07-11</x:v>
      </x:c>
      <x:c r="B193" t="str">
        <x:v>Referral</x:v>
      </x:c>
      <x:c r="C193" t="n">
        <x:v>623</x:v>
      </x:c>
      <x:c r="D193" t="n">
        <x:v>20</x:v>
      </x:c>
      <x:c r="E193" s="81" t="n">
        <x:v>1772.23</x:v>
      </x:c>
      <x:c r="F193" s="81" t="n">
        <x:v>1001.69</x:v>
      </x:c>
      <x:c r="G193" t="n">
        <x:v>1</x:v>
      </x:c>
      <x:c r="H193" t="n">
        <x:v>19</x:v>
      </x:c>
    </x:row>
    <x:row r="194">
      <x:c r="A194" s="80" t="str">
        <x:v>2026-07-12</x:v>
      </x:c>
      <x:c r="B194" t="str">
        <x:v>Organic Search</x:v>
      </x:c>
      <x:c r="C194" t="n">
        <x:v>593</x:v>
      </x:c>
      <x:c r="D194" t="n">
        <x:v>18</x:v>
      </x:c>
      <x:c r="E194" s="81" t="n">
        <x:v>1528.39</x:v>
      </x:c>
      <x:c r="F194" s="81" t="n">
        <x:v>873.13</x:v>
      </x:c>
      <x:c r="G194" t="n">
        <x:v>1</x:v>
      </x:c>
      <x:c r="H194" t="n">
        <x:v>17</x:v>
      </x:c>
    </x:row>
    <x:row r="195">
      <x:c r="A195" s="80" t="str">
        <x:v>2026-07-12</x:v>
      </x:c>
      <x:c r="B195" t="str">
        <x:v>Paid Social</x:v>
      </x:c>
      <x:c r="C195" t="n">
        <x:v>499</x:v>
      </x:c>
      <x:c r="D195" t="n">
        <x:v>15</x:v>
      </x:c>
      <x:c r="E195" s="81" t="n">
        <x:v>1324.3</x:v>
      </x:c>
      <x:c r="F195" s="81" t="n">
        <x:v>733.84</x:v>
      </x:c>
      <x:c r="G195" t="n">
        <x:v>1</x:v>
      </x:c>
      <x:c r="H195" t="n">
        <x:v>14</x:v>
      </x:c>
    </x:row>
    <x:row r="196">
      <x:c r="A196" s="80" t="str">
        <x:v>2026-07-12</x:v>
      </x:c>
      <x:c r="B196" t="str">
        <x:v>Email</x:v>
      </x:c>
      <x:c r="C196" t="n">
        <x:v>739</x:v>
      </x:c>
      <x:c r="D196" t="n">
        <x:v>21</x:v>
      </x:c>
      <x:c r="E196" s="81" t="n">
        <x:v>1824.8</x:v>
      </x:c>
      <x:c r="F196" s="81" t="n">
        <x:v>1051.81</x:v>
      </x:c>
      <x:c r="G196" t="n">
        <x:v>1</x:v>
      </x:c>
      <x:c r="H196" t="n">
        <x:v>20</x:v>
      </x:c>
    </x:row>
    <x:row r="197">
      <x:c r="A197" s="80" t="str">
        <x:v>2026-07-12</x:v>
      </x:c>
      <x:c r="B197" t="str">
        <x:v>Referral</x:v>
      </x:c>
      <x:c r="C197" t="n">
        <x:v>362</x:v>
      </x:c>
      <x:c r="D197" t="n">
        <x:v>13</x:v>
      </x:c>
      <x:c r="E197" s="81" t="n">
        <x:v>1114.24</x:v>
      </x:c>
      <x:c r="F197" s="81" t="n">
        <x:v>652.56</x:v>
      </x:c>
      <x:c r="G197" t="n">
        <x:v>1</x:v>
      </x:c>
      <x:c r="H197" t="n">
        <x:v>13</x:v>
      </x:c>
    </x:row>
    <x:row r="198">
      <x:c r="A198" s="80" t="str">
        <x:v>2026-07-13</x:v>
      </x:c>
      <x:c r="B198" t="str">
        <x:v>Organic Search</x:v>
      </x:c>
      <x:c r="C198" t="n">
        <x:v>566</x:v>
      </x:c>
      <x:c r="D198" t="n">
        <x:v>20</x:v>
      </x:c>
      <x:c r="E198" s="81" t="n">
        <x:v>1737.5</x:v>
      </x:c>
      <x:c r="F198" s="81" t="n">
        <x:v>998.92</x:v>
      </x:c>
      <x:c r="G198" t="n">
        <x:v>1</x:v>
      </x:c>
      <x:c r="H198" t="n">
        <x:v>18</x:v>
      </x:c>
    </x:row>
    <x:row r="199">
      <x:c r="A199" s="80" t="str">
        <x:v>2026-07-13</x:v>
      </x:c>
      <x:c r="B199" t="str">
        <x:v>Paid Social</x:v>
      </x:c>
      <x:c r="C199" t="n">
        <x:v>413</x:v>
      </x:c>
      <x:c r="D199" t="n">
        <x:v>14</x:v>
      </x:c>
      <x:c r="E199" s="81" t="n">
        <x:v>1100.32</x:v>
      </x:c>
      <x:c r="F199" s="81" t="n">
        <x:v>639.78</x:v>
      </x:c>
      <x:c r="G199" t="n">
        <x:v>1</x:v>
      </x:c>
      <x:c r="H199" t="n">
        <x:v>13</x:v>
      </x:c>
    </x:row>
    <x:row r="200">
      <x:c r="A200" s="80" t="str">
        <x:v>2026-07-13</x:v>
      </x:c>
      <x:c r="B200" t="str">
        <x:v>Email</x:v>
      </x:c>
      <x:c r="C200" t="n">
        <x:v>725</x:v>
      </x:c>
      <x:c r="D200" t="n">
        <x:v>23</x:v>
      </x:c>
      <x:c r="E200" s="81" t="n">
        <x:v>1930.43</x:v>
      </x:c>
      <x:c r="F200" s="81" t="n">
        <x:v>1098.69</x:v>
      </x:c>
      <x:c r="G200" t="n">
        <x:v>1</x:v>
      </x:c>
      <x:c r="H200" t="n">
        <x:v>22</x:v>
      </x:c>
    </x:row>
    <x:row r="201">
      <x:c r="A201" s="80" t="str">
        <x:v>2026-07-13</x:v>
      </x:c>
      <x:c r="B201" t="str">
        <x:v>Referral</x:v>
      </x:c>
      <x:c r="C201" t="n">
        <x:v>578</x:v>
      </x:c>
      <x:c r="D201" t="n">
        <x:v>17</x:v>
      </x:c>
      <x:c r="E201" s="81" t="n">
        <x:v>1320.21</x:v>
      </x:c>
      <x:c r="F201" s="81" t="n">
        <x:v>768.27</x:v>
      </x:c>
      <x:c r="G201" t="n">
        <x:v>1</x:v>
      </x:c>
      <x:c r="H201" t="n">
        <x:v>16</x:v>
      </x:c>
    </x:row>
    <x:row r="202">
      <x:c r="A202" s="80" t="str">
        <x:v>2026-07-14</x:v>
      </x:c>
      <x:c r="B202" t="str">
        <x:v>Organic Search</x:v>
      </x:c>
      <x:c r="C202" t="n">
        <x:v>816</x:v>
      </x:c>
      <x:c r="D202" t="n">
        <x:v>29</x:v>
      </x:c>
      <x:c r="E202" s="81" t="n">
        <x:v>2442.13</x:v>
      </x:c>
      <x:c r="F202" s="81" t="n">
        <x:v>1408.75</x:v>
      </x:c>
      <x:c r="G202" t="n">
        <x:v>1</x:v>
      </x:c>
      <x:c r="H202" t="n">
        <x:v>27</x:v>
      </x:c>
    </x:row>
    <x:row r="203">
      <x:c r="A203" s="80" t="str">
        <x:v>2026-07-14</x:v>
      </x:c>
      <x:c r="B203" t="str">
        <x:v>Paid Social</x:v>
      </x:c>
      <x:c r="C203" t="n">
        <x:v>508</x:v>
      </x:c>
      <x:c r="D203" t="n">
        <x:v>18</x:v>
      </x:c>
      <x:c r="E203" s="81" t="n">
        <x:v>1459.27</x:v>
      </x:c>
      <x:c r="F203" s="81" t="n">
        <x:v>814.13</x:v>
      </x:c>
      <x:c r="G203" t="n">
        <x:v>1</x:v>
      </x:c>
      <x:c r="H203" t="n">
        <x:v>17</x:v>
      </x:c>
    </x:row>
    <x:row r="204">
      <x:c r="A204" s="80" t="str">
        <x:v>2026-07-14</x:v>
      </x:c>
      <x:c r="B204" t="str">
        <x:v>Email</x:v>
      </x:c>
      <x:c r="C204" t="n">
        <x:v>406</x:v>
      </x:c>
      <x:c r="D204" t="n">
        <x:v>13</x:v>
      </x:c>
      <x:c r="E204" s="81" t="n">
        <x:v>983.11</x:v>
      </x:c>
      <x:c r="F204" s="81" t="n">
        <x:v>572.52</x:v>
      </x:c>
      <x:c r="G204" t="n">
        <x:v>1</x:v>
      </x:c>
      <x:c r="H204" t="n">
        <x:v>12</x:v>
      </x:c>
    </x:row>
    <x:row r="205">
      <x:c r="A205" s="80" t="str">
        <x:v>2026-07-14</x:v>
      </x:c>
      <x:c r="B205" t="str">
        <x:v>Referral</x:v>
      </x:c>
      <x:c r="C205" t="n">
        <x:v>440</x:v>
      </x:c>
      <x:c r="D205" t="n">
        <x:v>16</x:v>
      </x:c>
      <x:c r="E205" s="81" t="n">
        <x:v>1408.16</x:v>
      </x:c>
      <x:c r="F205" s="81" t="n">
        <x:v>827.11</x:v>
      </x:c>
      <x:c r="G205" t="n">
        <x:v>1</x:v>
      </x:c>
      <x:c r="H205" t="n">
        <x:v>15</x:v>
      </x:c>
    </x:row>
    <x:row r="206">
      <x:c r="A206" s="80" t="str">
        <x:v>2026-07-15</x:v>
      </x:c>
      <x:c r="B206" t="str">
        <x:v>Organic Search</x:v>
      </x:c>
      <x:c r="C206" t="n">
        <x:v>672</x:v>
      </x:c>
      <x:c r="D206" t="n">
        <x:v>24</x:v>
      </x:c>
      <x:c r="E206" s="81" t="n">
        <x:v>2010.32</x:v>
      </x:c>
      <x:c r="F206" s="81" t="n">
        <x:v>1113.56</x:v>
      </x:c>
      <x:c r="G206" t="n">
        <x:v>1</x:v>
      </x:c>
      <x:c r="H206" t="n">
        <x:v>23</x:v>
      </x:c>
    </x:row>
    <x:row r="207">
      <x:c r="A207" s="80" t="str">
        <x:v>2026-07-15</x:v>
      </x:c>
      <x:c r="B207" t="str">
        <x:v>Paid Social</x:v>
      </x:c>
      <x:c r="C207" t="n">
        <x:v>394</x:v>
      </x:c>
      <x:c r="D207" t="n">
        <x:v>13</x:v>
      </x:c>
      <x:c r="E207" s="81" t="n">
        <x:v>1124.5</x:v>
      </x:c>
      <x:c r="F207" s="81" t="n">
        <x:v>655.88</x:v>
      </x:c>
      <x:c r="G207" t="n">
        <x:v>1</x:v>
      </x:c>
      <x:c r="H207" t="n">
        <x:v>12</x:v>
      </x:c>
    </x:row>
    <x:row r="208">
      <x:c r="A208" s="80" t="str">
        <x:v>2026-07-15</x:v>
      </x:c>
      <x:c r="B208" t="str">
        <x:v>Email</x:v>
      </x:c>
      <x:c r="C208" t="n">
        <x:v>464</x:v>
      </x:c>
      <x:c r="D208" t="n">
        <x:v>16</x:v>
      </x:c>
      <x:c r="E208" s="81" t="n">
        <x:v>1416.21</x:v>
      </x:c>
      <x:c r="F208" s="81" t="n">
        <x:v>789.76</x:v>
      </x:c>
      <x:c r="G208" t="n">
        <x:v>1</x:v>
      </x:c>
      <x:c r="H208" t="n">
        <x:v>15</x:v>
      </x:c>
    </x:row>
    <x:row r="209">
      <x:c r="A209" s="80" t="str">
        <x:v>2026-07-15</x:v>
      </x:c>
      <x:c r="B209" t="str">
        <x:v>Referral</x:v>
      </x:c>
      <x:c r="C209" t="n">
        <x:v>595</x:v>
      </x:c>
      <x:c r="D209" t="n">
        <x:v>20</x:v>
      </x:c>
      <x:c r="E209" s="81" t="n">
        <x:v>1785.47</x:v>
      </x:c>
      <x:c r="F209" s="81" t="n">
        <x:v>1047.31</x:v>
      </x:c>
      <x:c r="G209" t="n">
        <x:v>1</x:v>
      </x:c>
      <x:c r="H209" t="n">
        <x:v>19</x:v>
      </x:c>
    </x:row>
    <x:row r="210">
      <x:c r="A210" s="80" t="str">
        <x:v>2026-07-16</x:v>
      </x:c>
      <x:c r="B210" t="str">
        <x:v>Organic Search</x:v>
      </x:c>
      <x:c r="C210" t="n">
        <x:v>830</x:v>
      </x:c>
      <x:c r="D210" t="n">
        <x:v>28</x:v>
      </x:c>
      <x:c r="E210" s="81" t="n">
        <x:v>2226.78</x:v>
      </x:c>
      <x:c r="F210" s="81" t="n">
        <x:v>1306.19</x:v>
      </x:c>
      <x:c r="G210" t="n">
        <x:v>1</x:v>
      </x:c>
      <x:c r="H210" t="n">
        <x:v>27</x:v>
      </x:c>
    </x:row>
    <x:row r="211">
      <x:c r="A211" s="80" t="str">
        <x:v>2026-07-16</x:v>
      </x:c>
      <x:c r="B211" t="str">
        <x:v>Paid Social</x:v>
      </x:c>
      <x:c r="C211" t="n">
        <x:v>365</x:v>
      </x:c>
      <x:c r="D211" t="n">
        <x:v>11</x:v>
      </x:c>
      <x:c r="E211" s="81" t="n">
        <x:v>938.24</x:v>
      </x:c>
      <x:c r="F211" s="81" t="n">
        <x:v>546.99</x:v>
      </x:c>
      <x:c r="G211" t="n">
        <x:v>0</x:v>
      </x:c>
      <x:c r="H211" t="n">
        <x:v>10</x:v>
      </x:c>
    </x:row>
    <x:row r="212">
      <x:c r="A212" s="80" t="str">
        <x:v>2026-07-16</x:v>
      </x:c>
      <x:c r="B212" t="str">
        <x:v>Email</x:v>
      </x:c>
      <x:c r="C212" t="n">
        <x:v>506</x:v>
      </x:c>
      <x:c r="D212" t="n">
        <x:v>18</x:v>
      </x:c>
      <x:c r="E212" s="81" t="n">
        <x:v>1485.94</x:v>
      </x:c>
      <x:c r="F212" s="81" t="n">
        <x:v>850.79</x:v>
      </x:c>
      <x:c r="G212" t="n">
        <x:v>1</x:v>
      </x:c>
      <x:c r="H212" t="n">
        <x:v>17</x:v>
      </x:c>
    </x:row>
    <x:row r="213">
      <x:c r="A213" s="80" t="str">
        <x:v>2026-07-16</x:v>
      </x:c>
      <x:c r="B213" t="str">
        <x:v>Referral</x:v>
      </x:c>
      <x:c r="C213" t="n">
        <x:v>627</x:v>
      </x:c>
      <x:c r="D213" t="n">
        <x:v>19</x:v>
      </x:c>
      <x:c r="E213" s="81" t="n">
        <x:v>1486.58</x:v>
      </x:c>
      <x:c r="F213" s="81" t="n">
        <x:v>832.75</x:v>
      </x:c>
      <x:c r="G213" t="n">
        <x:v>1</x:v>
      </x:c>
      <x:c r="H213" t="n">
        <x:v>18</x:v>
      </x:c>
    </x:row>
    <x:row r="214">
      <x:c r="A214" s="80" t="str">
        <x:v>2026-07-17</x:v>
      </x:c>
      <x:c r="B214" t="str">
        <x:v>Organic Search</x:v>
      </x:c>
      <x:c r="C214" t="n">
        <x:v>733</x:v>
      </x:c>
      <x:c r="D214" t="n">
        <x:v>27</x:v>
      </x:c>
      <x:c r="E214" s="81" t="n">
        <x:v>2221.47</x:v>
      </x:c>
      <x:c r="F214" s="81" t="n">
        <x:v>1260.4</x:v>
      </x:c>
      <x:c r="G214" t="n">
        <x:v>1</x:v>
      </x:c>
      <x:c r="H214" t="n">
        <x:v>25</x:v>
      </x:c>
    </x:row>
    <x:row r="215">
      <x:c r="A215" s="80" t="str">
        <x:v>2026-07-17</x:v>
      </x:c>
      <x:c r="B215" t="str">
        <x:v>Paid Social</x:v>
      </x:c>
      <x:c r="C215" t="n">
        <x:v>518</x:v>
      </x:c>
      <x:c r="D215" t="n">
        <x:v>18</x:v>
      </x:c>
      <x:c r="E215" s="81" t="n">
        <x:v>1566.62</x:v>
      </x:c>
      <x:c r="F215" s="81" t="n">
        <x:v>918.15</x:v>
      </x:c>
      <x:c r="G215" t="n">
        <x:v>1</x:v>
      </x:c>
      <x:c r="H215" t="n">
        <x:v>17</x:v>
      </x:c>
    </x:row>
    <x:row r="216">
      <x:c r="A216" s="80" t="str">
        <x:v>2026-07-17</x:v>
      </x:c>
      <x:c r="B216" t="str">
        <x:v>Email</x:v>
      </x:c>
      <x:c r="C216" t="n">
        <x:v>459</x:v>
      </x:c>
      <x:c r="D216" t="n">
        <x:v>16</x:v>
      </x:c>
      <x:c r="E216" s="81" t="n">
        <x:v>1379.02</x:v>
      </x:c>
      <x:c r="F216" s="81" t="n">
        <x:v>776.48</x:v>
      </x:c>
      <x:c r="G216" t="n">
        <x:v>1</x:v>
      </x:c>
      <x:c r="H216" t="n">
        <x:v>15</x:v>
      </x:c>
    </x:row>
    <x:row r="217">
      <x:c r="A217" s="80" t="str">
        <x:v>2026-07-17</x:v>
      </x:c>
      <x:c r="B217" t="str">
        <x:v>Referral</x:v>
      </x:c>
      <x:c r="C217" t="n">
        <x:v>423</x:v>
      </x:c>
      <x:c r="D217" t="n">
        <x:v>15</x:v>
      </x:c>
      <x:c r="E217" s="81" t="n">
        <x:v>1158.68</x:v>
      </x:c>
      <x:c r="F217" s="81" t="n">
        <x:v>646.64</x:v>
      </x:c>
      <x:c r="G217" t="n">
        <x:v>1</x:v>
      </x:c>
      <x:c r="H217" t="n">
        <x:v>14</x:v>
      </x:c>
    </x:row>
    <x:row r="218">
      <x:c r="A218" s="80" t="str">
        <x:v>2026-07-18</x:v>
      </x:c>
      <x:c r="B218" t="str">
        <x:v>Organic Search</x:v>
      </x:c>
      <x:c r="C218" t="n">
        <x:v>903</x:v>
      </x:c>
      <x:c r="D218" t="n">
        <x:v>31</x:v>
      </x:c>
      <x:c r="E218" s="81" t="n">
        <x:v>2560.93</x:v>
      </x:c>
      <x:c r="F218" s="81" t="n">
        <x:v>1498.89</x:v>
      </x:c>
      <x:c r="G218" t="n">
        <x:v>1</x:v>
      </x:c>
      <x:c r="H218" t="n">
        <x:v>30</x:v>
      </x:c>
    </x:row>
    <x:row r="219">
      <x:c r="A219" s="80" t="str">
        <x:v>2026-07-18</x:v>
      </x:c>
      <x:c r="B219" t="str">
        <x:v>Paid Social</x:v>
      </x:c>
      <x:c r="C219" t="n">
        <x:v>486</x:v>
      </x:c>
      <x:c r="D219" t="n">
        <x:v>16</x:v>
      </x:c>
      <x:c r="E219" s="81" t="n">
        <x:v>1295.15</x:v>
      </x:c>
      <x:c r="F219" s="81" t="n">
        <x:v>746.1</x:v>
      </x:c>
      <x:c r="G219" t="n">
        <x:v>1</x:v>
      </x:c>
      <x:c r="H219" t="n">
        <x:v>15</x:v>
      </x:c>
    </x:row>
    <x:row r="220">
      <x:c r="A220" s="80" t="str">
        <x:v>2026-07-18</x:v>
      </x:c>
      <x:c r="B220" t="str">
        <x:v>Email</x:v>
      </x:c>
      <x:c r="C220" t="n">
        <x:v>757</x:v>
      </x:c>
      <x:c r="D220" t="n">
        <x:v>23</x:v>
      </x:c>
      <x:c r="E220" s="81" t="n">
        <x:v>1952.55</x:v>
      </x:c>
      <x:c r="F220" s="81" t="n">
        <x:v>1137.04</x:v>
      </x:c>
      <x:c r="G220" t="n">
        <x:v>1</x:v>
      </x:c>
      <x:c r="H220" t="n">
        <x:v>22</x:v>
      </x:c>
    </x:row>
    <x:row r="221">
      <x:c r="A221" s="80" t="str">
        <x:v>2026-07-18</x:v>
      </x:c>
      <x:c r="B221" t="str">
        <x:v>Referral</x:v>
      </x:c>
      <x:c r="C221" t="n">
        <x:v>552</x:v>
      </x:c>
      <x:c r="D221" t="n">
        <x:v>17</x:v>
      </x:c>
      <x:c r="E221" s="81" t="n">
        <x:v>1298.05</x:v>
      </x:c>
      <x:c r="F221" s="81" t="n">
        <x:v>721.86</x:v>
      </x:c>
      <x:c r="G221" t="n">
        <x:v>1</x:v>
      </x:c>
      <x:c r="H221" t="n">
        <x:v>16</x:v>
      </x:c>
    </x:row>
    <x:row r="222">
      <x:c r="A222" s="80" t="str">
        <x:v>2026-07-19</x:v>
      </x:c>
      <x:c r="B222" t="str">
        <x:v>Organic Search</x:v>
      </x:c>
      <x:c r="C222" t="n">
        <x:v>779</x:v>
      </x:c>
      <x:c r="D222" t="n">
        <x:v>25</x:v>
      </x:c>
      <x:c r="E222" s="81" t="n">
        <x:v>2061.38</x:v>
      </x:c>
      <x:c r="F222" s="81" t="n">
        <x:v>1208.2</x:v>
      </x:c>
      <x:c r="G222" t="n">
        <x:v>1</x:v>
      </x:c>
      <x:c r="H222" t="n">
        <x:v>24</x:v>
      </x:c>
    </x:row>
    <x:row r="223">
      <x:c r="A223" s="80" t="str">
        <x:v>2026-07-19</x:v>
      </x:c>
      <x:c r="B223" t="str">
        <x:v>Paid Social</x:v>
      </x:c>
      <x:c r="C223" t="n">
        <x:v>653</x:v>
      </x:c>
      <x:c r="D223" t="n">
        <x:v>21</x:v>
      </x:c>
      <x:c r="E223" s="81" t="n">
        <x:v>1833.76</x:v>
      </x:c>
      <x:c r="F223" s="81" t="n">
        <x:v>1065.23</x:v>
      </x:c>
      <x:c r="G223" t="n">
        <x:v>1</x:v>
      </x:c>
      <x:c r="H223" t="n">
        <x:v>20</x:v>
      </x:c>
    </x:row>
    <x:row r="224">
      <x:c r="A224" s="80" t="str">
        <x:v>2026-07-19</x:v>
      </x:c>
      <x:c r="B224" t="str">
        <x:v>Email</x:v>
      </x:c>
      <x:c r="C224" t="n">
        <x:v>506</x:v>
      </x:c>
      <x:c r="D224" t="n">
        <x:v>17</x:v>
      </x:c>
      <x:c r="E224" s="81" t="n">
        <x:v>1413.1</x:v>
      </x:c>
      <x:c r="F224" s="81" t="n">
        <x:v>819.85</x:v>
      </x:c>
      <x:c r="G224" t="n">
        <x:v>1</x:v>
      </x:c>
      <x:c r="H224" t="n">
        <x:v>16</x:v>
      </x:c>
    </x:row>
    <x:row r="225">
      <x:c r="A225" s="80" t="str">
        <x:v>2026-07-19</x:v>
      </x:c>
      <x:c r="B225" t="str">
        <x:v>Referral</x:v>
      </x:c>
      <x:c r="C225" t="n">
        <x:v>406</x:v>
      </x:c>
      <x:c r="D225" t="n">
        <x:v>13</x:v>
      </x:c>
      <x:c r="E225" s="81" t="n">
        <x:v>1059.69</x:v>
      </x:c>
      <x:c r="F225" s="81" t="n">
        <x:v>621.05</x:v>
      </x:c>
      <x:c r="G225" t="n">
        <x:v>0</x:v>
      </x:c>
      <x:c r="H225" t="n">
        <x:v>12</x:v>
      </x:c>
    </x:row>
    <x:row r="226">
      <x:c r="A226" s="80" t="str">
        <x:v>2026-07-20</x:v>
      </x:c>
      <x:c r="B226" t="str">
        <x:v>Organic Search</x:v>
      </x:c>
      <x:c r="C226" t="n">
        <x:v>693</x:v>
      </x:c>
      <x:c r="D226" t="n">
        <x:v>21</x:v>
      </x:c>
      <x:c r="E226" s="81" t="n">
        <x:v>1574.8</x:v>
      </x:c>
      <x:c r="F226" s="81" t="n">
        <x:v>895.51</x:v>
      </x:c>
      <x:c r="G226" t="n">
        <x:v>1</x:v>
      </x:c>
      <x:c r="H226" t="n">
        <x:v>19</x:v>
      </x:c>
    </x:row>
    <x:row r="227">
      <x:c r="A227" s="80" t="str">
        <x:v>2026-07-20</x:v>
      </x:c>
      <x:c r="B227" t="str">
        <x:v>Paid Social</x:v>
      </x:c>
      <x:c r="C227" t="n">
        <x:v>721</x:v>
      </x:c>
      <x:c r="D227" t="n">
        <x:v>22</x:v>
      </x:c>
      <x:c r="E227" s="81" t="n">
        <x:v>1647.04</x:v>
      </x:c>
      <x:c r="F227" s="81" t="n">
        <x:v>956.52</x:v>
      </x:c>
      <x:c r="G227" t="n">
        <x:v>1</x:v>
      </x:c>
      <x:c r="H227" t="n">
        <x:v>21</x:v>
      </x:c>
    </x:row>
    <x:row r="228">
      <x:c r="A228" s="80" t="str">
        <x:v>2026-07-20</x:v>
      </x:c>
      <x:c r="B228" t="str">
        <x:v>Email</x:v>
      </x:c>
      <x:c r="C228" t="n">
        <x:v>592</x:v>
      </x:c>
      <x:c r="D228" t="n">
        <x:v>18</x:v>
      </x:c>
      <x:c r="E228" s="81" t="n">
        <x:v>1524.96</x:v>
      </x:c>
      <x:c r="F228" s="81" t="n">
        <x:v>882.27</x:v>
      </x:c>
      <x:c r="G228" t="n">
        <x:v>1</x:v>
      </x:c>
      <x:c r="H228" t="n">
        <x:v>17</x:v>
      </x:c>
    </x:row>
    <x:row r="229">
      <x:c r="A229" s="80" t="str">
        <x:v>2026-07-20</x:v>
      </x:c>
      <x:c r="B229" t="str">
        <x:v>Referral</x:v>
      </x:c>
      <x:c r="C229" t="n">
        <x:v>680</x:v>
      </x:c>
      <x:c r="D229" t="n">
        <x:v>24</x:v>
      </x:c>
      <x:c r="E229" s="81" t="n">
        <x:v>2126.62</x:v>
      </x:c>
      <x:c r="F229" s="81" t="n">
        <x:v>1231.89</x:v>
      </x:c>
      <x:c r="G229" t="n">
        <x:v>1</x:v>
      </x:c>
      <x:c r="H229" t="n">
        <x:v>23</x:v>
      </x:c>
    </x:row>
    <x:row r="230">
      <x:c r="A230" s="80" t="str">
        <x:v>2026-07-21</x:v>
      </x:c>
      <x:c r="B230" t="str">
        <x:v>Organic Search</x:v>
      </x:c>
      <x:c r="C230" t="n">
        <x:v>577</x:v>
      </x:c>
      <x:c r="D230" t="n">
        <x:v>19</x:v>
      </x:c>
      <x:c r="E230" s="81" t="n">
        <x:v>1482.45</x:v>
      </x:c>
      <x:c r="F230" s="81" t="n">
        <x:v>862.73</x:v>
      </x:c>
      <x:c r="G230" t="n">
        <x:v>1</x:v>
      </x:c>
      <x:c r="H230" t="n">
        <x:v>18</x:v>
      </x:c>
    </x:row>
    <x:row r="231">
      <x:c r="A231" s="80" t="str">
        <x:v>2026-07-21</x:v>
      </x:c>
      <x:c r="B231" t="str">
        <x:v>Paid Social</x:v>
      </x:c>
      <x:c r="C231" t="n">
        <x:v>554</x:v>
      </x:c>
      <x:c r="D231" t="n">
        <x:v>19</x:v>
      </x:c>
      <x:c r="E231" s="81" t="n">
        <x:v>1690.85</x:v>
      </x:c>
      <x:c r="F231" s="81" t="n">
        <x:v>988.59</x:v>
      </x:c>
      <x:c r="G231" t="n">
        <x:v>1</x:v>
      </x:c>
      <x:c r="H231" t="n">
        <x:v>18</x:v>
      </x:c>
    </x:row>
    <x:row r="232">
      <x:c r="A232" s="80" t="str">
        <x:v>2026-07-21</x:v>
      </x:c>
      <x:c r="B232" t="str">
        <x:v>Email</x:v>
      </x:c>
      <x:c r="C232" t="n">
        <x:v>668</x:v>
      </x:c>
      <x:c r="D232" t="n">
        <x:v>22</x:v>
      </x:c>
      <x:c r="E232" s="81" t="n">
        <x:v>1798.47</x:v>
      </x:c>
      <x:c r="F232" s="81" t="n">
        <x:v>1039.5</x:v>
      </x:c>
      <x:c r="G232" t="n">
        <x:v>1</x:v>
      </x:c>
      <x:c r="H232" t="n">
        <x:v>20</x:v>
      </x:c>
    </x:row>
    <x:row r="233">
      <x:c r="A233" s="80" t="str">
        <x:v>2026-07-21</x:v>
      </x:c>
      <x:c r="B233" t="str">
        <x:v>Referral</x:v>
      </x:c>
      <x:c r="C233" t="n">
        <x:v>743</x:v>
      </x:c>
      <x:c r="D233" t="n">
        <x:v>25</x:v>
      </x:c>
      <x:c r="E233" s="81" t="n">
        <x:v>2212.03</x:v>
      </x:c>
      <x:c r="F233" s="81" t="n">
        <x:v>1224.46</x:v>
      </x:c>
      <x:c r="G233" t="n">
        <x:v>1</x:v>
      </x:c>
      <x:c r="H233" t="n">
        <x:v>23</x:v>
      </x:c>
    </x:row>
    <x:row r="234">
      <x:c r="A234" s="80" t="str">
        <x:v>2026-07-22</x:v>
      </x:c>
      <x:c r="B234" t="str">
        <x:v>Organic Search</x:v>
      </x:c>
      <x:c r="C234" t="n">
        <x:v>759</x:v>
      </x:c>
      <x:c r="D234" t="n">
        <x:v>26</x:v>
      </x:c>
      <x:c r="E234" s="81" t="n">
        <x:v>2230.57</x:v>
      </x:c>
      <x:c r="F234" s="81" t="n">
        <x:v>1245.72</x:v>
      </x:c>
      <x:c r="G234" t="n">
        <x:v>1</x:v>
      </x:c>
      <x:c r="H234" t="n">
        <x:v>25</x:v>
      </x:c>
    </x:row>
    <x:row r="235">
      <x:c r="A235" s="80" t="str">
        <x:v>2026-07-22</x:v>
      </x:c>
      <x:c r="B235" t="str">
        <x:v>Paid Social</x:v>
      </x:c>
      <x:c r="C235" t="n">
        <x:v>439</x:v>
      </x:c>
      <x:c r="D235" t="n">
        <x:v>16</x:v>
      </x:c>
      <x:c r="E235" s="81" t="n">
        <x:v>1296.82</x:v>
      </x:c>
      <x:c r="F235" s="81" t="n">
        <x:v>726.79</x:v>
      </x:c>
      <x:c r="G235" t="n">
        <x:v>1</x:v>
      </x:c>
      <x:c r="H235" t="n">
        <x:v>15</x:v>
      </x:c>
    </x:row>
    <x:row r="236">
      <x:c r="A236" s="80" t="str">
        <x:v>2026-07-22</x:v>
      </x:c>
      <x:c r="B236" t="str">
        <x:v>Email</x:v>
      </x:c>
      <x:c r="C236" t="n">
        <x:v>672</x:v>
      </x:c>
      <x:c r="D236" t="n">
        <x:v>21</x:v>
      </x:c>
      <x:c r="E236" s="81" t="n">
        <x:v>1717.25</x:v>
      </x:c>
      <x:c r="F236" s="81" t="n">
        <x:v>995.87</x:v>
      </x:c>
      <x:c r="G236" t="n">
        <x:v>1</x:v>
      </x:c>
      <x:c r="H236" t="n">
        <x:v>20</x:v>
      </x:c>
    </x:row>
    <x:row r="237">
      <x:c r="A237" s="80" t="str">
        <x:v>2026-07-22</x:v>
      </x:c>
      <x:c r="B237" t="str">
        <x:v>Referral</x:v>
      </x:c>
      <x:c r="C237" t="n">
        <x:v>756</x:v>
      </x:c>
      <x:c r="D237" t="n">
        <x:v>23</x:v>
      </x:c>
      <x:c r="E237" s="81" t="n">
        <x:v>2021.1</x:v>
      </x:c>
      <x:c r="F237" s="81" t="n">
        <x:v>1179.51</x:v>
      </x:c>
      <x:c r="G237" t="n">
        <x:v>1</x:v>
      </x:c>
      <x:c r="H237" t="n">
        <x:v>21</x:v>
      </x:c>
    </x:row>
    <x:row r="238">
      <x:c r="A238" s="80" t="str">
        <x:v>2026-07-23</x:v>
      </x:c>
      <x:c r="B238" t="str">
        <x:v>Organic Search</x:v>
      </x:c>
      <x:c r="C238" t="n">
        <x:v>727</x:v>
      </x:c>
      <x:c r="D238" t="n">
        <x:v>25</x:v>
      </x:c>
      <x:c r="E238" s="81" t="n">
        <x:v>2230.17</x:v>
      </x:c>
      <x:c r="F238" s="81" t="n">
        <x:v>1289.16</x:v>
      </x:c>
      <x:c r="G238" t="n">
        <x:v>1</x:v>
      </x:c>
      <x:c r="H238" t="n">
        <x:v>24</x:v>
      </x:c>
    </x:row>
    <x:row r="239">
      <x:c r="A239" s="80" t="str">
        <x:v>2026-07-23</x:v>
      </x:c>
      <x:c r="B239" t="str">
        <x:v>Paid Social</x:v>
      </x:c>
      <x:c r="C239" t="n">
        <x:v>756</x:v>
      </x:c>
      <x:c r="D239" t="n">
        <x:v>26</x:v>
      </x:c>
      <x:c r="E239" s="81" t="n">
        <x:v>2170.86</x:v>
      </x:c>
      <x:c r="F239" s="81" t="n">
        <x:v>1233</x:v>
      </x:c>
      <x:c r="G239" t="n">
        <x:v>1</x:v>
      </x:c>
      <x:c r="H239" t="n">
        <x:v>25</x:v>
      </x:c>
    </x:row>
    <x:row r="240">
      <x:c r="A240" s="80" t="str">
        <x:v>2026-07-23</x:v>
      </x:c>
      <x:c r="B240" t="str">
        <x:v>Email</x:v>
      </x:c>
      <x:c r="C240" t="n">
        <x:v>737</x:v>
      </x:c>
      <x:c r="D240" t="n">
        <x:v>25</x:v>
      </x:c>
      <x:c r="E240" s="81" t="n">
        <x:v>2089.29</x:v>
      </x:c>
      <x:c r="F240" s="81" t="n">
        <x:v>1222.25</x:v>
      </x:c>
      <x:c r="G240" t="n">
        <x:v>1</x:v>
      </x:c>
      <x:c r="H240" t="n">
        <x:v>24</x:v>
      </x:c>
    </x:row>
    <x:row r="241">
      <x:c r="A241" s="80" t="str">
        <x:v>2026-07-23</x:v>
      </x:c>
      <x:c r="B241" t="str">
        <x:v>Referral</x:v>
      </x:c>
      <x:c r="C241" t="n">
        <x:v>741</x:v>
      </x:c>
      <x:c r="D241" t="n">
        <x:v>24</x:v>
      </x:c>
      <x:c r="E241" s="81" t="n">
        <x:v>2071.61</x:v>
      </x:c>
      <x:c r="F241" s="81" t="n">
        <x:v>1149.41</x:v>
      </x:c>
      <x:c r="G241" t="n">
        <x:v>1</x:v>
      </x:c>
      <x:c r="H241" t="n">
        <x:v>22</x:v>
      </x:c>
    </x:row>
    <x:row r="242">
      <x:c r="A242" s="80" t="str">
        <x:v>2026-07-24</x:v>
      </x:c>
      <x:c r="B242" t="str">
        <x:v>Organic Search</x:v>
      </x:c>
      <x:c r="C242" t="n">
        <x:v>791</x:v>
      </x:c>
      <x:c r="D242" t="n">
        <x:v>24</x:v>
      </x:c>
      <x:c r="E242" s="81" t="n">
        <x:v>1788.99</x:v>
      </x:c>
      <x:c r="F242" s="81" t="n">
        <x:v>1043.04</x:v>
      </x:c>
      <x:c r="G242" t="n">
        <x:v>1</x:v>
      </x:c>
      <x:c r="H242" t="n">
        <x:v>23</x:v>
      </x:c>
    </x:row>
    <x:row r="243">
      <x:c r="A243" s="80" t="str">
        <x:v>2026-07-24</x:v>
      </x:c>
      <x:c r="B243" t="str">
        <x:v>Paid Social</x:v>
      </x:c>
      <x:c r="C243" t="n">
        <x:v>645</x:v>
      </x:c>
      <x:c r="D243" t="n">
        <x:v>21</x:v>
      </x:c>
      <x:c r="E243" s="81" t="n">
        <x:v>1805.58</x:v>
      </x:c>
      <x:c r="F243" s="81" t="n">
        <x:v>1031.23</x:v>
      </x:c>
      <x:c r="G243" t="n">
        <x:v>1</x:v>
      </x:c>
      <x:c r="H243" t="n">
        <x:v>20</x:v>
      </x:c>
    </x:row>
    <x:row r="244">
      <x:c r="A244" s="80" t="str">
        <x:v>2026-07-24</x:v>
      </x:c>
      <x:c r="B244" t="str">
        <x:v>Email</x:v>
      </x:c>
      <x:c r="C244" t="n">
        <x:v>708</x:v>
      </x:c>
      <x:c r="D244" t="n">
        <x:v>22</x:v>
      </x:c>
      <x:c r="E244" s="81" t="n">
        <x:v>1678.18</x:v>
      </x:c>
      <x:c r="F244" s="81" t="n">
        <x:v>952.06</x:v>
      </x:c>
      <x:c r="G244" t="n">
        <x:v>1</x:v>
      </x:c>
      <x:c r="H244" t="n">
        <x:v>21</x:v>
      </x:c>
    </x:row>
    <x:row r="245">
      <x:c r="A245" s="80" t="str">
        <x:v>2026-07-24</x:v>
      </x:c>
      <x:c r="B245" t="str">
        <x:v>Referral</x:v>
      </x:c>
      <x:c r="C245" t="n">
        <x:v>697</x:v>
      </x:c>
      <x:c r="D245" t="n">
        <x:v>23</x:v>
      </x:c>
      <x:c r="E245" s="81" t="n">
        <x:v>1930.84</x:v>
      </x:c>
      <x:c r="F245" s="81" t="n">
        <x:v>1111.59</x:v>
      </x:c>
      <x:c r="G245" t="n">
        <x:v>1</x:v>
      </x:c>
      <x:c r="H245" t="n">
        <x:v>22</x:v>
      </x:c>
    </x:row>
    <x:row r="246">
      <x:c r="A246" s="80" t="str">
        <x:v>2026-07-25</x:v>
      </x:c>
      <x:c r="B246" t="str">
        <x:v>Organic Search</x:v>
      </x:c>
      <x:c r="C246" t="n">
        <x:v>900</x:v>
      </x:c>
      <x:c r="D246" t="n">
        <x:v>28</x:v>
      </x:c>
      <x:c r="E246" s="81" t="n">
        <x:v>2115.16</x:v>
      </x:c>
      <x:c r="F246" s="81" t="n">
        <x:v>1182.67</x:v>
      </x:c>
      <x:c r="G246" t="n">
        <x:v>1</x:v>
      </x:c>
      <x:c r="H246" t="n">
        <x:v>27</x:v>
      </x:c>
    </x:row>
    <x:row r="247">
      <x:c r="A247" s="80" t="str">
        <x:v>2026-07-25</x:v>
      </x:c>
      <x:c r="B247" t="str">
        <x:v>Paid Social</x:v>
      </x:c>
      <x:c r="C247" t="n">
        <x:v>602</x:v>
      </x:c>
      <x:c r="D247" t="n">
        <x:v>18</x:v>
      </x:c>
      <x:c r="E247" s="81" t="n">
        <x:v>1393.4</x:v>
      </x:c>
      <x:c r="F247" s="81" t="n">
        <x:v>777.42</x:v>
      </x:c>
      <x:c r="G247" t="n">
        <x:v>1</x:v>
      </x:c>
      <x:c r="H247" t="n">
        <x:v>17</x:v>
      </x:c>
    </x:row>
    <x:row r="248">
      <x:c r="A248" s="80" t="str">
        <x:v>2026-07-25</x:v>
      </x:c>
      <x:c r="B248" t="str">
        <x:v>Email</x:v>
      </x:c>
      <x:c r="C248" t="n">
        <x:v>514</x:v>
      </x:c>
      <x:c r="D248" t="n">
        <x:v>18</x:v>
      </x:c>
      <x:c r="E248" s="81" t="n">
        <x:v>1385.82</x:v>
      </x:c>
      <x:c r="F248" s="81" t="n">
        <x:v>782.37</x:v>
      </x:c>
      <x:c r="G248" t="n">
        <x:v>1</x:v>
      </x:c>
      <x:c r="H248" t="n">
        <x:v>17</x:v>
      </x:c>
    </x:row>
    <x:row r="249">
      <x:c r="A249" s="80" t="str">
        <x:v>2026-07-25</x:v>
      </x:c>
      <x:c r="B249" t="str">
        <x:v>Referral</x:v>
      </x:c>
      <x:c r="C249" t="n">
        <x:v>536</x:v>
      </x:c>
      <x:c r="D249" t="n">
        <x:v>16</x:v>
      </x:c>
      <x:c r="E249" s="81" t="n">
        <x:v>1204.47</x:v>
      </x:c>
      <x:c r="F249" s="81" t="n">
        <x:v>696.57</x:v>
      </x:c>
      <x:c r="G249" t="n">
        <x:v>1</x:v>
      </x:c>
      <x:c r="H249" t="n">
        <x:v>15</x:v>
      </x:c>
    </x:row>
    <x:row r="250">
      <x:c r="A250" s="80" t="str">
        <x:v>2026-07-26</x:v>
      </x:c>
      <x:c r="B250" t="str">
        <x:v>Organic Search</x:v>
      </x:c>
      <x:c r="C250" t="n">
        <x:v>714</x:v>
      </x:c>
      <x:c r="D250" t="n">
        <x:v>21</x:v>
      </x:c>
      <x:c r="E250" s="81" t="n">
        <x:v>1763.74</x:v>
      </x:c>
      <x:c r="F250" s="81" t="n">
        <x:v>1035.99</x:v>
      </x:c>
      <x:c r="G250" t="n">
        <x:v>1</x:v>
      </x:c>
      <x:c r="H250" t="n">
        <x:v>20</x:v>
      </x:c>
    </x:row>
    <x:row r="251">
      <x:c r="A251" s="80" t="str">
        <x:v>2026-07-26</x:v>
      </x:c>
      <x:c r="B251" t="str">
        <x:v>Paid Social</x:v>
      </x:c>
      <x:c r="C251" t="n">
        <x:v>374</x:v>
      </x:c>
      <x:c r="D251" t="n">
        <x:v>13</x:v>
      </x:c>
      <x:c r="E251" s="81" t="n">
        <x:v>1155.92</x:v>
      </x:c>
      <x:c r="F251" s="81" t="n">
        <x:v>675.34</x:v>
      </x:c>
      <x:c r="G251" t="n">
        <x:v>0</x:v>
      </x:c>
      <x:c r="H251" t="n">
        <x:v>12</x:v>
      </x:c>
    </x:row>
    <x:row r="252">
      <x:c r="A252" s="80" t="str">
        <x:v>2026-07-26</x:v>
      </x:c>
      <x:c r="B252" t="str">
        <x:v>Email</x:v>
      </x:c>
      <x:c r="C252" t="n">
        <x:v>559</x:v>
      </x:c>
      <x:c r="D252" t="n">
        <x:v>17</x:v>
      </x:c>
      <x:c r="E252" s="81" t="n">
        <x:v>1474.97</x:v>
      </x:c>
      <x:c r="F252" s="81" t="n">
        <x:v>839.4</x:v>
      </x:c>
      <x:c r="G252" t="n">
        <x:v>1</x:v>
      </x:c>
      <x:c r="H252" t="n">
        <x:v>16</x:v>
      </x:c>
    </x:row>
    <x:row r="253">
      <x:c r="A253" s="80" t="str">
        <x:v>2026-07-26</x:v>
      </x:c>
      <x:c r="B253" t="str">
        <x:v>Referral</x:v>
      </x:c>
      <x:c r="C253" t="n">
        <x:v>668</x:v>
      </x:c>
      <x:c r="D253" t="n">
        <x:v>23</x:v>
      </x:c>
      <x:c r="E253" s="81" t="n">
        <x:v>2044.21</x:v>
      </x:c>
      <x:c r="F253" s="81" t="n">
        <x:v>1180.93</x:v>
      </x:c>
      <x:c r="G253" t="n">
        <x:v>1</x:v>
      </x:c>
      <x:c r="H253" t="n">
        <x:v>22</x:v>
      </x:c>
    </x:row>
    <x:row r="254">
      <x:c r="A254" s="80" t="str">
        <x:v>2026-07-27</x:v>
      </x:c>
      <x:c r="B254" t="str">
        <x:v>Organic Search</x:v>
      </x:c>
      <x:c r="C254" t="n">
        <x:v>935</x:v>
      </x:c>
      <x:c r="D254" t="n">
        <x:v>31</x:v>
      </x:c>
      <x:c r="E254" s="81" t="n">
        <x:v>2873.3</x:v>
      </x:c>
      <x:c r="F254" s="81" t="n">
        <x:v>1643.2</x:v>
      </x:c>
      <x:c r="G254" t="n">
        <x:v>2</x:v>
      </x:c>
      <x:c r="H254" t="n">
        <x:v>28</x:v>
      </x:c>
    </x:row>
    <x:row r="255">
      <x:c r="A255" s="80" t="str">
        <x:v>2026-07-27</x:v>
      </x:c>
      <x:c r="B255" t="str">
        <x:v>Paid Social</x:v>
      </x:c>
      <x:c r="C255" t="n">
        <x:v>374</x:v>
      </x:c>
      <x:c r="D255" t="n">
        <x:v>11</x:v>
      </x:c>
      <x:c r="E255" s="81" t="n">
        <x:v>1009.44</x:v>
      </x:c>
      <x:c r="F255" s="81" t="n">
        <x:v>586.42</x:v>
      </x:c>
      <x:c r="G255" t="n">
        <x:v>1</x:v>
      </x:c>
      <x:c r="H255" t="n">
        <x:v>10</x:v>
      </x:c>
    </x:row>
    <x:row r="256">
      <x:c r="A256" s="80" t="str">
        <x:v>2026-07-27</x:v>
      </x:c>
      <x:c r="B256" t="str">
        <x:v>Email</x:v>
      </x:c>
      <x:c r="C256" t="n">
        <x:v>503</x:v>
      </x:c>
      <x:c r="D256" t="n">
        <x:v>16</x:v>
      </x:c>
      <x:c r="E256" s="81" t="n">
        <x:v>1425.64</x:v>
      </x:c>
      <x:c r="F256" s="81" t="n">
        <x:v>834.12</x:v>
      </x:c>
      <x:c r="G256" t="n">
        <x:v>1</x:v>
      </x:c>
      <x:c r="H256" t="n">
        <x:v>15</x:v>
      </x:c>
    </x:row>
    <x:row r="257">
      <x:c r="A257" s="80" t="str">
        <x:v>2026-07-27</x:v>
      </x:c>
      <x:c r="B257" t="str">
        <x:v>Referral</x:v>
      </x:c>
      <x:c r="C257" t="n">
        <x:v>756</x:v>
      </x:c>
      <x:c r="D257" t="n">
        <x:v>21</x:v>
      </x:c>
      <x:c r="E257" s="81" t="n">
        <x:v>1722.47</x:v>
      </x:c>
      <x:c r="F257" s="81" t="n">
        <x:v>1015</x:v>
      </x:c>
      <x:c r="G257" t="n">
        <x:v>1</x:v>
      </x:c>
      <x:c r="H257" t="n">
        <x:v>19</x:v>
      </x:c>
    </x:row>
    <x:row r="258">
      <x:c r="A258" s="80" t="str">
        <x:v>2026-07-28</x:v>
      </x:c>
      <x:c r="B258" t="str">
        <x:v>Organic Search</x:v>
      </x:c>
      <x:c r="C258" t="n">
        <x:v>559</x:v>
      </x:c>
      <x:c r="D258" t="n">
        <x:v>16</x:v>
      </x:c>
      <x:c r="E258" s="81" t="n">
        <x:v>1310.51</x:v>
      </x:c>
      <x:c r="F258" s="81" t="n">
        <x:v>745.22</x:v>
      </x:c>
      <x:c r="G258" t="n">
        <x:v>1</x:v>
      </x:c>
      <x:c r="H258" t="n">
        <x:v>15</x:v>
      </x:c>
    </x:row>
    <x:row r="259">
      <x:c r="A259" s="80" t="str">
        <x:v>2026-07-28</x:v>
      </x:c>
      <x:c r="B259" t="str">
        <x:v>Paid Social</x:v>
      </x:c>
      <x:c r="C259" t="n">
        <x:v>452</x:v>
      </x:c>
      <x:c r="D259" t="n">
        <x:v>16</x:v>
      </x:c>
      <x:c r="E259" s="81" t="n">
        <x:v>1379.63</x:v>
      </x:c>
      <x:c r="F259" s="81" t="n">
        <x:v>785.54</x:v>
      </x:c>
      <x:c r="G259" t="n">
        <x:v>1</x:v>
      </x:c>
      <x:c r="H259" t="n">
        <x:v>15</x:v>
      </x:c>
    </x:row>
    <x:row r="260">
      <x:c r="A260" s="80" t="str">
        <x:v>2026-07-28</x:v>
      </x:c>
      <x:c r="B260" t="str">
        <x:v>Email</x:v>
      </x:c>
      <x:c r="C260" t="n">
        <x:v>521</x:v>
      </x:c>
      <x:c r="D260" t="n">
        <x:v>15</x:v>
      </x:c>
      <x:c r="E260" s="81" t="n">
        <x:v>1227.75</x:v>
      </x:c>
      <x:c r="F260" s="81" t="n">
        <x:v>719.93</x:v>
      </x:c>
      <x:c r="G260" t="n">
        <x:v>1</x:v>
      </x:c>
      <x:c r="H260" t="n">
        <x:v>13</x:v>
      </x:c>
    </x:row>
    <x:row r="261">
      <x:c r="A261" s="80" t="str">
        <x:v>2026-07-28</x:v>
      </x:c>
      <x:c r="B261" t="str">
        <x:v>Referral</x:v>
      </x:c>
      <x:c r="C261" t="n">
        <x:v>756</x:v>
      </x:c>
      <x:c r="D261" t="n">
        <x:v>25</x:v>
      </x:c>
      <x:c r="E261" s="81" t="n">
        <x:v>2156.41</x:v>
      </x:c>
      <x:c r="F261" s="81" t="n">
        <x:v>1229.09</x:v>
      </x:c>
      <x:c r="G261" t="n">
        <x:v>1</x:v>
      </x:c>
      <x:c r="H261" t="n">
        <x:v>23</x:v>
      </x:c>
    </x:row>
    <x:row r="262">
      <x:c r="A262" s="80" t="str">
        <x:v>2026-07-29</x:v>
      </x:c>
      <x:c r="B262" t="str">
        <x:v>Organic Search</x:v>
      </x:c>
      <x:c r="C262" t="n">
        <x:v>716</x:v>
      </x:c>
      <x:c r="D262" t="n">
        <x:v>25</x:v>
      </x:c>
      <x:c r="E262" s="81" t="n">
        <x:v>2106.03</x:v>
      </x:c>
      <x:c r="F262" s="81" t="n">
        <x:v>1211.42</x:v>
      </x:c>
      <x:c r="G262" t="n">
        <x:v>1</x:v>
      </x:c>
      <x:c r="H262" t="n">
        <x:v>23</x:v>
      </x:c>
    </x:row>
    <x:row r="263">
      <x:c r="A263" s="80" t="str">
        <x:v>2026-07-29</x:v>
      </x:c>
      <x:c r="B263" t="str">
        <x:v>Paid Social</x:v>
      </x:c>
      <x:c r="C263" t="n">
        <x:v>543</x:v>
      </x:c>
      <x:c r="D263" t="n">
        <x:v>16</x:v>
      </x:c>
      <x:c r="E263" s="81" t="n">
        <x:v>1301.53</x:v>
      </x:c>
      <x:c r="F263" s="81" t="n">
        <x:v>781.6</x:v>
      </x:c>
      <x:c r="G263" t="n">
        <x:v>1</x:v>
      </x:c>
      <x:c r="H263" t="n">
        <x:v>15</x:v>
      </x:c>
    </x:row>
    <x:row r="264">
      <x:c r="A264" s="80" t="str">
        <x:v>2026-07-29</x:v>
      </x:c>
      <x:c r="B264" t="str">
        <x:v>Email</x:v>
      </x:c>
      <x:c r="C264" t="n">
        <x:v>550</x:v>
      </x:c>
      <x:c r="D264" t="n">
        <x:v>18</x:v>
      </x:c>
      <x:c r="E264" s="81" t="n">
        <x:v>1485.43</x:v>
      </x:c>
      <x:c r="F264" s="81" t="n">
        <x:v>892</x:v>
      </x:c>
      <x:c r="G264" t="n">
        <x:v>1</x:v>
      </x:c>
      <x:c r="H264" t="n">
        <x:v>16</x:v>
      </x:c>
    </x:row>
    <x:row r="265">
      <x:c r="A265" s="80" t="str">
        <x:v>2026-07-29</x:v>
      </x:c>
      <x:c r="B265" t="str">
        <x:v>Referral</x:v>
      </x:c>
      <x:c r="C265" t="n">
        <x:v>550</x:v>
      </x:c>
      <x:c r="D265" t="n">
        <x:v>18</x:v>
      </x:c>
      <x:c r="E265" s="81" t="n">
        <x:v>1420.39</x:v>
      </x:c>
      <x:c r="F265" s="81" t="n">
        <x:v>813.4</x:v>
      </x:c>
      <x:c r="G265" t="n">
        <x:v>1</x:v>
      </x:c>
      <x:c r="H265" t="n">
        <x:v>16</x:v>
      </x:c>
    </x:row>
    <x:row r="266">
      <x:c r="A266" s="80" t="str">
        <x:v>2026-07-30</x:v>
      </x:c>
      <x:c r="B266" t="str">
        <x:v>Organic Search</x:v>
      </x:c>
      <x:c r="C266" t="n">
        <x:v>745</x:v>
      </x:c>
      <x:c r="D266" t="n">
        <x:v>23</x:v>
      </x:c>
      <x:c r="E266" s="81" t="n">
        <x:v>1907.14</x:v>
      </x:c>
      <x:c r="F266" s="81" t="n">
        <x:v>1146.87</x:v>
      </x:c>
      <x:c r="G266" t="n">
        <x:v>1</x:v>
      </x:c>
      <x:c r="H266" t="n">
        <x:v>21</x:v>
      </x:c>
    </x:row>
    <x:row r="267">
      <x:c r="A267" s="80" t="str">
        <x:v>2026-07-30</x:v>
      </x:c>
      <x:c r="B267" t="str">
        <x:v>Paid Social</x:v>
      </x:c>
      <x:c r="C267" t="n">
        <x:v>710</x:v>
      </x:c>
      <x:c r="D267" t="n">
        <x:v>20</x:v>
      </x:c>
      <x:c r="E267" s="81" t="n">
        <x:v>1613.77</x:v>
      </x:c>
      <x:c r="F267" s="81" t="n">
        <x:v>923.42</x:v>
      </x:c>
      <x:c r="G267" t="n">
        <x:v>1</x:v>
      </x:c>
      <x:c r="H267" t="n">
        <x:v>18</x:v>
      </x:c>
    </x:row>
    <x:row r="268">
      <x:c r="A268" s="80" t="str">
        <x:v>2026-07-30</x:v>
      </x:c>
      <x:c r="B268" t="str">
        <x:v>Email</x:v>
      </x:c>
      <x:c r="C268" t="n">
        <x:v>371</x:v>
      </x:c>
      <x:c r="D268" t="n">
        <x:v>12</x:v>
      </x:c>
      <x:c r="E268" s="81" t="n">
        <x:v>1045.12</x:v>
      </x:c>
      <x:c r="F268" s="81" t="n">
        <x:v>609.76</x:v>
      </x:c>
      <x:c r="G268" t="n">
        <x:v>1</x:v>
      </x:c>
      <x:c r="H268" t="n">
        <x:v>11</x:v>
      </x:c>
    </x:row>
    <x:row r="269">
      <x:c r="A269" s="80" t="str">
        <x:v>2026-07-30</x:v>
      </x:c>
      <x:c r="B269" t="str">
        <x:v>Referral</x:v>
      </x:c>
      <x:c r="C269" t="n">
        <x:v>626</x:v>
      </x:c>
      <x:c r="D269" t="n">
        <x:v>19</x:v>
      </x:c>
      <x:c r="E269" s="81" t="n">
        <x:v>1625.33</x:v>
      </x:c>
      <x:c r="F269" s="81" t="n">
        <x:v>924.87</x:v>
      </x:c>
      <x:c r="G269" t="n">
        <x:v>1</x:v>
      </x:c>
      <x:c r="H269" t="n">
        <x:v>18</x:v>
      </x:c>
    </x:row>
    <x:row r="270">
      <x:c r="A270" s="80" t="str">
        <x:v>2026-07-31</x:v>
      </x:c>
      <x:c r="B270" t="str">
        <x:v>Organic Search</x:v>
      </x:c>
      <x:c r="C270" t="n">
        <x:v>857</x:v>
      </x:c>
      <x:c r="D270" t="n">
        <x:v>29</x:v>
      </x:c>
      <x:c r="E270" s="81" t="n">
        <x:v>2567.92</x:v>
      </x:c>
      <x:c r="F270" s="81" t="n">
        <x:v>1490.93</x:v>
      </x:c>
      <x:c r="G270" t="n">
        <x:v>1</x:v>
      </x:c>
      <x:c r="H270" t="n">
        <x:v>26</x:v>
      </x:c>
    </x:row>
    <x:row r="271">
      <x:c r="A271" s="80" t="str">
        <x:v>2026-07-31</x:v>
      </x:c>
      <x:c r="B271" t="str">
        <x:v>Paid Social</x:v>
      </x:c>
      <x:c r="C271" t="n">
        <x:v>621</x:v>
      </x:c>
      <x:c r="D271" t="n">
        <x:v>19</x:v>
      </x:c>
      <x:c r="E271" s="81" t="n">
        <x:v>1690.98</x:v>
      </x:c>
      <x:c r="F271" s="81" t="n">
        <x:v>964.14</x:v>
      </x:c>
      <x:c r="G271" t="n">
        <x:v>1</x:v>
      </x:c>
      <x:c r="H271" t="n">
        <x:v>17</x:v>
      </x:c>
    </x:row>
    <x:row r="272">
      <x:c r="A272" s="80" t="str">
        <x:v>2026-07-31</x:v>
      </x:c>
      <x:c r="B272" t="str">
        <x:v>Email</x:v>
      </x:c>
      <x:c r="C272" t="n">
        <x:v>539</x:v>
      </x:c>
      <x:c r="D272" t="n">
        <x:v>17</x:v>
      </x:c>
      <x:c r="E272" s="81" t="n">
        <x:v>1482.31</x:v>
      </x:c>
      <x:c r="F272" s="81" t="n">
        <x:v>875.25</x:v>
      </x:c>
      <x:c r="G272" t="n">
        <x:v>1</x:v>
      </x:c>
      <x:c r="H272" t="n">
        <x:v>15</x:v>
      </x:c>
    </x:row>
    <x:row r="273">
      <x:c r="A273" s="80" t="str">
        <x:v>2026-07-31</x:v>
      </x:c>
      <x:c r="B273" t="str">
        <x:v>Referral</x:v>
      </x:c>
      <x:c r="C273" t="n">
        <x:v>534</x:v>
      </x:c>
      <x:c r="D273" t="n">
        <x:v>15</x:v>
      </x:c>
      <x:c r="E273" s="81" t="n">
        <x:v>1399.96</x:v>
      </x:c>
      <x:c r="F273" s="81" t="n">
        <x:v>820.34</x:v>
      </x:c>
      <x:c r="G273" t="n">
        <x:v>1</x:v>
      </x:c>
      <x:c r="H273" t="n">
        <x:v>14</x:v>
      </x:c>
    </x:row>
    <x:row r="274">
      <x:c r="A274" s="80" t="str">
        <x:v>2026-08-01</x:v>
      </x:c>
      <x:c r="B274" t="str">
        <x:v>Organic Search</x:v>
      </x:c>
      <x:c r="C274" t="n">
        <x:v>721</x:v>
      </x:c>
      <x:c r="D274" t="n">
        <x:v>22</x:v>
      </x:c>
      <x:c r="E274" s="81" t="n">
        <x:v>1876.59</x:v>
      </x:c>
      <x:c r="F274" s="81" t="n">
        <x:v>1112.35</x:v>
      </x:c>
      <x:c r="G274" t="n">
        <x:v>1</x:v>
      </x:c>
      <x:c r="H274" t="n">
        <x:v>20</x:v>
      </x:c>
    </x:row>
    <x:row r="275">
      <x:c r="A275" s="80" t="str">
        <x:v>2026-08-01</x:v>
      </x:c>
      <x:c r="B275" t="str">
        <x:v>Paid Social</x:v>
      </x:c>
      <x:c r="C275" t="n">
        <x:v>465</x:v>
      </x:c>
      <x:c r="D275" t="n">
        <x:v>15</x:v>
      </x:c>
      <x:c r="E275" s="81" t="n">
        <x:v>1287.08</x:v>
      </x:c>
      <x:c r="F275" s="81" t="n">
        <x:v>762.24</x:v>
      </x:c>
      <x:c r="G275" t="n">
        <x:v>1</x:v>
      </x:c>
      <x:c r="H275" t="n">
        <x:v>14</x:v>
      </x:c>
    </x:row>
    <x:row r="276">
      <x:c r="A276" s="80" t="str">
        <x:v>2026-08-01</x:v>
      </x:c>
      <x:c r="B276" t="str">
        <x:v>Email</x:v>
      </x:c>
      <x:c r="C276" t="n">
        <x:v>474</x:v>
      </x:c>
      <x:c r="D276" t="n">
        <x:v>15</x:v>
      </x:c>
      <x:c r="E276" s="81" t="n">
        <x:v>1376.67</x:v>
      </x:c>
      <x:c r="F276" s="81" t="n">
        <x:v>816.22</x:v>
      </x:c>
      <x:c r="G276" t="n">
        <x:v>1</x:v>
      </x:c>
      <x:c r="H276" t="n">
        <x:v>14</x:v>
      </x:c>
    </x:row>
    <x:row r="277">
      <x:c r="A277" s="80" t="str">
        <x:v>2026-08-01</x:v>
      </x:c>
      <x:c r="B277" t="str">
        <x:v>Referral</x:v>
      </x:c>
      <x:c r="C277" t="n">
        <x:v>430</x:v>
      </x:c>
      <x:c r="D277" t="n">
        <x:v>13</x:v>
      </x:c>
      <x:c r="E277" s="81" t="n">
        <x:v>1057.97</x:v>
      </x:c>
      <x:c r="F277" s="81" t="n">
        <x:v>608.66</x:v>
      </x:c>
      <x:c r="G277" t="n">
        <x:v>1</x:v>
      </x:c>
      <x:c r="H277" t="n">
        <x:v>12</x:v>
      </x:c>
    </x:row>
    <x:row r="278">
      <x:c r="A278" s="80" t="str">
        <x:v>2026-08-02</x:v>
      </x:c>
      <x:c r="B278" t="str">
        <x:v>Organic Search</x:v>
      </x:c>
      <x:c r="C278" t="n">
        <x:v>532</x:v>
      </x:c>
      <x:c r="D278" t="n">
        <x:v>18</x:v>
      </x:c>
      <x:c r="E278" s="81" t="n">
        <x:v>1629.33</x:v>
      </x:c>
      <x:c r="F278" s="81" t="n">
        <x:v>932.57</x:v>
      </x:c>
      <x:c r="G278" t="n">
        <x:v>1</x:v>
      </x:c>
      <x:c r="H278" t="n">
        <x:v>16</x:v>
      </x:c>
    </x:row>
    <x:row r="279">
      <x:c r="A279" s="80" t="str">
        <x:v>2026-08-02</x:v>
      </x:c>
      <x:c r="B279" t="str">
        <x:v>Paid Social</x:v>
      </x:c>
      <x:c r="C279" t="n">
        <x:v>468</x:v>
      </x:c>
      <x:c r="D279" t="n">
        <x:v>13</x:v>
      </x:c>
      <x:c r="E279" s="81" t="n">
        <x:v>1169.49</x:v>
      </x:c>
      <x:c r="F279" s="81" t="n">
        <x:v>679.59</x:v>
      </x:c>
      <x:c r="G279" t="n">
        <x:v>1</x:v>
      </x:c>
      <x:c r="H279" t="n">
        <x:v>12</x:v>
      </x:c>
    </x:row>
    <x:row r="280">
      <x:c r="A280" s="80" t="str">
        <x:v>2026-08-02</x:v>
      </x:c>
      <x:c r="B280" t="str">
        <x:v>Email</x:v>
      </x:c>
      <x:c r="C280" t="n">
        <x:v>669</x:v>
      </x:c>
      <x:c r="D280" t="n">
        <x:v>19</x:v>
      </x:c>
      <x:c r="E280" s="81" t="n">
        <x:v>1561.74</x:v>
      </x:c>
      <x:c r="F280" s="81" t="n">
        <x:v>914.71</x:v>
      </x:c>
      <x:c r="G280" t="n">
        <x:v>1</x:v>
      </x:c>
      <x:c r="H280" t="n">
        <x:v>17</x:v>
      </x:c>
    </x:row>
    <x:row r="281">
      <x:c r="A281" s="80" t="str">
        <x:v>2026-08-02</x:v>
      </x:c>
      <x:c r="B281" t="str">
        <x:v>Referral</x:v>
      </x:c>
      <x:c r="C281" t="n">
        <x:v>409</x:v>
      </x:c>
      <x:c r="D281" t="n">
        <x:v>14</x:v>
      </x:c>
      <x:c r="E281" s="81" t="n">
        <x:v>1148.07</x:v>
      </x:c>
      <x:c r="F281" s="81" t="n">
        <x:v>679.69</x:v>
      </x:c>
      <x:c r="G281" t="n">
        <x:v>1</x:v>
      </x:c>
      <x:c r="H281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8be29c82dab14b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2" hidden="0" customWidth="1"/>
    <x:col min="4" max="4" width="16" hidden="0" customWidth="1"/>
    <x:col min="5" max="5" width="18" hidden="0" customWidth="1"/>
    <x:col min="6" max="6" width="26" hidden="0" customWidth="1"/>
    <x:col min="7" max="7" width="30" hidden="0" customWidth="1"/>
  </x:cols>
  <x:sheetData>
    <x:row r="1">
      <x:c r="A1" s="3" t="str">
        <x:v>KPI DEFINITIONS, TARGETS &amp; OWNERSHIP</x:v>
      </x:c>
      <x:c r="B1" s="3" t="str">
        <x:v>KPI DEFINITIONS, TARGETS &amp; OWNERSHIP</x:v>
      </x:c>
      <x:c r="C1" s="3" t="str">
        <x:v>KPI DEFINITIONS, TARGETS &amp; OWNERSHIP</x:v>
      </x:c>
      <x:c r="D1" s="3" t="str">
        <x:v>KPI DEFINITIONS, TARGETS &amp; OWNERSHIP</x:v>
      </x:c>
      <x:c r="E1" s="3" t="str">
        <x:v>KPI DEFINITIONS, TARGETS &amp; OWNERSHIP</x:v>
      </x:c>
      <x:c r="F1" s="3" t="str">
        <x:v>KPI DEFINITIONS, TARGETS &amp; OWNERSHIP</x:v>
      </x:c>
      <x:c r="G1" s="3" t="str">
        <x:v>KPI DEFINITIONS, TARGETS &amp; OWNERSHIP</x:v>
      </x:c>
    </x:row>
    <x:row r="2">
      <x:c r="A2" s="3" t="str">
        <x:v>KPI DEFINITIONS, TARGETS &amp; OWNERSHIP</x:v>
      </x:c>
      <x:c r="B2" s="3" t="str">
        <x:v>KPI DEFINITIONS, TARGETS &amp; OWNERSHIP</x:v>
      </x:c>
      <x:c r="C2" s="3" t="str">
        <x:v>KPI DEFINITIONS, TARGETS &amp; OWNERSHIP</x:v>
      </x:c>
      <x:c r="D2" s="3" t="str">
        <x:v>KPI DEFINITIONS, TARGETS &amp; OWNERSHIP</x:v>
      </x:c>
      <x:c r="E2" s="3" t="str">
        <x:v>KPI DEFINITIONS, TARGETS &amp; OWNERSHIP</x:v>
      </x:c>
      <x:c r="F2" s="3" t="str">
        <x:v>KPI DEFINITIONS, TARGETS &amp; OWNERSHIP</x:v>
      </x:c>
      <x:c r="G2" s="3" t="str">
        <x:v>KPI DEFINITIONS, TARGETS &amp; OWNERSHIP</x:v>
      </x:c>
    </x:row>
    <x:row r="4">
      <x:c r="A4" s="82" t="str">
        <x:v>KPI</x:v>
      </x:c>
      <x:c r="B4" s="82" t="str">
        <x:v>Formula</x:v>
      </x:c>
      <x:c r="C4" s="82" t="str">
        <x:v>Direction</x:v>
      </x:c>
      <x:c r="D4" s="82" t="str">
        <x:v>Weekly target</x:v>
      </x:c>
      <x:c r="E4" s="82" t="str">
        <x:v>Owner</x:v>
      </x:c>
      <x:c r="F4" s="82" t="str">
        <x:v>Decision use</x:v>
      </x:c>
      <x:c r="G4" s="82" t="str">
        <x:v>Guardrail / caveat</x:v>
      </x:c>
    </x:row>
    <x:row r="5" ht="32" customHeight="1">
      <x:c r="A5" s="83" t="str">
        <x:v>Revenue</x:v>
      </x:c>
      <x:c r="B5" s="83" t="str">
        <x:v>SUM(Revenue)</x:v>
      </x:c>
      <x:c r="C5" s="83" t="str">
        <x:v>Higher</x:v>
      </x:c>
      <x:c r="D5" s="84" t="n">
        <x:v>48000</x:v>
      </x:c>
      <x:c r="E5" s="83" t="str">
        <x:v>Commercial Lead</x:v>
      </x:c>
      <x:c r="F5" s="83" t="str">
        <x:v>Weekly growth pacing</x:v>
      </x:c>
      <x:c r="G5" s="83" t="str">
        <x:v>Use completed week only</x:v>
      </x:c>
    </x:row>
    <x:row r="6" ht="32" customHeight="1">
      <x:c r="A6" s="83" t="str">
        <x:v>Orders</x:v>
      </x:c>
      <x:c r="B6" s="83" t="str">
        <x:v>SUM(Orders)</x:v>
      </x:c>
      <x:c r="C6" s="83" t="str">
        <x:v>Higher</x:v>
      </x:c>
      <x:c r="D6" s="85" t="n">
        <x:v>560</x:v>
      </x:c>
      <x:c r="E6" s="83" t="str">
        <x:v>E-commerce Lead</x:v>
      </x:c>
      <x:c r="F6" s="83" t="str">
        <x:v>Demand volume</x:v>
      </x:c>
      <x:c r="G6" s="83" t="str">
        <x:v>Review with conversion</x:v>
      </x:c>
    </x:row>
    <x:row r="7" ht="32" customHeight="1">
      <x:c r="A7" s="83" t="str">
        <x:v>Conversion Rate</x:v>
      </x:c>
      <x:c r="B7" s="83" t="str">
        <x:v>Orders / Sessions</x:v>
      </x:c>
      <x:c r="C7" s="83" t="str">
        <x:v>Higher</x:v>
      </x:c>
      <x:c r="D7" s="86" t="n">
        <x:v>0.033</x:v>
      </x:c>
      <x:c r="E7" s="83" t="str">
        <x:v>Growth Lead</x:v>
      </x:c>
      <x:c r="F7" s="83" t="str">
        <x:v>Traffic quality</x:v>
      </x:c>
      <x:c r="G7" s="83" t="str">
        <x:v>Stable session definition</x:v>
      </x:c>
    </x:row>
    <x:row r="8" ht="32" customHeight="1">
      <x:c r="A8" s="83" t="str">
        <x:v>Average Order Value</x:v>
      </x:c>
      <x:c r="B8" s="83" t="str">
        <x:v>Revenue / Orders</x:v>
      </x:c>
      <x:c r="C8" s="83" t="str">
        <x:v>Higher</x:v>
      </x:c>
      <x:c r="D8" s="84" t="n">
        <x:v>84</x:v>
      </x:c>
      <x:c r="E8" s="83" t="str">
        <x:v>Commercial Lead</x:v>
      </x:c>
      <x:c r="F8" s="83" t="str">
        <x:v>Basket value</x:v>
      </x:c>
      <x:c r="G8" s="83" t="str">
        <x:v>Watch discounting</x:v>
      </x:c>
    </x:row>
    <x:row r="9" ht="32" customHeight="1">
      <x:c r="A9" s="83" t="str">
        <x:v>Gross Margin</x:v>
      </x:c>
      <x:c r="B9" s="83" t="str">
        <x:v>(Revenue - COGS) / Revenue</x:v>
      </x:c>
      <x:c r="C9" s="83" t="str">
        <x:v>Higher</x:v>
      </x:c>
      <x:c r="D9" s="86" t="n">
        <x:v>0.42</x:v>
      </x:c>
      <x:c r="E9" s="83" t="str">
        <x:v>Finance</x:v>
      </x:c>
      <x:c r="F9" s="83" t="str">
        <x:v>Unit economics</x:v>
      </x:c>
      <x:c r="G9" s="83" t="str">
        <x:v>COGS completeness</x:v>
      </x:c>
    </x:row>
    <x:row r="10" ht="32" customHeight="1">
      <x:c r="A10" s="83" t="str">
        <x:v>Refund Rate</x:v>
      </x:c>
      <x:c r="B10" s="83" t="str">
        <x:v>Refund Orders / Orders</x:v>
      </x:c>
      <x:c r="C10" s="83" t="str">
        <x:v>Lower</x:v>
      </x:c>
      <x:c r="D10" s="86" t="n">
        <x:v>0.045</x:v>
      </x:c>
      <x:c r="E10" s="83" t="str">
        <x:v>CX Lead</x:v>
      </x:c>
      <x:c r="F10" s="83" t="str">
        <x:v>Customer quality guardrail</x:v>
      </x:c>
      <x:c r="G10" s="83" t="str">
        <x:v>Lagging refunds can revise</x:v>
      </x:c>
    </x:row>
    <x:row r="11" ht="32" customHeight="1">
      <x:c r="A11" s="83" t="str">
        <x:v>On-Time Fulfilment</x:v>
      </x:c>
      <x:c r="B11" s="83" t="str">
        <x:v>On-Time Orders / Orders</x:v>
      </x:c>
      <x:c r="C11" s="83" t="str">
        <x:v>Higher</x:v>
      </x:c>
      <x:c r="D11" s="86" t="n">
        <x:v>0.94</x:v>
      </x:c>
      <x:c r="E11" s="83" t="str">
        <x:v>Operations</x:v>
      </x:c>
      <x:c r="F11" s="83" t="str">
        <x:v>Delivery reliability</x:v>
      </x:c>
      <x:c r="G11" s="83" t="str">
        <x:v>Completed orders only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3" t="str">
        <x:v>END-TO-END VALIDATION CONTROLS</x:v>
      </x:c>
      <x:c r="B1" s="3" t="str">
        <x:v>END-TO-END VALIDATION CONTROLS</x:v>
      </x:c>
      <x:c r="C1" s="3" t="str">
        <x:v>END-TO-END VALIDATION CONTROLS</x:v>
      </x:c>
      <x:c r="D1" s="3" t="str">
        <x:v>END-TO-END VALIDATION CONTROLS</x:v>
      </x:c>
    </x:row>
    <x:row r="2">
      <x:c r="A2" s="3" t="str">
        <x:v>END-TO-END VALIDATION CONTROLS</x:v>
      </x:c>
      <x:c r="B2" s="3" t="str">
        <x:v>END-TO-END VALIDATION CONTROLS</x:v>
      </x:c>
      <x:c r="C2" s="3" t="str">
        <x:v>END-TO-END VALIDATION CONTROLS</x:v>
      </x:c>
      <x:c r="D2" s="3" t="str">
        <x:v>END-TO-END VALIDATION CONTROLS</x:v>
      </x:c>
    </x:row>
    <x:row r="3">
      <x:c r="A3" s="82" t="str">
        <x:v>Control</x:v>
      </x:c>
      <x:c r="B3" s="82" t="str">
        <x:v>Calculated</x:v>
      </x:c>
      <x:c r="C3" s="82" t="str">
        <x:v>Expected</x:v>
      </x:c>
      <x:c r="D3" s="82" t="str">
        <x:v>Status</x:v>
      </x:c>
    </x:row>
    <x:row r="4">
      <x:c r="A4" s="71" t="str">
        <x:v>Raw row count</x:v>
      </x:c>
      <x:c r="B4" s="71" t="n">
        <x:f>COUNTA('Daily Data'!$A$2:$A$281)</x:f>
        <x:v>280</x:v>
      </x:c>
      <x:c r="C4" s="71" t="n">
        <x:v>280</x:v>
      </x:c>
      <x:c r="D4" s="71" t="str">
        <x:f>IF(ABS(B4-C4)&lt;0.0001,"PASS","FAIL")</x:f>
        <x:v>PASS</x:v>
      </x:c>
    </x:row>
    <x:row r="5">
      <x:c r="A5" s="71" t="str">
        <x:v>Current-week days</x:v>
      </x:c>
      <x:c r="B5" s="71" t="n">
        <x:f>COUNTA(_xlfn.UNIQUE(_xlfn._xlws.FILTER('Daily Data'!$A$2:$A$281,('Daily Data'!$A$2:$A$281&gt;="2026-07-27")*('Daily Data'!$A$2:$A$281&lt;="2026-08-02"))))</x:f>
        <x:v>7</x:v>
      </x:c>
      <x:c r="C5" s="71" t="n">
        <x:v>7</x:v>
      </x:c>
      <x:c r="D5" s="71" t="str">
        <x:f>IF(ABS(B5-C5)&lt;0.0001,"PASS","FAIL")</x:f>
        <x:v>PASS</x:v>
      </x:c>
    </x:row>
    <x:row r="6">
      <x:c r="A6" s="71" t="str">
        <x:v>Current revenue</x:v>
      </x:c>
      <x:c r="B6" s="88" t="n">
        <x:f>SUMIFS('Daily Data'!$E$2:$E$281,'Daily Data'!$A$2:$A$281,"&gt;=2026-07-27",'Daily Data'!$A$2:$A$281,"&lt;=2026-08-02")</x:f>
        <x:v>43857.99999999999</x:v>
      </x:c>
      <x:c r="C6" s="88" t="n">
        <x:v>43857.99999999999</x:v>
      </x:c>
      <x:c r="D6" s="71" t="str">
        <x:f>IF(ABS(B6-C6)&lt;0.0001,"PASS","FAIL")</x:f>
        <x:v>PASS</x:v>
      </x:c>
    </x:row>
    <x:row r="7">
      <x:c r="A7" s="71" t="str">
        <x:v>Current orders</x:v>
      </x:c>
      <x:c r="B7" s="71" t="n">
        <x:f>SUMIFS('Daily Data'!$D$2:$D$281,'Daily Data'!$A$2:$A$281,"&gt;=2026-07-27",'Daily Data'!$A$2:$A$281,"&lt;=2026-08-02")</x:f>
        <x:v>511</x:v>
      </x:c>
      <x:c r="C7" s="71" t="n">
        <x:v>511</x:v>
      </x:c>
      <x:c r="D7" s="71" t="str">
        <x:f>IF(ABS(B7-C7)&lt;0.0001,"PASS","FAIL")</x:f>
        <x:v>PASS</x:v>
      </x:c>
    </x:row>
    <x:row r="8">
      <x:c r="A8" s="71" t="str">
        <x:v>Revenue reconciliation</x:v>
      </x:c>
      <x:c r="B8" s="88" t="n">
        <x:f>B6</x:f>
        <x:v>43857.99999999999</x:v>
      </x:c>
      <x:c r="C8" s="88" t="n">
        <x:v>43857.99999999999</x:v>
      </x:c>
      <x:c r="D8" s="71" t="str">
        <x:f>IF(ABS(B8-C8)&lt;0.0001,"PASS","FAIL")</x:f>
        <x:v>PASS</x:v>
      </x:c>
    </x:row>
    <x:row r="9">
      <x:c r="A9" s="71" t="str">
        <x:v>Metric count</x:v>
      </x:c>
      <x:c r="B9" s="71" t="n">
        <x:v>7</x:v>
      </x:c>
      <x:c r="C9" s="71" t="n">
        <x:v>7</x:v>
      </x:c>
      <x:c r="D9" s="71" t="str">
        <x:f>IF(ABS(B9-C9)&lt;0.0001,"PASS","FAIL")</x:f>
        <x:v>PASS</x:v>
      </x:c>
    </x:row>
    <x:row r="10">
      <x:c r="A10" s="71" t="str">
        <x:v>Complete dates</x:v>
      </x:c>
      <x:c r="B10" s="71" t="n">
        <x:f>COUNTBLANK('Daily Data'!$A$2:$A$281)</x:f>
        <x:v>0</x:v>
      </x:c>
      <x:c r="C10" s="71" t="n">
        <x:v>0</x:v>
      </x:c>
      <x:c r="D10" s="71" t="str">
        <x:f>IF(ABS(B10-C10)&lt;0.0001,"PASS","FAIL")</x:f>
        <x:v>PASS</x:v>
      </x:c>
    </x:row>
    <x:row r="11">
      <x:c r="A11" s="71" t="str">
        <x:v>Negative revenue</x:v>
      </x:c>
      <x:c r="B11" s="71" t="n">
        <x:f>COUNTIF('Daily Data'!$E$2:$E$281,"&lt;0")</x:f>
        <x:v>0</x:v>
      </x:c>
      <x:c r="C11" s="71" t="n">
        <x:v>0</x:v>
      </x:c>
      <x:c r="D11" s="71" t="str">
        <x:f>IF(ABS(B11-C11)&lt;0.0001,"PASS","FAIL")</x:f>
        <x:v>PASS</x:v>
      </x:c>
    </x:row>
  </x:sheetData>
  <x:mergeCells>
    <x:mergeCell ref="A1:D2"/>
  </x:mergeCells>
  <x:pageMargins left="0.7" right="0.7" top="0.75" bottom="0.75" header="0.3" footer="0.3"/>
</x:worksheet>
</file>