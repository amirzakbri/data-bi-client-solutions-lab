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9c9ac9a134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Report" sheetId="1" r:id="R3c4b7c4b36414719"/>
    <x:sheet xmlns:r="http://schemas.openxmlformats.org/officeDocument/2006/relationships" name="Platform Analysis" sheetId="2" r:id="R1450ac1425de4c87"/>
    <x:sheet xmlns:r="http://schemas.openxmlformats.org/officeDocument/2006/relationships" name="Content Analysis" sheetId="3" r:id="Rf50aa2b103714883"/>
    <x:sheet xmlns:r="http://schemas.openxmlformats.org/officeDocument/2006/relationships" name="Source Data" sheetId="4" r:id="Re9998d133f834549"/>
    <x:sheet xmlns:r="http://schemas.openxmlformats.org/officeDocument/2006/relationships" name="KPI Dictionary" sheetId="5" r:id="R5450330baeb24d60"/>
    <x:sheet xmlns:r="http://schemas.openxmlformats.org/officeDocument/2006/relationships" name="Targets" sheetId="6" r:id="R7f14197c0cf04467"/>
    <x:sheet xmlns:r="http://schemas.openxmlformats.org/officeDocument/2006/relationships" name="QA Checks" sheetId="7" r:id="Rb416084d6c60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"/>
    <x:numFmt numFmtId="201" formatCode="#,##0"/>
    <x:numFmt numFmtId="202" formatCode="0.0%"/>
    <x:numFmt numFmtId="203" formatCode="0.00x"/>
    <x:numFmt numFmtId="204" formatCode="$#,##0.00"/>
    <x:numFmt numFmtId="205" formatCode="$0.00"/>
    <x:numFmt numFmtId="206" formatCode="yyyy-mm-dd"/>
    <x:numFmt numFmtId="207" formatCode="0.0"/>
    <x:numFmt numFmtId="208" formatCode="#,##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73142"/>
      <x:name val="Carlito"/>
    </x:font>
    <x:font>
      <x:b/>
      <x:sz val="11"/>
      <x:color rgb="FFFFFFFF"/>
      <x:name val="Carlito"/>
    </x:font>
    <x:font>
      <x:b/>
      <x:sz val="16"/>
      <x:color rgb="FF172033"/>
      <x:name val="Carlito"/>
    </x:font>
    <x:font>
      <x:sz val="11"/>
      <x:color rgb="FF273142"/>
      <x:name val="Carlito"/>
    </x:font>
    <x:font>
      <x:i/>
      <x:sz val="9"/>
      <x:color rgb="FF273142"/>
      <x:name val="Carlito"/>
    </x:font>
    <x:font>
      <x:b/>
      <x:sz val="11"/>
      <x:color rgb="FF3C7A5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7F3EA"/>
      </x:patternFill>
    </x:fill>
    <x:fill>
      <x:patternFill patternType="solid">
        <x:fgColor rgb="FFC47A44"/>
      </x:patternFill>
    </x:fill>
    <x:fill>
      <x:patternFill patternType="solid">
        <x:fgColor rgb="FFFFFFFF"/>
      </x:patternFill>
    </x:fill>
    <x:fill>
      <x:patternFill patternType="solid">
        <x:fgColor rgb="FFE9E2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bottom style="thin">
        <x:color rgb="FFE9E2D6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3" fontId="0" fillId="0" borderId="1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202" fontId="0" fillId="7" borderId="0" xfId="0" applyNumberFormat="1" applyFont="1" applyFill="1" applyBorder="1"/>
    <x:xf numFmtId="205" fontId="0" fillId="7" borderId="0" xfId="0" applyNumberFormat="1" applyFont="1" applyFill="1" applyBorder="1"/>
    <x:xf numFmtId="203" fontId="0" fillId="7" borderId="0" xfId="0" applyNumberFormat="1" applyFont="1" applyFill="1" applyBorder="1"/>
    <x:xf numFmtId="207" fontId="0" fillId="7" borderId="0" xfId="0" applyNumberFormat="1" applyFont="1" applyFill="1" applyBorder="1"/>
    <x:xf numFmtId="208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781b4b67b4639" /><Relationship Type="http://schemas.openxmlformats.org/officeDocument/2006/relationships/theme" Target="/xl/theme/theme1.xml" Id="R317617d54abf4685" /><Relationship Type="http://schemas.openxmlformats.org/officeDocument/2006/relationships/sharedStrings" Target="/xl/sharedStrings.xml" Id="Rf69d39d21a624b30" /><Relationship Type="http://schemas.openxmlformats.org/officeDocument/2006/relationships/worksheet" Target="/xl/worksheets/sheet1.xml" Id="R3c4b7c4b36414719" /><Relationship Type="http://schemas.openxmlformats.org/officeDocument/2006/relationships/worksheet" Target="/xl/worksheets/sheet2.xml" Id="R1450ac1425de4c87" /><Relationship Type="http://schemas.openxmlformats.org/officeDocument/2006/relationships/worksheet" Target="/xl/worksheets/sheet3.xml" Id="Rf50aa2b103714883" /><Relationship Type="http://schemas.openxmlformats.org/officeDocument/2006/relationships/worksheet" Target="/xl/worksheets/sheet4.xml" Id="Re9998d133f834549" /><Relationship Type="http://schemas.openxmlformats.org/officeDocument/2006/relationships/worksheet" Target="/xl/worksheets/sheet5.xml" Id="R5450330baeb24d60" /><Relationship Type="http://schemas.openxmlformats.org/officeDocument/2006/relationships/worksheet" Target="/xl/worksheets/sheet6.xml" Id="R7f14197c0cf04467" /><Relationship Type="http://schemas.openxmlformats.org/officeDocument/2006/relationships/worksheet" Target="/xl/worksheets/sheet7.xml" Id="Rb416084d6c6049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beaf6dd9ea4570" /><Relationship Type="http://schemas.openxmlformats.org/officeDocument/2006/relationships/chart" Target="/xl/drawings/charts/chart2.xml" Id="Rbe326a36f2bb49c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July Reach by Platform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Reach</c:v>
          </c:tx>
          <c:cat>
            <c:strRef>
              <c:f>'Executive Report'!$A$11:$A$15</c:f>
              <c:strCache>
                <c:ptCount val="0"/>
              </c:strCache>
            </c:strRef>
          </c:cat>
          <c:val>
            <c:numRef>
              <c:f>'Executive Report'!$B$11:$B$15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July ROAS by Platform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July ROAS</c:v>
          </c:tx>
          <c:cat>
            <c:strRef>
              <c:f>'Executive Report'!$N$2:$N$6</c:f>
              <c:strCache>
                <c:ptCount val="0"/>
              </c:strCache>
            </c:strRef>
          </c:cat>
          <c:val>
            <c:numRef>
              <c:f>'Executive Report'!$O$2:$O$6</c:f>
              <c:numCache>
                <c:formatCode>0.0x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29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eaf6dd9ea4570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326a36f2bb49c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cialMediaSource" displayName="SocialMediaSource" ref="A4:T324" headerRowCount="1" totalsRowCount="0" totalsRowShown="0">
  <x:tableColumns count="20">
    <x:tableColumn id="1" name="POST ID"/>
    <x:tableColumn id="2" name="DATE"/>
    <x:tableColumn id="3" name="MONTH"/>
    <x:tableColumn id="4" name="PLATFORM"/>
    <x:tableColumn id="5" name="CAMPAIGN"/>
    <x:tableColumn id="6" name="FORMAT"/>
    <x:tableColumn id="7" name="THEME"/>
    <x:tableColumn id="8" name="PAID"/>
    <x:tableColumn id="9" name="IMPRESSIONS"/>
    <x:tableColumn id="10" name="REACH"/>
    <x:tableColumn id="11" name="ENGAGEMENTS"/>
    <x:tableColumn id="12" name="CLICKS"/>
    <x:tableColumn id="13" name="CONVERSIONS"/>
    <x:tableColumn id="14" name="SPEND"/>
    <x:tableColumn id="15" name="REVENUE"/>
    <x:tableColumn id="16" name="FOLLOWER START"/>
    <x:tableColumn id="17" name="FOLLOWERS GAINED"/>
    <x:tableColumn id="18" name="FOLLOWERS LOST"/>
    <x:tableColumn id="19" name="FOLLOWER END"/>
    <x:tableColumn id="20" name="RESPONSE 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390dd8c4e442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e1e92c9d62d43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3" t="str">
        <x:v>SOCIAL MEDIA | MONTHLY PERFORMANCE REPORT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N1" t="str">
        <x:v>Platform</x:v>
      </x:c>
      <x:c r="O1" t="str">
        <x:v>July ROAS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N2" t="str">
        <x:v>Instagram</x:v>
      </x:c>
      <x:c r="O2" t="n">
        <x:v>10.139641469124676</x:v>
      </x:c>
    </x:row>
    <x:row r="3" ht="22" customHeight="1">
      <x:c r="A3" s="5" t="str">
        <x:v>July 2026 executive readout | Paid + organic | Updated 2026-08-01</x:v>
      </x:c>
      <x:c r="N3" t="str">
        <x:v>Facebook</x:v>
      </x:c>
      <x:c r="O3" t="n">
        <x:v>3.2665963094733352</x:v>
      </x:c>
    </x:row>
    <x:row r="4" ht="22" customHeight="1">
      <x:c r="N4" t="str">
        <x:v>LinkedIn</x:v>
      </x:c>
      <x:c r="O4" t="n">
        <x:v>8.279923584277723</x:v>
      </x:c>
    </x:row>
    <x:row r="5" ht="22" customHeight="1">
      <x:c r="A5" s="8" t="str">
        <x:v>Revenue</x:v>
      </x:c>
      <x:c r="B5" s="8"/>
      <x:c r="C5" s="8" t="str">
        <x:v>Reach</x:v>
      </x:c>
      <x:c r="D5" s="8"/>
      <x:c r="E5" s="8" t="str">
        <x:v>Engagement Rate</x:v>
      </x:c>
      <x:c r="F5" s="8"/>
      <x:c r="G5" s="8" t="str">
        <x:v>CTR</x:v>
      </x:c>
      <x:c r="H5" s="8"/>
      <x:c r="I5" s="8" t="str">
        <x:v>Conversions</x:v>
      </x:c>
      <x:c r="J5" s="8"/>
      <x:c r="K5" s="8" t="str">
        <x:v>ROAS</x:v>
      </x:c>
      <x:c r="L5" s="8"/>
      <x:c r="N5" t="str">
        <x:v>TikTok</x:v>
      </x:c>
      <x:c r="O5" t="n">
        <x:v>3.0669198178578516</x:v>
      </x:c>
    </x:row>
    <x:row r="6" ht="22" customHeight="1">
      <x:c r="A6" s="16" t="n">
        <x:f>'Platform Analysis'!I16</x:f>
        <x:v>230678.48</x:v>
      </x:c>
      <x:c r="B6" s="16"/>
      <x:c r="C6" s="18" t="n">
        <x:f>'Platform Analysis'!E16</x:f>
        <x:v>1053266</x:v>
      </x:c>
      <x:c r="D6" s="18"/>
      <x:c r="E6" s="20" t="n">
        <x:f>'Platform Analysis'!M16</x:f>
        <x:v>0.06036936538348337</x:v>
      </x:c>
      <x:c r="F6" s="20"/>
      <x:c r="G6" s="20" t="n">
        <x:f>'Platform Analysis'!N16</x:f>
        <x:v>0.016000102916323613</x:v>
      </x:c>
      <x:c r="H6" s="20"/>
      <x:c r="I6" s="18" t="n">
        <x:f>'Platform Analysis'!J16</x:f>
        <x:v>1742</x:v>
      </x:c>
      <x:c r="J6" s="18"/>
      <x:c r="K6" s="22" t="n">
        <x:f>'Platform Analysis'!P16</x:f>
        <x:v>5.477308246646706</x:v>
      </x:c>
      <x:c r="L6" s="22"/>
      <x:c r="N6" t="str">
        <x:v>YouTube</x:v>
      </x:c>
      <x:c r="O6" t="n">
        <x:v>6.944338274994075</x:v>
      </x:c>
    </x:row>
    <x:row r="7" ht="22" customHeight="1">
      <x:c r="A7" s="17"/>
      <x:c r="B7" s="17"/>
      <x:c r="C7" s="19"/>
      <x:c r="D7" s="19"/>
      <x:c r="E7" s="21"/>
      <x:c r="F7" s="21"/>
      <x:c r="G7" s="21"/>
      <x:c r="H7" s="21"/>
      <x:c r="I7" s="19"/>
      <x:c r="J7" s="19"/>
      <x:c r="K7" s="23"/>
      <x:c r="L7" s="23"/>
    </x:row>
    <x:row r="8" ht="22" customHeight="1"/>
    <x:row r="9" ht="22" customHeight="1">
      <x:c r="A9" s="8" t="str">
        <x:v>PLATFORM SCORECARD</x:v>
      </x:c>
      <x:c r="B9" s="8"/>
      <x:c r="C9" s="8"/>
      <x:c r="D9" s="8"/>
      <x:c r="E9" s="8"/>
      <x:c r="F9" s="8"/>
      <x:c r="G9" s="8" t="str">
        <x:v>MANAGEMENT ACTIONS</x:v>
      </x:c>
      <x:c r="H9" s="8"/>
      <x:c r="I9" s="8"/>
      <x:c r="J9" s="8"/>
      <x:c r="K9" s="8"/>
      <x:c r="L9" s="8"/>
    </x:row>
    <x:row r="10" ht="22" customHeight="1">
      <x:c r="A10" s="8" t="str">
        <x:v>Platform</x:v>
      </x:c>
      <x:c r="B10" s="8" t="str">
        <x:v>Reach</x:v>
      </x:c>
      <x:c r="C10" s="8" t="str">
        <x:v>Eng. Rate</x:v>
      </x:c>
      <x:c r="D10" s="8" t="str">
        <x:v>CTR</x:v>
      </x:c>
      <x:c r="E10" s="8" t="str">
        <x:v>Conversions</x:v>
      </x:c>
      <x:c r="F10" s="8" t="str">
        <x:v>ROAS</x:v>
      </x:c>
      <x:c r="G10" s="29" t="str">
        <x:v>1. Scale YouTube Short Video content: SM0303 led July's quality score with 8.3% engagement and 5.3x ROAS.
2. Review SM0213: 0.3x ROAS is the weakest paid result; pause or refresh creative before more spend.
3. Protect response speed: prioritize posts over 24 hours in the action queue.
4. Reallocate next month's paid budget toward platforms above the 3.5x ROAS target.</x:v>
      </x:c>
      <x:c r="H10" s="29"/>
      <x:c r="I10" s="29"/>
      <x:c r="J10" s="29"/>
      <x:c r="K10" s="29"/>
      <x:c r="L10" s="29"/>
    </x:row>
    <x:row r="11" ht="22" customHeight="1">
      <x:c r="A11" t="str">
        <x:v>Instagram</x:v>
      </x:c>
      <x:c r="B11" s="24" t="n">
        <x:v>255121</x:v>
      </x:c>
      <x:c r="C11" s="25" t="n">
        <x:v>0.06479278460024851</x:v>
      </x:c>
      <x:c r="D11" s="25" t="n">
        <x:v>0.018525166532756664</x:v>
      </x:c>
      <x:c r="E11" s="24" t="n">
        <x:v>452</x:v>
      </x:c>
      <x:c r="F11" s="26" t="n">
        <x:v>10.139641469124676</x:v>
      </x:c>
      <x:c r="G11" s="29"/>
      <x:c r="H11" s="29"/>
      <x:c r="I11" s="29"/>
      <x:c r="J11" s="29"/>
      <x:c r="K11" s="29"/>
      <x:c r="L11" s="29"/>
    </x:row>
    <x:row r="12" ht="22" customHeight="1">
      <x:c r="A12" t="str">
        <x:v>Facebook</x:v>
      </x:c>
      <x:c r="B12" s="24" t="n">
        <x:v>182569</x:v>
      </x:c>
      <x:c r="C12" s="25" t="n">
        <x:v>0.043211059928027214</x:v>
      </x:c>
      <x:c r="D12" s="25" t="n">
        <x:v>0.014893013533098392</x:v>
      </x:c>
      <x:c r="E12" s="24" t="n">
        <x:v>267</x:v>
      </x:c>
      <x:c r="F12" s="26" t="n">
        <x:v>3.2665963094733352</x:v>
      </x:c>
      <x:c r="G12" s="29"/>
      <x:c r="H12" s="29"/>
      <x:c r="I12" s="29"/>
      <x:c r="J12" s="29"/>
      <x:c r="K12" s="29"/>
      <x:c r="L12" s="29"/>
    </x:row>
    <x:row r="13" ht="22" customHeight="1">
      <x:c r="A13" t="str">
        <x:v>LinkedIn</x:v>
      </x:c>
      <x:c r="B13" s="24" t="n">
        <x:v>139390</x:v>
      </x:c>
      <x:c r="C13" s="25" t="n">
        <x:v>0.03682473635124471</x:v>
      </x:c>
      <x:c r="D13" s="25" t="n">
        <x:v>0.019860619993608313</x:v>
      </x:c>
      <x:c r="E13" s="24" t="n">
        <x:v>350</x:v>
      </x:c>
      <x:c r="F13" s="26" t="n">
        <x:v>8.279923584277723</x:v>
      </x:c>
      <x:c r="G13" s="29"/>
      <x:c r="H13" s="29"/>
      <x:c r="I13" s="29"/>
      <x:c r="J13" s="29"/>
      <x:c r="K13" s="29"/>
      <x:c r="L13" s="29"/>
    </x:row>
    <x:row r="14" ht="22" customHeight="1">
      <x:c r="A14" t="str">
        <x:v>TikTok</x:v>
      </x:c>
      <x:c r="B14" s="24" t="n">
        <x:v>266527</x:v>
      </x:c>
      <x:c r="C14" s="25" t="n">
        <x:v>0.08216428354350591</x:v>
      </x:c>
      <x:c r="D14" s="25" t="n">
        <x:v>0.01110159131515981</x:v>
      </x:c>
      <x:c r="E14" s="24" t="n">
        <x:v>305</x:v>
      </x:c>
      <x:c r="F14" s="26" t="n">
        <x:v>3.0669198178578516</x:v>
      </x:c>
      <x:c r="G14" s="29"/>
      <x:c r="H14" s="29"/>
      <x:c r="I14" s="29"/>
      <x:c r="J14" s="29"/>
      <x:c r="K14" s="29"/>
      <x:c r="L14" s="29"/>
    </x:row>
    <x:row r="15" ht="22" customHeight="1">
      <x:c r="A15" t="str">
        <x:v>YouTube</x:v>
      </x:c>
      <x:c r="B15" s="24" t="n">
        <x:v>209659</x:v>
      </x:c>
      <x:c r="C15" s="25" t="n">
        <x:v>0.05787493024387219</x:v>
      </x:c>
      <x:c r="D15" s="25" t="n">
        <x:v>0.017799668891196826</x:v>
      </x:c>
      <x:c r="E15" s="24" t="n">
        <x:v>368</x:v>
      </x:c>
      <x:c r="F15" s="26" t="n">
        <x:v>6.944338274994075</x:v>
      </x:c>
      <x:c r="G15" s="29"/>
      <x:c r="H15" s="29"/>
      <x:c r="I15" s="29"/>
      <x:c r="J15" s="29"/>
      <x:c r="K15" s="29"/>
      <x:c r="L15" s="29"/>
    </x:row>
    <x:row r="16" ht="22" customHeight="1">
      <x:c r="A16" t="str">
        <x:v>TOTAL / BLENDED</x:v>
      </x:c>
      <x:c r="B16" s="24" t="n">
        <x:v>1053266</x:v>
      </x:c>
      <x:c r="C16" s="25" t="n">
        <x:v>0.06036936538348337</x:v>
      </x:c>
      <x:c r="D16" s="25" t="n">
        <x:v>0.016000102916323613</x:v>
      </x:c>
      <x:c r="E16" s="24" t="n">
        <x:v>1742</x:v>
      </x:c>
      <x:c r="F16" s="26" t="n">
        <x:v>5.477308246646702</x:v>
      </x:c>
      <x:c r="G16" s="29"/>
      <x:c r="H16" s="29"/>
      <x:c r="I16" s="29"/>
      <x:c r="J16" s="29"/>
      <x:c r="K16" s="29"/>
      <x:c r="L16" s="29"/>
    </x:row>
    <x:row r="17" ht="22" customHeight="1"/>
    <x:row r="18" ht="22" customHeight="1">
      <x:c r="A18" s="8" t="str">
        <x:v>JUNE → JULY KPI MOVEMENT</x:v>
      </x:c>
      <x:c r="B18" s="8"/>
      <x:c r="C18" s="8"/>
      <x:c r="D18" s="8"/>
      <x:c r="E18" s="8"/>
      <x:c r="F18" s="8"/>
      <x:c r="G18" s="8" t="str">
        <x:v>TOP JULY CONTENT</x:v>
      </x:c>
      <x:c r="H18" s="8"/>
      <x:c r="I18" s="8"/>
      <x:c r="J18" s="8"/>
      <x:c r="K18" s="8"/>
      <x:c r="L18" s="8"/>
    </x:row>
    <x:row r="19" ht="22" customHeight="1">
      <x:c r="A19" s="8" t="str">
        <x:v>Metric</x:v>
      </x:c>
      <x:c r="B19" s="8" t="str">
        <x:v>June</x:v>
      </x:c>
      <x:c r="C19" s="8" t="str">
        <x:v>July</x:v>
      </x:c>
      <x:c r="G19" s="8" t="str">
        <x:v>Post</x:v>
      </x:c>
      <x:c r="H19" s="8" t="str">
        <x:v>Platform</x:v>
      </x:c>
      <x:c r="I19" s="8" t="str">
        <x:v>Format</x:v>
      </x:c>
      <x:c r="J19" s="8" t="str">
        <x:v>Theme</x:v>
      </x:c>
      <x:c r="K19" s="8" t="str">
        <x:v>Eng. Rate</x:v>
      </x:c>
      <x:c r="L19" s="8" t="str">
        <x:v>ROAS</x:v>
      </x:c>
    </x:row>
    <x:row r="20" ht="22" customHeight="1">
      <x:c r="A20" t="str">
        <x:v>Reach</x:v>
      </x:c>
      <x:c r="B20" s="24" t="n">
        <x:v>896327</x:v>
      </x:c>
      <x:c r="C20" s="24" t="n">
        <x:v>1053266</x:v>
      </x:c>
      <x:c r="G20" t="str">
        <x:v>SM0303</x:v>
      </x:c>
      <x:c r="H20" t="str">
        <x:v>YouTube</x:v>
      </x:c>
      <x:c r="I20" t="str">
        <x:v>Short Video</x:v>
      </x:c>
      <x:c r="J20" t="str">
        <x:v>Education</x:v>
      </x:c>
      <x:c r="K20" s="25" t="n">
        <x:v>0.08319088319088319</x:v>
      </x:c>
      <x:c r="L20" s="26" t="n">
        <x:v>5.302389753199551</x:v>
      </x:c>
    </x:row>
    <x:row r="21" ht="22" customHeight="1">
      <x:c r="A21" t="str">
        <x:v>Engagement Rate</x:v>
      </x:c>
      <x:c r="B21" s="25" t="n">
        <x:v>0.0596824596380562</x:v>
      </x:c>
      <x:c r="C21" s="25" t="n">
        <x:v>0.06036936538348337</x:v>
      </x:c>
      <x:c r="G21" t="str">
        <x:v>SM0177</x:v>
      </x:c>
      <x:c r="H21" t="str">
        <x:v>Instagram</x:v>
      </x:c>
      <x:c r="I21" t="str">
        <x:v>Carousel</x:v>
      </x:c>
      <x:c r="J21" t="str">
        <x:v>Industry Insight</x:v>
      </x:c>
      <x:c r="K21" s="25" t="n">
        <x:v>0.09956942949407965</x:v>
      </x:c>
      <x:c r="L21" s="26" t="n">
        <x:v>0</x:v>
      </x:c>
    </x:row>
    <x:row r="22" ht="22" customHeight="1">
      <x:c r="A22" t="str">
        <x:v>CTR</x:v>
      </x:c>
      <x:c r="B22" s="25" t="n">
        <x:v>0.017395320573235073</x:v>
      </x:c>
      <x:c r="C22" s="25" t="n">
        <x:v>0.016000102916323613</x:v>
      </x:c>
      <x:c r="G22" t="str">
        <x:v>SM0175</x:v>
      </x:c>
      <x:c r="H22" t="str">
        <x:v>Instagram</x:v>
      </x:c>
      <x:c r="I22" t="str">
        <x:v>Live Clip</x:v>
      </x:c>
      <x:c r="J22" t="str">
        <x:v>Education</x:v>
      </x:c>
      <x:c r="K22" s="25" t="n">
        <x:v>0.08721751412429378</x:v>
      </x:c>
      <x:c r="L22" s="26" t="n">
        <x:v>1.9488855568846133</x:v>
      </x:c>
    </x:row>
    <x:row r="23" ht="22" customHeight="1">
      <x:c r="A23" t="str">
        <x:v>Conversions</x:v>
      </x:c>
      <x:c r="B23" s="24" t="n">
        <x:v>1651</x:v>
      </x:c>
      <x:c r="C23" s="24" t="n">
        <x:v>1742</x:v>
      </x:c>
      <x:c r="G23" t="str">
        <x:v>SM0259</x:v>
      </x:c>
      <x:c r="H23" t="str">
        <x:v>TikTok</x:v>
      </x:c>
      <x:c r="I23" t="str">
        <x:v>Live Clip</x:v>
      </x:c>
      <x:c r="J23" t="str">
        <x:v>Behind the Scenes</x:v>
      </x:c>
      <x:c r="K23" s="25" t="n">
        <x:v>0.11702849389416553</x:v>
      </x:c>
      <x:c r="L23" s="26" t="n">
        <x:v>0</x:v>
      </x:c>
    </x:row>
    <x:row r="24" ht="22" customHeight="1">
      <x:c r="A24" t="str">
        <x:v>Revenue</x:v>
      </x:c>
      <x:c r="B24" s="30" t="n">
        <x:v>215187.91000000012</x:v>
      </x:c>
      <x:c r="C24" s="30" t="n">
        <x:v>230678.4799999999</x:v>
      </x:c>
      <x:c r="G24" t="str">
        <x:v>SM0263</x:v>
      </x:c>
      <x:c r="H24" t="str">
        <x:v>TikTok</x:v>
      </x:c>
      <x:c r="I24" t="str">
        <x:v>Article</x:v>
      </x:c>
      <x:c r="J24" t="str">
        <x:v>Promotion</x:v>
      </x:c>
      <x:c r="K24" s="25" t="n">
        <x:v>0.12190152801358234</x:v>
      </x:c>
      <x:c r="L24" s="26" t="n">
        <x:v>0.936542044008337</x:v>
      </x:c>
    </x:row>
    <x:row r="25" ht="22" customHeight="1">
      <x:c r="A25" t="str">
        <x:v>ROAS</x:v>
      </x:c>
      <x:c r="B25" s="26" t="n">
        <x:v>6.036532894220093</x:v>
      </x:c>
      <x:c r="C25" s="26" t="n">
        <x:v>5.477308246646702</x:v>
      </x:c>
    </x:row>
    <x:row r="26" ht="22" customHeight="1"/>
    <x:row r="27" ht="22" customHeight="1">
      <x:c r="A27" s="33" t="str">
        <x:v>Definitions: engagement rate = engagements ÷ reach; CTR = clicks ÷ impressions; conversion rate = conversions ÷ clicks; ROAS = attributed revenue ÷ paid spend. Organic rows have zero spend and are excluded from CPC/ROAS interpretation. Synthetic portfolio data.</x:v>
      </x:c>
    </x:row>
    <x:row r="28" ht="22" customHeight="1"/>
  </x:sheetData>
  <x:mergeCells>
    <x:mergeCell ref="A1:L2"/>
    <x:mergeCell ref="A3:L3"/>
    <x:mergeCell ref="A5:B5"/>
    <x:mergeCell ref="C5:D5"/>
    <x:mergeCell ref="E5:F5"/>
    <x:mergeCell ref="G5:H5"/>
    <x:mergeCell ref="I5:J5"/>
    <x:mergeCell ref="K5:L5"/>
    <x:mergeCell ref="A6:B7"/>
    <x:mergeCell ref="C6:D7"/>
    <x:mergeCell ref="E6:F7"/>
    <x:mergeCell ref="G6:H7"/>
    <x:mergeCell ref="I6:J7"/>
    <x:mergeCell ref="K6:L7"/>
    <x:mergeCell ref="A9:F9"/>
    <x:mergeCell ref="G9:L9"/>
    <x:mergeCell ref="G10:L16"/>
    <x:mergeCell ref="A18:F18"/>
    <x:mergeCell ref="G18:L18"/>
    <x:mergeCell ref="A27:L28"/>
  </x:mergeCells>
  <x:pageMargins left="0.7" right="0.7" top="0.75" bottom="0.75" header="0.3" footer="0.3"/>
  <x:drawing xmlns:r="http://schemas.openxmlformats.org/officeDocument/2006/relationships" r:id="Rd4390dd8c4e4427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3" t="str">
        <x:v>PLATFORM ANALYSIS | FORMULA-DRIVEN MONTHLY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4">
      <x:c r="A4" s="8" t="str">
        <x:v>Month</x:v>
      </x:c>
      <x:c r="B4" s="8" t="str">
        <x:v>Platform</x:v>
      </x:c>
      <x:c r="C4" s="8" t="str">
        <x:v>Posts</x:v>
      </x:c>
      <x:c r="D4" s="8" t="str">
        <x:v>Impressions</x:v>
      </x:c>
      <x:c r="E4" s="8" t="str">
        <x:v>Reach</x:v>
      </x:c>
      <x:c r="F4" s="8" t="str">
        <x:v>Engagements</x:v>
      </x:c>
      <x:c r="G4" s="8" t="str">
        <x:v>Clicks</x:v>
      </x:c>
      <x:c r="H4" s="8" t="str">
        <x:v>Spend</x:v>
      </x:c>
      <x:c r="I4" s="8" t="str">
        <x:v>Revenue</x:v>
      </x:c>
      <x:c r="J4" s="8" t="str">
        <x:v>Conversions</x:v>
      </x:c>
      <x:c r="K4" s="8" t="str">
        <x:v>Followers Gained</x:v>
      </x:c>
      <x:c r="L4" s="8" t="str">
        <x:v>Followers Lost</x:v>
      </x:c>
      <x:c r="M4" s="8" t="str">
        <x:v>Engagement Rate</x:v>
      </x:c>
      <x:c r="N4" s="8" t="str">
        <x:v>CTR</x:v>
      </x:c>
      <x:c r="O4" s="8" t="str">
        <x:v>CPC</x:v>
      </x:c>
      <x:c r="P4" s="8" t="str">
        <x:v>ROAS</x:v>
      </x:c>
    </x:row>
    <x:row r="5">
      <x:c r="A5" s="34" t="str">
        <x:v>2026-06</x:v>
      </x:c>
      <x:c r="B5" s="34" t="str">
        <x:v>Instagram</x:v>
      </x:c>
      <x:c r="C5" s="24" t="n">
        <x:f>COUNTIFS('Source Data'!$C$5:$C$324,$A5,'Source Data'!$D$5:$D$324,$B5)</x:f>
        <x:v>30</x:v>
      </x:c>
      <x:c r="D5" s="24" t="n">
        <x:f>SUMIFS('Source Data'!$I$5:$I$324,'Source Data'!$C$5:$C$324,$A5,'Source Data'!$D$5:$D$324,$B5)</x:f>
        <x:v>254350</x:v>
      </x:c>
      <x:c r="E5" s="24" t="n">
        <x:f>SUMIFS('Source Data'!$J$5:$J$324,'Source Data'!$C$5:$C$324,$A5,'Source Data'!$D$5:$D$324,$B5)</x:f>
        <x:v>185943</x:v>
      </x:c>
      <x:c r="F5" s="24" t="n">
        <x:f>SUMIFS('Source Data'!$K$5:$K$324,'Source Data'!$C$5:$C$324,$A5,'Source Data'!$D$5:$D$324,$B5)</x:f>
        <x:v>12805</x:v>
      </x:c>
      <x:c r="G5" s="24" t="n">
        <x:f>SUMIFS('Source Data'!$L$5:$L$324,'Source Data'!$C$5:$C$324,$A5,'Source Data'!$D$5:$D$324,$B5)</x:f>
        <x:v>5465</x:v>
      </x:c>
      <x:c r="H5" s="37" t="n">
        <x:f>SUMIFS('Source Data'!$N$5:$N$324,'Source Data'!$C$5:$C$324,$A5,'Source Data'!$D$5:$D$324,$B5)</x:f>
        <x:v>4561.349999999999</x:v>
      </x:c>
      <x:c r="I5" s="37" t="n">
        <x:f>SUMIFS('Source Data'!$O$5:$O$324,'Source Data'!$C$5:$C$324,$A5,'Source Data'!$D$5:$D$324,$B5)</x:f>
        <x:v>46573.60000000002</x:v>
      </x:c>
      <x:c r="J5" s="24" t="n">
        <x:f>SUMIFS('Source Data'!$M$5:$M$324,'Source Data'!$C$5:$C$324,$A5,'Source Data'!$D$5:$D$324,$B5)</x:f>
        <x:v>385</x:v>
      </x:c>
      <x:c r="K5" s="24" t="n">
        <x:f>SUMIFS('Source Data'!$Q$5:$Q$324,'Source Data'!$C$5:$C$324,$A5,'Source Data'!$D$5:$D$324,$B5)</x:f>
        <x:v>309</x:v>
      </x:c>
      <x:c r="L5" s="24" t="n">
        <x:f>SUMIFS('Source Data'!$R$5:$R$324,'Source Data'!$C$5:$C$324,$A5,'Source Data'!$D$5:$D$324,$B5)</x:f>
        <x:v>72</x:v>
      </x:c>
      <x:c r="M5" s="25" t="n">
        <x:f>IFERROR(F5/E5,0)</x:f>
        <x:v>0.06886518987001393</x:v>
      </x:c>
      <x:c r="N5" s="25" t="n">
        <x:f>IFERROR(G5/D5,0)</x:f>
        <x:v>0.021486141144092787</x:v>
      </x:c>
      <x:c r="O5" s="40" t="n">
        <x:f>IFERROR(H5/G5,0)</x:f>
        <x:v>0.8346477584629459</x:v>
      </x:c>
      <x:c r="P5" s="26" t="n">
        <x:f>IFERROR(I5/H5,0)</x:f>
        <x:v>10.210485930700347</x:v>
      </x:c>
    </x:row>
    <x:row r="6">
      <x:c r="A6" s="34" t="str">
        <x:v>2026-06</x:v>
      </x:c>
      <x:c r="B6" s="34" t="str">
        <x:v>Facebook</x:v>
      </x:c>
      <x:c r="C6" s="24" t="n">
        <x:f>COUNTIFS('Source Data'!$C$5:$C$324,$A6,'Source Data'!$D$5:$D$324,$B6)</x:f>
        <x:v>30</x:v>
      </x:c>
      <x:c r="D6" s="24" t="n">
        <x:f>SUMIFS('Source Data'!$I$5:$I$324,'Source Data'!$C$5:$C$324,$A6,'Source Data'!$D$5:$D$324,$B6)</x:f>
        <x:v>203211</x:v>
      </x:c>
      <x:c r="E6" s="24" t="n">
        <x:f>SUMIFS('Source Data'!$J$5:$J$324,'Source Data'!$C$5:$C$324,$A6,'Source Data'!$D$5:$D$324,$B6)</x:f>
        <x:v>145367</x:v>
      </x:c>
      <x:c r="F6" s="24" t="n">
        <x:f>SUMIFS('Source Data'!$K$5:$K$324,'Source Data'!$C$5:$C$324,$A6,'Source Data'!$D$5:$D$324,$B6)</x:f>
        <x:v>6364</x:v>
      </x:c>
      <x:c r="G6" s="24" t="n">
        <x:f>SUMIFS('Source Data'!$L$5:$L$324,'Source Data'!$C$5:$C$324,$A6,'Source Data'!$D$5:$D$324,$B6)</x:f>
        <x:v>2734</x:v>
      </x:c>
      <x:c r="H6" s="37" t="n">
        <x:f>SUMIFS('Source Data'!$N$5:$N$324,'Source Data'!$C$5:$C$324,$A6,'Source Data'!$D$5:$D$324,$B6)</x:f>
        <x:v>11476.3</x:v>
      </x:c>
      <x:c r="I6" s="37" t="n">
        <x:f>SUMIFS('Source Data'!$O$5:$O$324,'Source Data'!$C$5:$C$324,$A6,'Source Data'!$D$5:$D$324,$B6)</x:f>
        <x:v>28271.050000000003</x:v>
      </x:c>
      <x:c r="J6" s="24" t="n">
        <x:f>SUMIFS('Source Data'!$M$5:$M$324,'Source Data'!$C$5:$C$324,$A6,'Source Data'!$D$5:$D$324,$B6)</x:f>
        <x:v>198</x:v>
      </x:c>
      <x:c r="K6" s="24" t="n">
        <x:f>SUMIFS('Source Data'!$Q$5:$Q$324,'Source Data'!$C$5:$C$324,$A6,'Source Data'!$D$5:$D$324,$B6)</x:f>
        <x:v>220</x:v>
      </x:c>
      <x:c r="L6" s="24" t="n">
        <x:f>SUMIFS('Source Data'!$R$5:$R$324,'Source Data'!$C$5:$C$324,$A6,'Source Data'!$D$5:$D$324,$B6)</x:f>
        <x:v>53</x:v>
      </x:c>
      <x:c r="M6" s="25" t="n">
        <x:f>IFERROR(F6/E6,0)</x:f>
        <x:v>0.043778849394979606</x:v>
      </x:c>
      <x:c r="N6" s="25" t="n">
        <x:f>IFERROR(G6/D6,0)</x:f>
        <x:v>0.0134539960927312</x:v>
      </x:c>
      <x:c r="O6" s="40" t="n">
        <x:f>IFERROR(H6/G6,0)</x:f>
        <x:v>4.197622531089978</x:v>
      </x:c>
      <x:c r="P6" s="26" t="n">
        <x:f>IFERROR(I6/H6,0)</x:f>
        <x:v>2.4634289797234303</x:v>
      </x:c>
    </x:row>
    <x:row r="7">
      <x:c r="A7" s="34" t="str">
        <x:v>2026-06</x:v>
      </x:c>
      <x:c r="B7" s="34" t="str">
        <x:v>LinkedIn</x:v>
      </x:c>
      <x:c r="C7" s="24" t="n">
        <x:f>COUNTIFS('Source Data'!$C$5:$C$324,$A7,'Source Data'!$D$5:$D$324,$B7)</x:f>
        <x:v>30</x:v>
      </x:c>
      <x:c r="D7" s="24" t="n">
        <x:f>SUMIFS('Source Data'!$I$5:$I$324,'Source Data'!$C$5:$C$324,$A7,'Source Data'!$D$5:$D$324,$B7)</x:f>
        <x:v>172529</x:v>
      </x:c>
      <x:c r="E7" s="24" t="n">
        <x:f>SUMIFS('Source Data'!$J$5:$J$324,'Source Data'!$C$5:$C$324,$A7,'Source Data'!$D$5:$D$324,$B7)</x:f>
        <x:v>126528</x:v>
      </x:c>
      <x:c r="F7" s="24" t="n">
        <x:f>SUMIFS('Source Data'!$K$5:$K$324,'Source Data'!$C$5:$C$324,$A7,'Source Data'!$D$5:$D$324,$B7)</x:f>
        <x:v>4269</x:v>
      </x:c>
      <x:c r="G7" s="24" t="n">
        <x:f>SUMIFS('Source Data'!$L$5:$L$324,'Source Data'!$C$5:$C$324,$A7,'Source Data'!$D$5:$D$324,$B7)</x:f>
        <x:v>3688</x:v>
      </x:c>
      <x:c r="H7" s="37" t="n">
        <x:f>SUMIFS('Source Data'!$N$5:$N$324,'Source Data'!$C$5:$C$324,$A7,'Source Data'!$D$5:$D$324,$B7)</x:f>
        <x:v>4969.490000000001</x:v>
      </x:c>
      <x:c r="I7" s="37" t="n">
        <x:f>SUMIFS('Source Data'!$O$5:$O$324,'Source Data'!$C$5:$C$324,$A7,'Source Data'!$D$5:$D$324,$B7)</x:f>
        <x:v>46777.02999999999</x:v>
      </x:c>
      <x:c r="J7" s="24" t="n">
        <x:f>SUMIFS('Source Data'!$M$5:$M$324,'Source Data'!$C$5:$C$324,$A7,'Source Data'!$D$5:$D$324,$B7)</x:f>
        <x:v>355</x:v>
      </x:c>
      <x:c r="K7" s="24" t="n">
        <x:f>SUMIFS('Source Data'!$Q$5:$Q$324,'Source Data'!$C$5:$C$324,$A7,'Source Data'!$D$5:$D$324,$B7)</x:f>
        <x:v>180</x:v>
      </x:c>
      <x:c r="L7" s="24" t="n">
        <x:f>SUMIFS('Source Data'!$R$5:$R$324,'Source Data'!$C$5:$C$324,$A7,'Source Data'!$D$5:$D$324,$B7)</x:f>
        <x:v>45</x:v>
      </x:c>
      <x:c r="M7" s="25" t="n">
        <x:f>IFERROR(F7/E7,0)</x:f>
        <x:v>0.03373956752655539</x:v>
      </x:c>
      <x:c r="N7" s="25" t="n">
        <x:f>IFERROR(G7/D7,0)</x:f>
        <x:v>0.021376116478968754</x:v>
      </x:c>
      <x:c r="O7" s="40" t="n">
        <x:f>IFERROR(H7/G7,0)</x:f>
        <x:v>1.3474755965292844</x:v>
      </x:c>
      <x:c r="P7" s="26" t="n">
        <x:f>IFERROR(I7/H7,0)</x:f>
        <x:v>9.412843169017341</x:v>
      </x:c>
    </x:row>
    <x:row r="8">
      <x:c r="A8" s="34" t="str">
        <x:v>2026-06</x:v>
      </x:c>
      <x:c r="B8" s="34" t="str">
        <x:v>TikTok</x:v>
      </x:c>
      <x:c r="C8" s="24" t="n">
        <x:f>COUNTIFS('Source Data'!$C$5:$C$324,$A8,'Source Data'!$D$5:$D$324,$B8)</x:f>
        <x:v>30</x:v>
      </x:c>
      <x:c r="D8" s="24" t="n">
        <x:f>SUMIFS('Source Data'!$I$5:$I$324,'Source Data'!$C$5:$C$324,$A8,'Source Data'!$D$5:$D$324,$B8)</x:f>
        <x:v>352698</x:v>
      </x:c>
      <x:c r="E8" s="24" t="n">
        <x:f>SUMIFS('Source Data'!$J$5:$J$324,'Source Data'!$C$5:$C$324,$A8,'Source Data'!$D$5:$D$324,$B8)</x:f>
        <x:v>255697</x:v>
      </x:c>
      <x:c r="F8" s="24" t="n">
        <x:f>SUMIFS('Source Data'!$K$5:$K$324,'Source Data'!$C$5:$C$324,$A8,'Source Data'!$D$5:$D$324,$B8)</x:f>
        <x:v>20589</x:v>
      </x:c>
      <x:c r="G8" s="24" t="n">
        <x:f>SUMIFS('Source Data'!$L$5:$L$324,'Source Data'!$C$5:$C$324,$A8,'Source Data'!$D$5:$D$324,$B8)</x:f>
        <x:v>4620</x:v>
      </x:c>
      <x:c r="H8" s="37" t="n">
        <x:f>SUMIFS('Source Data'!$N$5:$N$324,'Source Data'!$C$5:$C$324,$A8,'Source Data'!$D$5:$D$324,$B8)</x:f>
        <x:v>9681.67</x:v>
      </x:c>
      <x:c r="I8" s="37" t="n">
        <x:f>SUMIFS('Source Data'!$O$5:$O$324,'Source Data'!$C$5:$C$324,$A8,'Source Data'!$D$5:$D$324,$B8)</x:f>
        <x:v>42665.85</x:v>
      </x:c>
      <x:c r="J8" s="24" t="n">
        <x:f>SUMIFS('Source Data'!$M$5:$M$324,'Source Data'!$C$5:$C$324,$A8,'Source Data'!$D$5:$D$324,$B8)</x:f>
        <x:v>354</x:v>
      </x:c>
      <x:c r="K8" s="24" t="n">
        <x:f>SUMIFS('Source Data'!$Q$5:$Q$324,'Source Data'!$C$5:$C$324,$A8,'Source Data'!$D$5:$D$324,$B8)</x:f>
        <x:v>466</x:v>
      </x:c>
      <x:c r="L8" s="24" t="n">
        <x:f>SUMIFS('Source Data'!$R$5:$R$324,'Source Data'!$C$5:$C$324,$A8,'Source Data'!$D$5:$D$324,$B8)</x:f>
        <x:v>117</x:v>
      </x:c>
      <x:c r="M8" s="25" t="n">
        <x:f>IFERROR(F8/E8,0)</x:f>
        <x:v>0.08052108550354521</x:v>
      </x:c>
      <x:c r="N8" s="25" t="n">
        <x:f>IFERROR(G8/D8,0)</x:f>
        <x:v>0.013099025228382355</x:v>
      </x:c>
      <x:c r="O8" s="40" t="n">
        <x:f>IFERROR(H8/G8,0)</x:f>
        <x:v>2.0955995670995673</x:v>
      </x:c>
      <x:c r="P8" s="26" t="n">
        <x:f>IFERROR(I8/H8,0)</x:f>
        <x:v>4.406868856302683</x:v>
      </x:c>
    </x:row>
    <x:row r="9">
      <x:c r="A9" s="34" t="str">
        <x:v>2026-06</x:v>
      </x:c>
      <x:c r="B9" s="34" t="str">
        <x:v>YouTube</x:v>
      </x:c>
      <x:c r="C9" s="24" t="n">
        <x:f>COUNTIFS('Source Data'!$C$5:$C$324,$A9,'Source Data'!$D$5:$D$324,$B9)</x:f>
        <x:v>30</x:v>
      </x:c>
      <x:c r="D9" s="24" t="n">
        <x:f>SUMIFS('Source Data'!$I$5:$I$324,'Source Data'!$C$5:$C$324,$A9,'Source Data'!$D$5:$D$324,$B9)</x:f>
        <x:v>244841</x:v>
      </x:c>
      <x:c r="E9" s="24" t="n">
        <x:f>SUMIFS('Source Data'!$J$5:$J$324,'Source Data'!$C$5:$C$324,$A9,'Source Data'!$D$5:$D$324,$B9)</x:f>
        <x:v>182792</x:v>
      </x:c>
      <x:c r="F9" s="24" t="n">
        <x:f>SUMIFS('Source Data'!$K$5:$K$324,'Source Data'!$C$5:$C$324,$A9,'Source Data'!$D$5:$D$324,$B9)</x:f>
        <x:v>9468</x:v>
      </x:c>
      <x:c r="G9" s="24" t="n">
        <x:f>SUMIFS('Source Data'!$L$5:$L$324,'Source Data'!$C$5:$C$324,$A9,'Source Data'!$D$5:$D$324,$B9)</x:f>
        <x:v>4848</x:v>
      </x:c>
      <x:c r="H9" s="37" t="n">
        <x:f>SUMIFS('Source Data'!$N$5:$N$324,'Source Data'!$C$5:$C$324,$A9,'Source Data'!$D$5:$D$324,$B9)</x:f>
        <x:v>4958.79</x:v>
      </x:c>
      <x:c r="I9" s="37" t="n">
        <x:f>SUMIFS('Source Data'!$O$5:$O$324,'Source Data'!$C$5:$C$324,$A9,'Source Data'!$D$5:$D$324,$B9)</x:f>
        <x:v>50900.38</x:v>
      </x:c>
      <x:c r="J9" s="24" t="n">
        <x:f>SUMIFS('Source Data'!$M$5:$M$324,'Source Data'!$C$5:$C$324,$A9,'Source Data'!$D$5:$D$324,$B9)</x:f>
        <x:v>359</x:v>
      </x:c>
      <x:c r="K9" s="24" t="n">
        <x:f>SUMIFS('Source Data'!$Q$5:$Q$324,'Source Data'!$C$5:$C$324,$A9,'Source Data'!$D$5:$D$324,$B9)</x:f>
        <x:v>303</x:v>
      </x:c>
      <x:c r="L9" s="24" t="n">
        <x:f>SUMIFS('Source Data'!$R$5:$R$324,'Source Data'!$C$5:$C$324,$A9,'Source Data'!$D$5:$D$324,$B9)</x:f>
        <x:v>75</x:v>
      </x:c>
      <x:c r="M9" s="25" t="n">
        <x:f>IFERROR(F9/E9,0)</x:f>
        <x:v>0.051796577530745326</x:v>
      </x:c>
      <x:c r="N9" s="25" t="n">
        <x:f>IFERROR(G9/D9,0)</x:f>
        <x:v>0.019800605290780548</x:v>
      </x:c>
      <x:c r="O9" s="40" t="n">
        <x:f>IFERROR(H9/G9,0)</x:f>
        <x:v>1.0228527227722772</x:v>
      </x:c>
      <x:c r="P9" s="26" t="n">
        <x:f>IFERROR(I9/H9,0)</x:f>
        <x:v>10.264677471721932</x:v>
      </x:c>
    </x:row>
    <x:row r="10">
      <x:c r="A10" s="34" t="str">
        <x:v>2026-07</x:v>
      </x:c>
      <x:c r="B10" s="34" t="str">
        <x:v>Instagram</x:v>
      </x:c>
      <x:c r="C10" s="24" t="n">
        <x:f>COUNTIFS('Source Data'!$C$5:$C$324,$A10,'Source Data'!$D$5:$D$324,$B10)</x:f>
        <x:v>34</x:v>
      </x:c>
      <x:c r="D10" s="24" t="n">
        <x:f>SUMIFS('Source Data'!$I$5:$I$324,'Source Data'!$C$5:$C$324,$A10,'Source Data'!$D$5:$D$324,$B10)</x:f>
        <x:v>350982</x:v>
      </x:c>
      <x:c r="E10" s="24" t="n">
        <x:f>SUMIFS('Source Data'!$J$5:$J$324,'Source Data'!$C$5:$C$324,$A10,'Source Data'!$D$5:$D$324,$B10)</x:f>
        <x:v>255121</x:v>
      </x:c>
      <x:c r="F10" s="24" t="n">
        <x:f>SUMIFS('Source Data'!$K$5:$K$324,'Source Data'!$C$5:$C$324,$A10,'Source Data'!$D$5:$D$324,$B10)</x:f>
        <x:v>16530</x:v>
      </x:c>
      <x:c r="G10" s="24" t="n">
        <x:f>SUMIFS('Source Data'!$L$5:$L$324,'Source Data'!$C$5:$C$324,$A10,'Source Data'!$D$5:$D$324,$B10)</x:f>
        <x:v>6502</x:v>
      </x:c>
      <x:c r="H10" s="37" t="n">
        <x:f>SUMIFS('Source Data'!$N$5:$N$324,'Source Data'!$C$5:$C$324,$A10,'Source Data'!$D$5:$D$324,$B10)</x:f>
        <x:v>6056.939999999999</x:v>
      </x:c>
      <x:c r="I10" s="37" t="n">
        <x:f>SUMIFS('Source Data'!$O$5:$O$324,'Source Data'!$C$5:$C$324,$A10,'Source Data'!$D$5:$D$324,$B10)</x:f>
        <x:v>61415.200000000004</x:v>
      </x:c>
      <x:c r="J10" s="24" t="n">
        <x:f>SUMIFS('Source Data'!$M$5:$M$324,'Source Data'!$C$5:$C$324,$A10,'Source Data'!$D$5:$D$324,$B10)</x:f>
        <x:v>452</x:v>
      </x:c>
      <x:c r="K10" s="24" t="n">
        <x:f>SUMIFS('Source Data'!$Q$5:$Q$324,'Source Data'!$C$5:$C$324,$A10,'Source Data'!$D$5:$D$324,$B10)</x:f>
        <x:v>403</x:v>
      </x:c>
      <x:c r="L10" s="24" t="n">
        <x:f>SUMIFS('Source Data'!$R$5:$R$324,'Source Data'!$C$5:$C$324,$A10,'Source Data'!$D$5:$D$324,$B10)</x:f>
        <x:v>90</x:v>
      </x:c>
      <x:c r="M10" s="25" t="n">
        <x:f>IFERROR(F10/E10,0)</x:f>
        <x:v>0.06479278460024851</x:v>
      </x:c>
      <x:c r="N10" s="25" t="n">
        <x:f>IFERROR(G10/D10,0)</x:f>
        <x:v>0.018525166532756664</x:v>
      </x:c>
      <x:c r="O10" s="40" t="n">
        <x:f>IFERROR(H10/G10,0)</x:f>
        <x:v>0.931550292217779</x:v>
      </x:c>
      <x:c r="P10" s="26" t="n">
        <x:f>IFERROR(I10/H10,0)</x:f>
        <x:v>10.139641469124676</x:v>
      </x:c>
    </x:row>
    <x:row r="11">
      <x:c r="A11" s="34" t="str">
        <x:v>2026-07</x:v>
      </x:c>
      <x:c r="B11" s="34" t="str">
        <x:v>Facebook</x:v>
      </x:c>
      <x:c r="C11" s="24" t="n">
        <x:f>COUNTIFS('Source Data'!$C$5:$C$324,$A11,'Source Data'!$D$5:$D$324,$B11)</x:f>
        <x:v>34</x:v>
      </x:c>
      <x:c r="D11" s="24" t="n">
        <x:f>SUMIFS('Source Data'!$I$5:$I$324,'Source Data'!$C$5:$C$324,$A11,'Source Data'!$D$5:$D$324,$B11)</x:f>
        <x:v>257369</x:v>
      </x:c>
      <x:c r="E11" s="24" t="n">
        <x:f>SUMIFS('Source Data'!$J$5:$J$324,'Source Data'!$C$5:$C$324,$A11,'Source Data'!$D$5:$D$324,$B11)</x:f>
        <x:v>182569</x:v>
      </x:c>
      <x:c r="F11" s="24" t="n">
        <x:f>SUMIFS('Source Data'!$K$5:$K$324,'Source Data'!$C$5:$C$324,$A11,'Source Data'!$D$5:$D$324,$B11)</x:f>
        <x:v>7889</x:v>
      </x:c>
      <x:c r="G11" s="24" t="n">
        <x:f>SUMIFS('Source Data'!$L$5:$L$324,'Source Data'!$C$5:$C$324,$A11,'Source Data'!$D$5:$D$324,$B11)</x:f>
        <x:v>3833</x:v>
      </x:c>
      <x:c r="H11" s="37" t="n">
        <x:f>SUMIFS('Source Data'!$N$5:$N$324,'Source Data'!$C$5:$C$324,$A11,'Source Data'!$D$5:$D$324,$B11)</x:f>
        <x:v>10849.4</x:v>
      </x:c>
      <x:c r="I11" s="37" t="n">
        <x:f>SUMIFS('Source Data'!$O$5:$O$324,'Source Data'!$C$5:$C$324,$A11,'Source Data'!$D$5:$D$324,$B11)</x:f>
        <x:v>35440.61</x:v>
      </x:c>
      <x:c r="J11" s="24" t="n">
        <x:f>SUMIFS('Source Data'!$M$5:$M$324,'Source Data'!$C$5:$C$324,$A11,'Source Data'!$D$5:$D$324,$B11)</x:f>
        <x:v>267</x:v>
      </x:c>
      <x:c r="K11" s="24" t="n">
        <x:f>SUMIFS('Source Data'!$Q$5:$Q$324,'Source Data'!$C$5:$C$324,$A11,'Source Data'!$D$5:$D$324,$B11)</x:f>
        <x:v>291</x:v>
      </x:c>
      <x:c r="L11" s="24" t="n">
        <x:f>SUMIFS('Source Data'!$R$5:$R$324,'Source Data'!$C$5:$C$324,$A11,'Source Data'!$D$5:$D$324,$B11)</x:f>
        <x:v>75</x:v>
      </x:c>
      <x:c r="M11" s="25" t="n">
        <x:f>IFERROR(F11/E11,0)</x:f>
        <x:v>0.043211059928027214</x:v>
      </x:c>
      <x:c r="N11" s="25" t="n">
        <x:f>IFERROR(G11/D11,0)</x:f>
        <x:v>0.014893013533098392</x:v>
      </x:c>
      <x:c r="O11" s="40" t="n">
        <x:f>IFERROR(H11/G11,0)</x:f>
        <x:v>2.8305243934255153</x:v>
      </x:c>
      <x:c r="P11" s="26" t="n">
        <x:f>IFERROR(I11/H11,0)</x:f>
        <x:v>3.2665963094733352</x:v>
      </x:c>
    </x:row>
    <x:row r="12">
      <x:c r="A12" s="34" t="str">
        <x:v>2026-07</x:v>
      </x:c>
      <x:c r="B12" s="34" t="str">
        <x:v>LinkedIn</x:v>
      </x:c>
      <x:c r="C12" s="24" t="n">
        <x:f>COUNTIFS('Source Data'!$C$5:$C$324,$A12,'Source Data'!$D$5:$D$324,$B12)</x:f>
        <x:v>34</x:v>
      </x:c>
      <x:c r="D12" s="24" t="n">
        <x:f>SUMIFS('Source Data'!$I$5:$I$324,'Source Data'!$C$5:$C$324,$A12,'Source Data'!$D$5:$D$324,$B12)</x:f>
        <x:v>194002</x:v>
      </x:c>
      <x:c r="E12" s="24" t="n">
        <x:f>SUMIFS('Source Data'!$J$5:$J$324,'Source Data'!$C$5:$C$324,$A12,'Source Data'!$D$5:$D$324,$B12)</x:f>
        <x:v>139390</x:v>
      </x:c>
      <x:c r="F12" s="24" t="n">
        <x:f>SUMIFS('Source Data'!$K$5:$K$324,'Source Data'!$C$5:$C$324,$A12,'Source Data'!$D$5:$D$324,$B12)</x:f>
        <x:v>5133</x:v>
      </x:c>
      <x:c r="G12" s="24" t="n">
        <x:f>SUMIFS('Source Data'!$L$5:$L$324,'Source Data'!$C$5:$C$324,$A12,'Source Data'!$D$5:$D$324,$B12)</x:f>
        <x:v>3853</x:v>
      </x:c>
      <x:c r="H12" s="37" t="n">
        <x:f>SUMIFS('Source Data'!$N$5:$N$324,'Source Data'!$C$5:$C$324,$A12,'Source Data'!$D$5:$D$324,$B12)</x:f>
        <x:v>5784.150000000001</x:v>
      </x:c>
      <x:c r="I12" s="37" t="n">
        <x:f>SUMIFS('Source Data'!$O$5:$O$324,'Source Data'!$C$5:$C$324,$A12,'Source Data'!$D$5:$D$324,$B12)</x:f>
        <x:v>47892.31999999999</x:v>
      </x:c>
      <x:c r="J12" s="24" t="n">
        <x:f>SUMIFS('Source Data'!$M$5:$M$324,'Source Data'!$C$5:$C$324,$A12,'Source Data'!$D$5:$D$324,$B12)</x:f>
        <x:v>350</x:v>
      </x:c>
      <x:c r="K12" s="24" t="n">
        <x:f>SUMIFS('Source Data'!$Q$5:$Q$324,'Source Data'!$C$5:$C$324,$A12,'Source Data'!$D$5:$D$324,$B12)</x:f>
        <x:v>224</x:v>
      </x:c>
      <x:c r="L12" s="24" t="n">
        <x:f>SUMIFS('Source Data'!$R$5:$R$324,'Source Data'!$C$5:$C$324,$A12,'Source Data'!$D$5:$D$324,$B12)</x:f>
        <x:v>54</x:v>
      </x:c>
      <x:c r="M12" s="25" t="n">
        <x:f>IFERROR(F12/E12,0)</x:f>
        <x:v>0.03682473635124471</x:v>
      </x:c>
      <x:c r="N12" s="25" t="n">
        <x:f>IFERROR(G12/D12,0)</x:f>
        <x:v>0.019860619993608313</x:v>
      </x:c>
      <x:c r="O12" s="40" t="n">
        <x:f>IFERROR(H12/G12,0)</x:f>
        <x:v>1.5012068518037893</x:v>
      </x:c>
      <x:c r="P12" s="26" t="n">
        <x:f>IFERROR(I12/H12,0)</x:f>
        <x:v>8.279923584277723</x:v>
      </x:c>
    </x:row>
    <x:row r="13">
      <x:c r="A13" s="34" t="str">
        <x:v>2026-07</x:v>
      </x:c>
      <x:c r="B13" s="34" t="str">
        <x:v>TikTok</x:v>
      </x:c>
      <x:c r="C13" s="24" t="n">
        <x:f>COUNTIFS('Source Data'!$C$5:$C$324,$A13,'Source Data'!$D$5:$D$324,$B13)</x:f>
        <x:v>34</x:v>
      </x:c>
      <x:c r="D13" s="24" t="n">
        <x:f>SUMIFS('Source Data'!$I$5:$I$324,'Source Data'!$C$5:$C$324,$A13,'Source Data'!$D$5:$D$324,$B13)</x:f>
        <x:v>382828</x:v>
      </x:c>
      <x:c r="E13" s="24" t="n">
        <x:f>SUMIFS('Source Data'!$J$5:$J$324,'Source Data'!$C$5:$C$324,$A13,'Source Data'!$D$5:$D$324,$B13)</x:f>
        <x:v>266527</x:v>
      </x:c>
      <x:c r="F13" s="24" t="n">
        <x:f>SUMIFS('Source Data'!$K$5:$K$324,'Source Data'!$C$5:$C$324,$A13,'Source Data'!$D$5:$D$324,$B13)</x:f>
        <x:v>21899</x:v>
      </x:c>
      <x:c r="G13" s="24" t="n">
        <x:f>SUMIFS('Source Data'!$L$5:$L$324,'Source Data'!$C$5:$C$324,$A13,'Source Data'!$D$5:$D$324,$B13)</x:f>
        <x:v>4250</x:v>
      </x:c>
      <x:c r="H13" s="37" t="n">
        <x:f>SUMIFS('Source Data'!$N$5:$N$324,'Source Data'!$C$5:$C$324,$A13,'Source Data'!$D$5:$D$324,$B13)</x:f>
        <x:v>12627.499999999998</x:v>
      </x:c>
      <x:c r="I13" s="37" t="n">
        <x:f>SUMIFS('Source Data'!$O$5:$O$324,'Source Data'!$C$5:$C$324,$A13,'Source Data'!$D$5:$D$324,$B13)</x:f>
        <x:v>38727.53000000001</x:v>
      </x:c>
      <x:c r="J13" s="24" t="n">
        <x:f>SUMIFS('Source Data'!$M$5:$M$324,'Source Data'!$C$5:$C$324,$A13,'Source Data'!$D$5:$D$324,$B13)</x:f>
        <x:v>305</x:v>
      </x:c>
      <x:c r="K13" s="24" t="n">
        <x:f>SUMIFS('Source Data'!$Q$5:$Q$324,'Source Data'!$C$5:$C$324,$A13,'Source Data'!$D$5:$D$324,$B13)</x:f>
        <x:v>440</x:v>
      </x:c>
      <x:c r="L13" s="24" t="n">
        <x:f>SUMIFS('Source Data'!$R$5:$R$324,'Source Data'!$C$5:$C$324,$A13,'Source Data'!$D$5:$D$324,$B13)</x:f>
        <x:v>118</x:v>
      </x:c>
      <x:c r="M13" s="25" t="n">
        <x:f>IFERROR(F13/E13,0)</x:f>
        <x:v>0.08216428354350591</x:v>
      </x:c>
      <x:c r="N13" s="25" t="n">
        <x:f>IFERROR(G13/D13,0)</x:f>
        <x:v>0.01110159131515981</x:v>
      </x:c>
      <x:c r="O13" s="40" t="n">
        <x:f>IFERROR(H13/G13,0)</x:f>
        <x:v>2.971176470588235</x:v>
      </x:c>
      <x:c r="P13" s="26" t="n">
        <x:f>IFERROR(I13/H13,0)</x:f>
        <x:v>3.0669198178578516</x:v>
      </x:c>
    </x:row>
    <x:row r="14">
      <x:c r="A14" s="34" t="str">
        <x:v>2026-07</x:v>
      </x:c>
      <x:c r="B14" s="34" t="str">
        <x:v>YouTube</x:v>
      </x:c>
      <x:c r="C14" s="24" t="n">
        <x:f>COUNTIFS('Source Data'!$C$5:$C$324,$A14,'Source Data'!$D$5:$D$324,$B14)</x:f>
        <x:v>34</x:v>
      </x:c>
      <x:c r="D14" s="24" t="n">
        <x:f>SUMIFS('Source Data'!$I$5:$I$324,'Source Data'!$C$5:$C$324,$A14,'Source Data'!$D$5:$D$324,$B14)</x:f>
        <x:v>291747</x:v>
      </x:c>
      <x:c r="E14" s="24" t="n">
        <x:f>SUMIFS('Source Data'!$J$5:$J$324,'Source Data'!$C$5:$C$324,$A14,'Source Data'!$D$5:$D$324,$B14)</x:f>
        <x:v>209659</x:v>
      </x:c>
      <x:c r="F14" s="24" t="n">
        <x:f>SUMIFS('Source Data'!$K$5:$K$324,'Source Data'!$C$5:$C$324,$A14,'Source Data'!$D$5:$D$324,$B14)</x:f>
        <x:v>12134</x:v>
      </x:c>
      <x:c r="G14" s="24" t="n">
        <x:f>SUMIFS('Source Data'!$L$5:$L$324,'Source Data'!$C$5:$C$324,$A14,'Source Data'!$D$5:$D$324,$B14)</x:f>
        <x:v>5193</x:v>
      </x:c>
      <x:c r="H14" s="37" t="n">
        <x:f>SUMIFS('Source Data'!$N$5:$N$324,'Source Data'!$C$5:$C$324,$A14,'Source Data'!$D$5:$D$324,$B14)</x:f>
        <x:v>6797.310000000001</x:v>
      </x:c>
      <x:c r="I14" s="37" t="n">
        <x:f>SUMIFS('Source Data'!$O$5:$O$324,'Source Data'!$C$5:$C$324,$A14,'Source Data'!$D$5:$D$324,$B14)</x:f>
        <x:v>47202.819999999985</x:v>
      </x:c>
      <x:c r="J14" s="24" t="n">
        <x:f>SUMIFS('Source Data'!$M$5:$M$324,'Source Data'!$C$5:$C$324,$A14,'Source Data'!$D$5:$D$324,$B14)</x:f>
        <x:v>368</x:v>
      </x:c>
      <x:c r="K14" s="24" t="n">
        <x:f>SUMIFS('Source Data'!$Q$5:$Q$324,'Source Data'!$C$5:$C$324,$A14,'Source Data'!$D$5:$D$324,$B14)</x:f>
        <x:v>331</x:v>
      </x:c>
      <x:c r="L14" s="24" t="n">
        <x:f>SUMIFS('Source Data'!$R$5:$R$324,'Source Data'!$C$5:$C$324,$A14,'Source Data'!$D$5:$D$324,$B14)</x:f>
        <x:v>77</x:v>
      </x:c>
      <x:c r="M14" s="25" t="n">
        <x:f>IFERROR(F14/E14,0)</x:f>
        <x:v>0.05787493024387219</x:v>
      </x:c>
      <x:c r="N14" s="25" t="n">
        <x:f>IFERROR(G14/D14,0)</x:f>
        <x:v>0.017799668891196826</x:v>
      </x:c>
      <x:c r="O14" s="40" t="n">
        <x:f>IFERROR(H14/G14,0)</x:f>
        <x:v>1.30893703061814</x:v>
      </x:c>
      <x:c r="P14" s="26" t="n">
        <x:f>IFERROR(I14/H14,0)</x:f>
        <x:v>6.944338274994075</x:v>
      </x:c>
    </x:row>
    <x:row r="15">
      <x:c r="A15" s="34" t="str">
        <x:v>2026-06</x:v>
      </x:c>
      <x:c r="B15" s="34" t="str">
        <x:v>TOTAL</x:v>
      </x:c>
      <x:c r="C15" s="24" t="n">
        <x:f>SUM(C5:C9)</x:f>
        <x:v>150</x:v>
      </x:c>
      <x:c r="D15" s="24" t="n">
        <x:f>SUM(D5:D9)</x:f>
        <x:v>1227629</x:v>
      </x:c>
      <x:c r="E15" s="24" t="n">
        <x:f>SUM(E5:E9)</x:f>
        <x:v>896327</x:v>
      </x:c>
      <x:c r="F15" s="24" t="n">
        <x:f>SUM(F5:F9)</x:f>
        <x:v>53495</x:v>
      </x:c>
      <x:c r="G15" s="24" t="n">
        <x:f>SUM(G5:G9)</x:f>
        <x:v>21355</x:v>
      </x:c>
      <x:c r="H15" s="37" t="n">
        <x:f>SUM(H5:H9)</x:f>
        <x:v>35647.6</x:v>
      </x:c>
      <x:c r="I15" s="37" t="n">
        <x:f>SUM(I5:I9)</x:f>
        <x:v>215187.91000000003</x:v>
      </x:c>
      <x:c r="J15" s="24" t="n">
        <x:f>SUM(J5:J9)</x:f>
        <x:v>1651</x:v>
      </x:c>
      <x:c r="K15" s="24" t="n">
        <x:f>SUM(K5:K9)</x:f>
        <x:v>1478</x:v>
      </x:c>
      <x:c r="L15" s="24" t="n">
        <x:f>SUM(L5:L9)</x:f>
        <x:v>362</x:v>
      </x:c>
      <x:c r="M15" s="25" t="n">
        <x:f>IFERROR(F15/E15,0)</x:f>
        <x:v>0.0596824596380562</x:v>
      </x:c>
      <x:c r="N15" s="25" t="n">
        <x:f>IFERROR(G15/D15,0)</x:f>
        <x:v>0.017395320573235073</x:v>
      </x:c>
      <x:c r="O15" s="40" t="n">
        <x:f>IFERROR(H15/G15,0)</x:f>
        <x:v>1.6692858815265745</x:v>
      </x:c>
      <x:c r="P15" s="26" t="n">
        <x:f>IFERROR(I15/H15,0)</x:f>
        <x:v>6.036532894220089</x:v>
      </x:c>
    </x:row>
    <x:row r="16">
      <x:c r="A16" s="35" t="str">
        <x:v>2026-07</x:v>
      </x:c>
      <x:c r="B16" s="35" t="str">
        <x:v>TOTAL</x:v>
      </x:c>
      <x:c r="C16" s="36" t="n">
        <x:f>SUM(C10:C14)</x:f>
        <x:v>170</x:v>
      </x:c>
      <x:c r="D16" s="36" t="n">
        <x:f>SUM(D10:D14)</x:f>
        <x:v>1476928</x:v>
      </x:c>
      <x:c r="E16" s="36" t="n">
        <x:f>SUM(E10:E14)</x:f>
        <x:v>1053266</x:v>
      </x:c>
      <x:c r="F16" s="36" t="n">
        <x:f>SUM(F10:F14)</x:f>
        <x:v>63585</x:v>
      </x:c>
      <x:c r="G16" s="36" t="n">
        <x:f>SUM(G10:G14)</x:f>
        <x:v>23631</x:v>
      </x:c>
      <x:c r="H16" s="38" t="n">
        <x:f>SUM(H10:H14)</x:f>
        <x:v>42115.3</x:v>
      </x:c>
      <x:c r="I16" s="38" t="n">
        <x:f>SUM(I10:I14)</x:f>
        <x:v>230678.48</x:v>
      </x:c>
      <x:c r="J16" s="36" t="n">
        <x:f>SUM(J10:J14)</x:f>
        <x:v>1742</x:v>
      </x:c>
      <x:c r="K16" s="36" t="n">
        <x:f>SUM(K10:K14)</x:f>
        <x:v>1689</x:v>
      </x:c>
      <x:c r="L16" s="36" t="n">
        <x:f>SUM(L10:L14)</x:f>
        <x:v>414</x:v>
      </x:c>
      <x:c r="M16" s="39" t="n">
        <x:f>IFERROR(F16/E16,0)</x:f>
        <x:v>0.06036936538348337</x:v>
      </x:c>
      <x:c r="N16" s="39" t="n">
        <x:f>IFERROR(G16/D16,0)</x:f>
        <x:v>0.016000102916323613</x:v>
      </x:c>
      <x:c r="O16" s="41" t="n">
        <x:f>IFERROR(H16/G16,0)</x:f>
        <x:v>1.7822055774194914</x:v>
      </x:c>
      <x:c r="P16" s="42" t="n">
        <x:f>IFERROR(I16/H16,0)</x:f>
        <x:v>5.477308246646706</x:v>
      </x:c>
    </x:row>
  </x:sheetData>
  <x:mergeCells>
    <x:mergeCell ref="A1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</x:cols>
  <x:sheetData>
    <x:row r="1">
      <x:c r="A1" s="3" t="str">
        <x:v>CONTENT ANALYSIS | JULY 2026 TOP POSTS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4">
      <x:c r="A4" s="8" t="str">
        <x:v>Rank</x:v>
      </x:c>
      <x:c r="B4" s="8" t="str">
        <x:v>Post ID</x:v>
      </x:c>
      <x:c r="C4" s="8" t="str">
        <x:v>Date</x:v>
      </x:c>
      <x:c r="D4" s="8" t="str">
        <x:v>Platform</x:v>
      </x:c>
      <x:c r="E4" s="8" t="str">
        <x:v>Format</x:v>
      </x:c>
      <x:c r="F4" s="8" t="str">
        <x:v>Theme</x:v>
      </x:c>
      <x:c r="G4" s="8" t="str">
        <x:v>Impressions</x:v>
      </x:c>
      <x:c r="H4" s="8" t="str">
        <x:v>Reach</x:v>
      </x:c>
      <x:c r="I4" s="8" t="str">
        <x:v>Engagements</x:v>
      </x:c>
      <x:c r="J4" s="8" t="str">
        <x:v>Clicks</x:v>
      </x:c>
      <x:c r="K4" s="8" t="str">
        <x:v>Conversions</x:v>
      </x:c>
      <x:c r="L4" s="8" t="str">
        <x:v>Spend</x:v>
      </x:c>
      <x:c r="M4" s="8" t="str">
        <x:v>Revenue</x:v>
      </x:c>
      <x:c r="N4" s="8" t="str">
        <x:v>Eng. Rate</x:v>
      </x:c>
      <x:c r="O4" s="8" t="str">
        <x:v>CTR</x:v>
      </x:c>
      <x:c r="P4" s="8" t="str">
        <x:v>ROAS</x:v>
      </x:c>
      <x:c r="Q4" s="8" t="str">
        <x:v>Action</x:v>
      </x:c>
    </x:row>
    <x:row r="5">
      <x:c r="A5" t="n">
        <x:v>1</x:v>
      </x:c>
      <x:c r="B5" t="str">
        <x:v>SM0303</x:v>
      </x:c>
      <x:c r="C5" t="str">
        <x:v>2026-07-17</x:v>
      </x:c>
      <x:c r="D5" t="str">
        <x:v>YouTube</x:v>
      </x:c>
      <x:c r="E5" t="str">
        <x:v>Short Video</x:v>
      </x:c>
      <x:c r="F5" t="str">
        <x:v>Education</x:v>
      </x:c>
      <x:c r="G5" s="24" t="n">
        <x:v>11074</x:v>
      </x:c>
      <x:c r="H5" s="24" t="n">
        <x:v>7020</x:v>
      </x:c>
      <x:c r="I5" s="24" t="n">
        <x:v>584</x:v>
      </x:c>
      <x:c r="J5" s="24" t="n">
        <x:v>292</x:v>
      </x:c>
      <x:c r="K5" s="24" t="n">
        <x:v>32</x:v>
      </x:c>
      <x:c r="L5" s="37" t="n">
        <x:v>971.23</x:v>
      </x:c>
      <x:c r="M5" s="37" t="n">
        <x:v>5149.84</x:v>
      </x:c>
      <x:c r="N5" s="25" t="n">
        <x:v>0.08319088319088319</x:v>
      </x:c>
      <x:c r="O5" s="25" t="n">
        <x:v>0.02636806935163446</x:v>
      </x:c>
      <x:c r="P5" s="26" t="n">
        <x:v>5.302389753199551</x:v>
      </x:c>
      <x:c r="Q5" t="str">
        <x:v>Scale</x:v>
      </x:c>
    </x:row>
    <x:row r="6">
      <x:c r="A6" t="n">
        <x:v>2</x:v>
      </x:c>
      <x:c r="B6" t="str">
        <x:v>SM0177</x:v>
      </x:c>
      <x:c r="C6" t="str">
        <x:v>2026-07-27</x:v>
      </x:c>
      <x:c r="D6" t="str">
        <x:v>Instagram</x:v>
      </x:c>
      <x:c r="E6" t="str">
        <x:v>Carousel</x:v>
      </x:c>
      <x:c r="F6" t="str">
        <x:v>Industry Insight</x:v>
      </x:c>
      <x:c r="G6" s="24" t="n">
        <x:v>5405</x:v>
      </x:c>
      <x:c r="H6" s="24" t="n">
        <x:v>3716</x:v>
      </x:c>
      <x:c r="I6" s="24" t="n">
        <x:v>370</x:v>
      </x:c>
      <x:c r="J6" s="24" t="n">
        <x:v>155</x:v>
      </x:c>
      <x:c r="K6" s="24" t="n">
        <x:v>15</x:v>
      </x:c>
      <x:c r="L6" s="37" t="n">
        <x:v>0</x:v>
      </x:c>
      <x:c r="M6" s="37" t="n">
        <x:v>1208.97</x:v>
      </x:c>
      <x:c r="N6" s="25" t="n">
        <x:v>0.09956942949407965</x:v>
      </x:c>
      <x:c r="O6" s="25" t="n">
        <x:v>0.028677150786308975</x:v>
      </x:c>
      <x:c r="P6" s="26" t="n">
        <x:v>0</x:v>
      </x:c>
      <x:c r="Q6" t="str">
        <x:v>Repurpose</x:v>
      </x:c>
    </x:row>
    <x:row r="7">
      <x:c r="A7" t="n">
        <x:v>3</x:v>
      </x:c>
      <x:c r="B7" t="str">
        <x:v>SM0175</x:v>
      </x:c>
      <x:c r="C7" t="str">
        <x:v>2026-07-25</x:v>
      </x:c>
      <x:c r="D7" t="str">
        <x:v>Instagram</x:v>
      </x:c>
      <x:c r="E7" t="str">
        <x:v>Live Clip</x:v>
      </x:c>
      <x:c r="F7" t="str">
        <x:v>Education</x:v>
      </x:c>
      <x:c r="G7" s="24" t="n">
        <x:v>3833</x:v>
      </x:c>
      <x:c r="H7" s="24" t="n">
        <x:v>2832</x:v>
      </x:c>
      <x:c r="I7" s="24" t="n">
        <x:v>247</x:v>
      </x:c>
      <x:c r="J7" s="24" t="n">
        <x:v>110</x:v>
      </x:c>
      <x:c r="K7" s="24" t="n">
        <x:v>12</x:v>
      </x:c>
      <x:c r="L7" s="37" t="n">
        <x:v>593.57</x:v>
      </x:c>
      <x:c r="M7" s="37" t="n">
        <x:v>1156.8</x:v>
      </x:c>
      <x:c r="N7" s="25" t="n">
        <x:v>0.08721751412429378</x:v>
      </x:c>
      <x:c r="O7" s="25" t="n">
        <x:v>0.02869814766501435</x:v>
      </x:c>
      <x:c r="P7" s="26" t="n">
        <x:v>1.9488855568846133</x:v>
      </x:c>
      <x:c r="Q7" t="str">
        <x:v>Review paid spend</x:v>
      </x:c>
    </x:row>
    <x:row r="8">
      <x:c r="A8" t="n">
        <x:v>4</x:v>
      </x:c>
      <x:c r="B8" t="str">
        <x:v>SM0259</x:v>
      </x:c>
      <x:c r="C8" t="str">
        <x:v>2026-07-07</x:v>
      </x:c>
      <x:c r="D8" t="str">
        <x:v>TikTok</x:v>
      </x:c>
      <x:c r="E8" t="str">
        <x:v>Live Clip</x:v>
      </x:c>
      <x:c r="F8" t="str">
        <x:v>Behind the Scenes</x:v>
      </x:c>
      <x:c r="G8" s="24" t="n">
        <x:v>17713</x:v>
      </x:c>
      <x:c r="H8" s="24" t="n">
        <x:v>11792</x:v>
      </x:c>
      <x:c r="I8" s="24" t="n">
        <x:v>1380</x:v>
      </x:c>
      <x:c r="J8" s="24" t="n">
        <x:v>238</x:v>
      </x:c>
      <x:c r="K8" s="24" t="n">
        <x:v>26</x:v>
      </x:c>
      <x:c r="L8" s="37" t="n">
        <x:v>0</x:v>
      </x:c>
      <x:c r="M8" s="37" t="n">
        <x:v>4300.17</x:v>
      </x:c>
      <x:c r="N8" s="25" t="n">
        <x:v>0.11702849389416553</x:v>
      </x:c>
      <x:c r="O8" s="25" t="n">
        <x:v>0.013436459097837746</x:v>
      </x:c>
      <x:c r="P8" s="26" t="n">
        <x:v>0</x:v>
      </x:c>
      <x:c r="Q8" t="str">
        <x:v>Repurpose</x:v>
      </x:c>
    </x:row>
    <x:row r="9">
      <x:c r="A9" t="n">
        <x:v>5</x:v>
      </x:c>
      <x:c r="B9" t="str">
        <x:v>SM0263</x:v>
      </x:c>
      <x:c r="C9" t="str">
        <x:v>2026-07-11</x:v>
      </x:c>
      <x:c r="D9" t="str">
        <x:v>TikTok</x:v>
      </x:c>
      <x:c r="E9" t="str">
        <x:v>Article</x:v>
      </x:c>
      <x:c r="F9" t="str">
        <x:v>Promotion</x:v>
      </x:c>
      <x:c r="G9" s="24" t="n">
        <x:v>4652</x:v>
      </x:c>
      <x:c r="H9" s="24" t="n">
        <x:v>2945</x:v>
      </x:c>
      <x:c r="I9" s="24" t="n">
        <x:v>359</x:v>
      </x:c>
      <x:c r="J9" s="24" t="n">
        <x:v>70</x:v>
      </x:c>
      <x:c r="K9" s="24" t="n">
        <x:v>7</x:v>
      </x:c>
      <x:c r="L9" s="37" t="n">
        <x:v>1084.34</x:v>
      </x:c>
      <x:c r="M9" s="37" t="n">
        <x:v>1015.53</x:v>
      </x:c>
      <x:c r="N9" s="25" t="n">
        <x:v>0.12190152801358234</x:v>
      </x:c>
      <x:c r="O9" s="25" t="n">
        <x:v>0.015047291487532245</x:v>
      </x:c>
      <x:c r="P9" s="26" t="n">
        <x:v>0.936542044008337</x:v>
      </x:c>
      <x:c r="Q9" t="str">
        <x:v>Review paid spend</x:v>
      </x:c>
    </x:row>
    <x:row r="10">
      <x:c r="A10" t="n">
        <x:v>6</x:v>
      </x:c>
      <x:c r="B10" t="str">
        <x:v>SM0152</x:v>
      </x:c>
      <x:c r="C10" t="str">
        <x:v>2026-07-02</x:v>
      </x:c>
      <x:c r="D10" t="str">
        <x:v>Instagram</x:v>
      </x:c>
      <x:c r="E10" t="str">
        <x:v>Carousel</x:v>
      </x:c>
      <x:c r="F10" t="str">
        <x:v>Customer Story</x:v>
      </x:c>
      <x:c r="G10" s="24" t="n">
        <x:v>4543</x:v>
      </x:c>
      <x:c r="H10" s="24" t="n">
        <x:v>2915</x:v>
      </x:c>
      <x:c r="I10" s="24" t="n">
        <x:v>305</x:v>
      </x:c>
      <x:c r="J10" s="24" t="n">
        <x:v>110</x:v>
      </x:c>
      <x:c r="K10" s="24" t="n">
        <x:v>8</x:v>
      </x:c>
      <x:c r="L10" s="37" t="n">
        <x:v>0</x:v>
      </x:c>
      <x:c r="M10" s="37" t="n">
        <x:v>1208.8</x:v>
      </x:c>
      <x:c r="N10" s="25" t="n">
        <x:v>0.10463121783876501</x:v>
      </x:c>
      <x:c r="O10" s="25" t="n">
        <x:v>0.024213075060532687</x:v>
      </x:c>
      <x:c r="P10" s="26" t="n">
        <x:v>0</x:v>
      </x:c>
      <x:c r="Q10" t="str">
        <x:v>Repurpose</x:v>
      </x:c>
    </x:row>
    <x:row r="11">
      <x:c r="A11" t="n">
        <x:v>7</x:v>
      </x:c>
      <x:c r="B11" t="str">
        <x:v>SM0307</x:v>
      </x:c>
      <x:c r="C11" t="str">
        <x:v>2026-07-21</x:v>
      </x:c>
      <x:c r="D11" t="str">
        <x:v>YouTube</x:v>
      </x:c>
      <x:c r="E11" t="str">
        <x:v>Live Clip</x:v>
      </x:c>
      <x:c r="F11" t="str">
        <x:v>Customer Story</x:v>
      </x:c>
      <x:c r="G11" s="24" t="n">
        <x:v>7071</x:v>
      </x:c>
      <x:c r="H11" s="24" t="n">
        <x:v>5139</x:v>
      </x:c>
      <x:c r="I11" s="24" t="n">
        <x:v>318</x:v>
      </x:c>
      <x:c r="J11" s="24" t="n">
        <x:v>134</x:v>
      </x:c>
      <x:c r="K11" s="24" t="n">
        <x:v>14</x:v>
      </x:c>
      <x:c r="L11" s="37" t="n">
        <x:v>235.82</x:v>
      </x:c>
      <x:c r="M11" s="37" t="n">
        <x:v>1726.85</x:v>
      </x:c>
      <x:c r="N11" s="25" t="n">
        <x:v>0.06187974314068885</x:v>
      </x:c>
      <x:c r="O11" s="25" t="n">
        <x:v>0.01895064347334182</x:v>
      </x:c>
      <x:c r="P11" s="26" t="n">
        <x:v>7.322746162327198</x:v>
      </x:c>
      <x:c r="Q11" t="str">
        <x:v>Scale</x:v>
      </x:c>
    </x:row>
    <x:row r="12">
      <x:c r="A12" t="n">
        <x:v>8</x:v>
      </x:c>
      <x:c r="B12" t="str">
        <x:v>SM0256</x:v>
      </x:c>
      <x:c r="C12" t="str">
        <x:v>2026-07-04</x:v>
      </x:c>
      <x:c r="D12" t="str">
        <x:v>TikTok</x:v>
      </x:c>
      <x:c r="E12" t="str">
        <x:v>Carousel</x:v>
      </x:c>
      <x:c r="F12" t="str">
        <x:v>Behind the Scenes</x:v>
      </x:c>
      <x:c r="G12" s="24" t="n">
        <x:v>11406</x:v>
      </x:c>
      <x:c r="H12" s="24" t="n">
        <x:v>7284</x:v>
      </x:c>
      <x:c r="I12" s="24" t="n">
        <x:v>889</x:v>
      </x:c>
      <x:c r="J12" s="24" t="n">
        <x:v>184</x:v>
      </x:c>
      <x:c r="K12" s="24" t="n">
        <x:v>13</x:v>
      </x:c>
      <x:c r="L12" s="37" t="n">
        <x:v>0</x:v>
      </x:c>
      <x:c r="M12" s="37" t="n">
        <x:v>1237.04</x:v>
      </x:c>
      <x:c r="N12" s="25" t="n">
        <x:v>0.12204832509610104</x:v>
      </x:c>
      <x:c r="O12" s="25" t="n">
        <x:v>0.016131860424338066</x:v>
      </x:c>
      <x:c r="P12" s="26" t="n">
        <x:v>0</x:v>
      </x:c>
      <x:c r="Q12" t="str">
        <x:v>Repurpose</x:v>
      </x:c>
    </x:row>
    <x:row r="13">
      <x:c r="A13" t="n">
        <x:v>9</x:v>
      </x:c>
      <x:c r="B13" t="str">
        <x:v>SM0169</x:v>
      </x:c>
      <x:c r="C13" t="str">
        <x:v>2026-07-19</x:v>
      </x:c>
      <x:c r="D13" t="str">
        <x:v>Instagram</x:v>
      </x:c>
      <x:c r="E13" t="str">
        <x:v>Article</x:v>
      </x:c>
      <x:c r="F13" t="str">
        <x:v>Education</x:v>
      </x:c>
      <x:c r="G13" s="24" t="n">
        <x:v>9950</x:v>
      </x:c>
      <x:c r="H13" s="24" t="n">
        <x:v>6991</x:v>
      </x:c>
      <x:c r="I13" s="24" t="n">
        <x:v>711</x:v>
      </x:c>
      <x:c r="J13" s="24" t="n">
        <x:v>302</x:v>
      </x:c>
      <x:c r="K13" s="24" t="n">
        <x:v>12</x:v>
      </x:c>
      <x:c r="L13" s="37" t="n">
        <x:v>0</x:v>
      </x:c>
      <x:c r="M13" s="37" t="n">
        <x:v>2145.9</x:v>
      </x:c>
      <x:c r="N13" s="25" t="n">
        <x:v>0.10170218852810757</x:v>
      </x:c>
      <x:c r="O13" s="25" t="n">
        <x:v>0.030351758793969848</x:v>
      </x:c>
      <x:c r="P13" s="26" t="n">
        <x:v>0</x:v>
      </x:c>
      <x:c r="Q13" t="str">
        <x:v>Repurpose</x:v>
      </x:c>
    </x:row>
    <x:row r="14">
      <x:c r="A14" t="n">
        <x:v>10</x:v>
      </x:c>
      <x:c r="B14" t="str">
        <x:v>SM0319</x:v>
      </x:c>
      <x:c r="C14" t="str">
        <x:v>2026-07-02</x:v>
      </x:c>
      <x:c r="D14" t="str">
        <x:v>YouTube</x:v>
      </x:c>
      <x:c r="E14" t="str">
        <x:v>Carousel</x:v>
      </x:c>
      <x:c r="F14" t="str">
        <x:v>Customer Story</x:v>
      </x:c>
      <x:c r="G14" s="24" t="n">
        <x:v>5164</x:v>
      </x:c>
      <x:c r="H14" s="24" t="n">
        <x:v>4079</x:v>
      </x:c>
      <x:c r="I14" s="24" t="n">
        <x:v>311</x:v>
      </x:c>
      <x:c r="J14" s="24" t="n">
        <x:v>137</x:v>
      </x:c>
      <x:c r="K14" s="24" t="n">
        <x:v>13</x:v>
      </x:c>
      <x:c r="L14" s="37" t="n">
        <x:v>812.51</x:v>
      </x:c>
      <x:c r="M14" s="37" t="n">
        <x:v>1898</x:v>
      </x:c>
      <x:c r="N14" s="25" t="n">
        <x:v>0.07624417749448394</x:v>
      </x:c>
      <x:c r="O14" s="25" t="n">
        <x:v>0.026529821843532145</x:v>
      </x:c>
      <x:c r="P14" s="26" t="n">
        <x:v>2.3359712495846203</x:v>
      </x:c>
      <x:c r="Q14" t="str">
        <x:v>Review paid spend</x:v>
      </x:c>
    </x:row>
    <x:row r="15">
      <x:c r="A15" t="n">
        <x:v>11</x:v>
      </x:c>
      <x:c r="B15" t="str">
        <x:v>SM0285</x:v>
      </x:c>
      <x:c r="C15" t="str">
        <x:v>2026-07-02</x:v>
      </x:c>
      <x:c r="D15" t="str">
        <x:v>TikTok</x:v>
      </x:c>
      <x:c r="E15" t="str">
        <x:v>Short Video</x:v>
      </x:c>
      <x:c r="F15" t="str">
        <x:v>Product</x:v>
      </x:c>
      <x:c r="G15" s="24" t="n">
        <x:v>7895</x:v>
      </x:c>
      <x:c r="H15" s="24" t="n">
        <x:v>6242</x:v>
      </x:c>
      <x:c r="I15" s="24" t="n">
        <x:v>755</x:v>
      </x:c>
      <x:c r="J15" s="24" t="n">
        <x:v>82</x:v>
      </x:c>
      <x:c r="K15" s="24" t="n">
        <x:v>8</x:v>
      </x:c>
      <x:c r="L15" s="37" t="n">
        <x:v>795.35</x:v>
      </x:c>
      <x:c r="M15" s="37" t="n">
        <x:v>1085.25</x:v>
      </x:c>
      <x:c r="N15" s="25" t="n">
        <x:v>0.12095482217238064</x:v>
      </x:c>
      <x:c r="O15" s="25" t="n">
        <x:v>0.010386320455984801</x:v>
      </x:c>
      <x:c r="P15" s="26" t="n">
        <x:v>1.3644936191613755</x:v>
      </x:c>
      <x:c r="Q15" t="str">
        <x:v>Review paid spend</x:v>
      </x:c>
    </x:row>
    <x:row r="16">
      <x:c r="A16" t="n">
        <x:v>12</x:v>
      </x:c>
      <x:c r="B16" t="str">
        <x:v>SM0158</x:v>
      </x:c>
      <x:c r="C16" t="str">
        <x:v>2026-07-08</x:v>
      </x:c>
      <x:c r="D16" t="str">
        <x:v>Instagram</x:v>
      </x:c>
      <x:c r="E16" t="str">
        <x:v>Static Image</x:v>
      </x:c>
      <x:c r="F16" t="str">
        <x:v>Customer Story</x:v>
      </x:c>
      <x:c r="G16" s="24" t="n">
        <x:v>9312</x:v>
      </x:c>
      <x:c r="H16" s="24" t="n">
        <x:v>6917</x:v>
      </x:c>
      <x:c r="I16" s="24" t="n">
        <x:v>569</x:v>
      </x:c>
      <x:c r="J16" s="24" t="n">
        <x:v>258</x:v>
      </x:c>
      <x:c r="K16" s="24" t="n">
        <x:v>20</x:v>
      </x:c>
      <x:c r="L16" s="37" t="n">
        <x:v>0</x:v>
      </x:c>
      <x:c r="M16" s="37" t="n">
        <x:v>1683.27</x:v>
      </x:c>
      <x:c r="N16" s="25" t="n">
        <x:v>0.08226109585080237</x:v>
      </x:c>
      <x:c r="O16" s="25" t="n">
        <x:v>0.027706185567010308</x:v>
      </x:c>
      <x:c r="P16" s="26" t="n">
        <x:v>0</x:v>
      </x:c>
      <x:c r="Q16" t="str">
        <x:v>Repurpose</x:v>
      </x:c>
    </x:row>
    <x:row r="17">
      <x:c r="A17" t="n">
        <x:v>13</x:v>
      </x:c>
      <x:c r="B17" t="str">
        <x:v>SM0160</x:v>
      </x:c>
      <x:c r="C17" t="str">
        <x:v>2026-07-10</x:v>
      </x:c>
      <x:c r="D17" t="str">
        <x:v>Instagram</x:v>
      </x:c>
      <x:c r="E17" t="str">
        <x:v>Live Clip</x:v>
      </x:c>
      <x:c r="F17" t="str">
        <x:v>Education</x:v>
      </x:c>
      <x:c r="G17" s="24" t="n">
        <x:v>7125</x:v>
      </x:c>
      <x:c r="H17" s="24" t="n">
        <x:v>4600</x:v>
      </x:c>
      <x:c r="I17" s="24" t="n">
        <x:v>460</x:v>
      </x:c>
      <x:c r="J17" s="24" t="n">
        <x:v>106</x:v>
      </x:c>
      <x:c r="K17" s="24" t="n">
        <x:v>11</x:v>
      </x:c>
      <x:c r="L17" s="37" t="n">
        <x:v>0</x:v>
      </x:c>
      <x:c r="M17" s="37" t="n">
        <x:v>1739.55</x:v>
      </x:c>
      <x:c r="N17" s="25" t="n">
        <x:v>0.1</x:v>
      </x:c>
      <x:c r="O17" s="25" t="n">
        <x:v>0.01487719298245614</x:v>
      </x:c>
      <x:c r="P17" s="26" t="n">
        <x:v>0</x:v>
      </x:c>
      <x:c r="Q17" t="str">
        <x:v>Repurpose</x:v>
      </x:c>
    </x:row>
    <x:row r="18">
      <x:c r="A18" t="n">
        <x:v>14</x:v>
      </x:c>
      <x:c r="B18" t="str">
        <x:v>SM0278</x:v>
      </x:c>
      <x:c r="C18" t="str">
        <x:v>2026-07-26</x:v>
      </x:c>
      <x:c r="D18" t="str">
        <x:v>TikTok</x:v>
      </x:c>
      <x:c r="E18" t="str">
        <x:v>Article</x:v>
      </x:c>
      <x:c r="F18" t="str">
        <x:v>Promotion</x:v>
      </x:c>
      <x:c r="G18" s="24" t="n">
        <x:v>5938</x:v>
      </x:c>
      <x:c r="H18" s="24" t="n">
        <x:v>4532</x:v>
      </x:c>
      <x:c r="I18" s="24" t="n">
        <x:v>454</x:v>
      </x:c>
      <x:c r="J18" s="24" t="n">
        <x:v>112</x:v>
      </x:c>
      <x:c r="K18" s="24" t="n">
        <x:v>10</x:v>
      </x:c>
      <x:c r="L18" s="37" t="n">
        <x:v>843.56</x:v>
      </x:c>
      <x:c r="M18" s="37" t="n">
        <x:v>1191.49</x:v>
      </x:c>
      <x:c r="N18" s="25" t="n">
        <x:v>0.1001765225066196</x:v>
      </x:c>
      <x:c r="O18" s="25" t="n">
        <x:v>0.018861569552037723</x:v>
      </x:c>
      <x:c r="P18" s="26" t="n">
        <x:v>1.4124543600929396</x:v>
      </x:c>
      <x:c r="Q18" t="str">
        <x:v>Review paid spend</x:v>
      </x:c>
    </x:row>
    <x:row r="19">
      <x:c r="A19" t="n">
        <x:v>15</x:v>
      </x:c>
      <x:c r="B19" t="str">
        <x:v>SM0288</x:v>
      </x:c>
      <x:c r="C19" t="str">
        <x:v>2026-07-02</x:v>
      </x:c>
      <x:c r="D19" t="str">
        <x:v>YouTube</x:v>
      </x:c>
      <x:c r="E19" t="str">
        <x:v>Short Video</x:v>
      </x:c>
      <x:c r="F19" t="str">
        <x:v>Education</x:v>
      </x:c>
      <x:c r="G19" s="24" t="n">
        <x:v>4380</x:v>
      </x:c>
      <x:c r="H19" s="24" t="n">
        <x:v>3329</x:v>
      </x:c>
      <x:c r="I19" s="24" t="n">
        <x:v>288</x:v>
      </x:c>
      <x:c r="J19" s="24" t="n">
        <x:v>111</x:v>
      </x:c>
      <x:c r="K19" s="24" t="n">
        <x:v>8</x:v>
      </x:c>
      <x:c r="L19" s="37" t="n">
        <x:v>0</x:v>
      </x:c>
      <x:c r="M19" s="37" t="n">
        <x:v>1414.48</x:v>
      </x:c>
      <x:c r="N19" s="25" t="n">
        <x:v>0.0865124662060679</x:v>
      </x:c>
      <x:c r="O19" s="25" t="n">
        <x:v>0.025342465753424658</x:v>
      </x:c>
      <x:c r="P19" s="26" t="n">
        <x:v>0</x:v>
      </x:c>
      <x:c r="Q19" t="str">
        <x:v>Repurpose</x:v>
      </x:c>
    </x:row>
    <x:row r="20">
      <x:c r="A20" t="n">
        <x:v>16</x:v>
      </x:c>
      <x:c r="B20" t="str">
        <x:v>SM0295</x:v>
      </x:c>
      <x:c r="C20" t="str">
        <x:v>2026-07-09</x:v>
      </x:c>
      <x:c r="D20" t="str">
        <x:v>YouTube</x:v>
      </x:c>
      <x:c r="E20" t="str">
        <x:v>Static Image</x:v>
      </x:c>
      <x:c r="F20" t="str">
        <x:v>Customer Story</x:v>
      </x:c>
      <x:c r="G20" s="24" t="n">
        <x:v>7682</x:v>
      </x:c>
      <x:c r="H20" s="24" t="n">
        <x:v>5918</x:v>
      </x:c>
      <x:c r="I20" s="24" t="n">
        <x:v>499</x:v>
      </x:c>
      <x:c r="J20" s="24" t="n">
        <x:v>179</x:v>
      </x:c>
      <x:c r="K20" s="24" t="n">
        <x:v>13</x:v>
      </x:c>
      <x:c r="L20" s="37" t="n">
        <x:v>812.48</x:v>
      </x:c>
      <x:c r="M20" s="37" t="n">
        <x:v>2409.01</x:v>
      </x:c>
      <x:c r="N20" s="25" t="n">
        <x:v>0.08431902669820886</x:v>
      </x:c>
      <x:c r="O20" s="25" t="n">
        <x:v>0.023301223639677168</x:v>
      </x:c>
      <x:c r="P20" s="26" t="n">
        <x:v>2.965008369436786</x:v>
      </x:c>
      <x:c r="Q20" t="str">
        <x:v>Review paid spend</x:v>
      </x:c>
    </x:row>
    <x:row r="21">
      <x:c r="A21" t="n">
        <x:v>17</x:v>
      </x:c>
      <x:c r="B21" t="str">
        <x:v>SM0162</x:v>
      </x:c>
      <x:c r="C21" t="str">
        <x:v>2026-07-12</x:v>
      </x:c>
      <x:c r="D21" t="str">
        <x:v>Instagram</x:v>
      </x:c>
      <x:c r="E21" t="str">
        <x:v>Carousel</x:v>
      </x:c>
      <x:c r="F21" t="str">
        <x:v>Industry Insight</x:v>
      </x:c>
      <x:c r="G21" s="24" t="n">
        <x:v>8175</x:v>
      </x:c>
      <x:c r="H21" s="24" t="n">
        <x:v>5360</x:v>
      </x:c>
      <x:c r="I21" s="24" t="n">
        <x:v>401</x:v>
      </x:c>
      <x:c r="J21" s="24" t="n">
        <x:v>196</x:v>
      </x:c>
      <x:c r="K21" s="24" t="n">
        <x:v>18</x:v>
      </x:c>
      <x:c r="L21" s="37" t="n">
        <x:v>0</x:v>
      </x:c>
      <x:c r="M21" s="37" t="n">
        <x:v>1775.47</x:v>
      </x:c>
      <x:c r="N21" s="25" t="n">
        <x:v>0.0748134328358209</x:v>
      </x:c>
      <x:c r="O21" s="25" t="n">
        <x:v>0.023975535168195717</x:v>
      </x:c>
      <x:c r="P21" s="26" t="n">
        <x:v>0</x:v>
      </x:c>
      <x:c r="Q21" t="str">
        <x:v>Repurpose</x:v>
      </x:c>
    </x:row>
    <x:row r="22">
      <x:c r="A22" t="n">
        <x:v>18</x:v>
      </x:c>
      <x:c r="B22" t="str">
        <x:v>SM0274</x:v>
      </x:c>
      <x:c r="C22" t="str">
        <x:v>2026-07-22</x:v>
      </x:c>
      <x:c r="D22" t="str">
        <x:v>TikTok</x:v>
      </x:c>
      <x:c r="E22" t="str">
        <x:v>Live Clip</x:v>
      </x:c>
      <x:c r="F22" t="str">
        <x:v>Behind the Scenes</x:v>
      </x:c>
      <x:c r="G22" s="24" t="n">
        <x:v>12624</x:v>
      </x:c>
      <x:c r="H22" s="24" t="n">
        <x:v>8693</x:v>
      </x:c>
      <x:c r="I22" s="24" t="n">
        <x:v>1046</x:v>
      </x:c>
      <x:c r="J22" s="24" t="n">
        <x:v>114</x:v>
      </x:c>
      <x:c r="K22" s="24" t="n">
        <x:v>9</x:v>
      </x:c>
      <x:c r="L22" s="37" t="n">
        <x:v>0</x:v>
      </x:c>
      <x:c r="M22" s="37" t="n">
        <x:v>1146.31</x:v>
      </x:c>
      <x:c r="N22" s="25" t="n">
        <x:v>0.12032669964339124</x:v>
      </x:c>
      <x:c r="O22" s="25" t="n">
        <x:v>0.00903041825095057</x:v>
      </x:c>
      <x:c r="P22" s="26" t="n">
        <x:v>0</x:v>
      </x:c>
      <x:c r="Q22" t="str">
        <x:v>Repurpose</x:v>
      </x:c>
    </x:row>
    <x:row r="23">
      <x:c r="A23" t="n">
        <x:v>19</x:v>
      </x:c>
      <x:c r="B23" t="str">
        <x:v>SM0267</x:v>
      </x:c>
      <x:c r="C23" t="str">
        <x:v>2026-07-15</x:v>
      </x:c>
      <x:c r="D23" t="str">
        <x:v>TikTok</x:v>
      </x:c>
      <x:c r="E23" t="str">
        <x:v>Static Image</x:v>
      </x:c>
      <x:c r="F23" t="str">
        <x:v>Product</x:v>
      </x:c>
      <x:c r="G23" s="24" t="n">
        <x:v>9740</x:v>
      </x:c>
      <x:c r="H23" s="24" t="n">
        <x:v>7319</x:v>
      </x:c>
      <x:c r="I23" s="24" t="n">
        <x:v>843</x:v>
      </x:c>
      <x:c r="J23" s="24" t="n">
        <x:v>47</x:v>
      </x:c>
      <x:c r="K23" s="24" t="n">
        <x:v>5</x:v>
      </x:c>
      <x:c r="L23" s="37" t="n">
        <x:v>0</x:v>
      </x:c>
      <x:c r="M23" s="37" t="n">
        <x:v>798.64</x:v>
      </x:c>
      <x:c r="N23" s="25" t="n">
        <x:v>0.11517966935373684</x:v>
      </x:c>
      <x:c r="O23" s="25" t="n">
        <x:v>0.004825462012320329</x:v>
      </x:c>
      <x:c r="P23" s="26" t="n">
        <x:v>0</x:v>
      </x:c>
      <x:c r="Q23" t="str">
        <x:v>Repurpose</x:v>
      </x:c>
    </x:row>
    <x:row r="24">
      <x:c r="A24" t="n">
        <x:v>20</x:v>
      </x:c>
      <x:c r="B24" t="str">
        <x:v>SM0221</x:v>
      </x:c>
      <x:c r="C24" t="str">
        <x:v>2026-07-03</x:v>
      </x:c>
      <x:c r="D24" t="str">
        <x:v>LinkedIn</x:v>
      </x:c>
      <x:c r="E24" t="str">
        <x:v>Live Clip</x:v>
      </x:c>
      <x:c r="F24" t="str">
        <x:v>Education</x:v>
      </x:c>
      <x:c r="G24" s="24" t="n">
        <x:v>4086</x:v>
      </x:c>
      <x:c r="H24" s="24" t="n">
        <x:v>3004</x:v>
      </x:c>
      <x:c r="I24" s="24" t="n">
        <x:v>159</x:v>
      </x:c>
      <x:c r="J24" s="24" t="n">
        <x:v>128</x:v>
      </x:c>
      <x:c r="K24" s="24" t="n">
        <x:v>12</x:v>
      </x:c>
      <x:c r="L24" s="37" t="n">
        <x:v>0</x:v>
      </x:c>
      <x:c r="M24" s="37" t="n">
        <x:v>2270.46</x:v>
      </x:c>
      <x:c r="N24" s="25" t="n">
        <x:v>0.05292942743009321</x:v>
      </x:c>
      <x:c r="O24" s="25" t="n">
        <x:v>0.03132648066568772</x:v>
      </x:c>
      <x:c r="P24" s="26" t="n">
        <x:v>0</x:v>
      </x:c>
      <x:c r="Q24" t="str">
        <x:v>Repurpose</x:v>
      </x:c>
    </x:row>
  </x:sheetData>
  <x:mergeCells>
    <x:mergeCell ref="A1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1">
      <x:c r="A1" s="3" t="str">
        <x:v>SOURCE DATA | ONE ROW PER POST / PLATFORM / DAY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4">
      <x:c r="A4" s="8" t="str">
        <x:v>POST ID</x:v>
      </x:c>
      <x:c r="B4" s="8" t="str">
        <x:v>DATE</x:v>
      </x:c>
      <x:c r="C4" s="8" t="str">
        <x:v>MONTH</x:v>
      </x:c>
      <x:c r="D4" s="8" t="str">
        <x:v>PLATFORM</x:v>
      </x:c>
      <x:c r="E4" s="8" t="str">
        <x:v>CAMPAIGN</x:v>
      </x:c>
      <x:c r="F4" s="8" t="str">
        <x:v>FORMAT</x:v>
      </x:c>
      <x:c r="G4" s="8" t="str">
        <x:v>THEME</x:v>
      </x:c>
      <x:c r="H4" s="8" t="str">
        <x:v>PAID</x:v>
      </x:c>
      <x:c r="I4" s="8" t="str">
        <x:v>IMPRESSIONS</x:v>
      </x:c>
      <x:c r="J4" s="8" t="str">
        <x:v>REACH</x:v>
      </x:c>
      <x:c r="K4" s="8" t="str">
        <x:v>ENGAGEMENTS</x:v>
      </x:c>
      <x:c r="L4" s="8" t="str">
        <x:v>CLICKS</x:v>
      </x:c>
      <x:c r="M4" s="8" t="str">
        <x:v>CONVERSIONS</x:v>
      </x:c>
      <x:c r="N4" s="8" t="str">
        <x:v>SPEND</x:v>
      </x:c>
      <x:c r="O4" s="8" t="str">
        <x:v>REVENUE</x:v>
      </x:c>
      <x:c r="P4" s="8" t="str">
        <x:v>FOLLOWER START</x:v>
      </x:c>
      <x:c r="Q4" s="8" t="str">
        <x:v>FOLLOWERS GAINED</x:v>
      </x:c>
      <x:c r="R4" s="8" t="str">
        <x:v>FOLLOWERS LOST</x:v>
      </x:c>
      <x:c r="S4" s="8" t="str">
        <x:v>FOLLOWER END</x:v>
      </x:c>
      <x:c r="T4" s="8" t="str">
        <x:v>RESPONSE HOURS</x:v>
      </x:c>
    </x:row>
    <x:row r="5">
      <x:c r="A5" t="str">
        <x:v>SM0001</x:v>
      </x:c>
      <x:c r="B5" s="43" t="str">
        <x:v>2026-06-01</x:v>
      </x:c>
      <x:c r="C5" t="str">
        <x:v>2026-06</x:v>
      </x:c>
      <x:c r="D5" t="str">
        <x:v>Instagram</x:v>
      </x:c>
      <x:c r="E5" t="str">
        <x:v>Always On</x:v>
      </x:c>
      <x:c r="F5" t="str">
        <x:v>Short Video</x:v>
      </x:c>
      <x:c r="G5" t="str">
        <x:v>Education</x:v>
      </x:c>
      <x:c r="H5" t="n">
        <x:v>1</x:v>
      </x:c>
      <x:c r="I5" t="n">
        <x:v>6795</x:v>
      </x:c>
      <x:c r="J5" t="n">
        <x:v>4890</x:v>
      </x:c>
      <x:c r="K5" t="n">
        <x:v>344</x:v>
      </x:c>
      <x:c r="L5" t="n">
        <x:v>116</x:v>
      </x:c>
      <x:c r="M5" t="n">
        <x:v>11</x:v>
      </x:c>
      <x:c r="N5" t="n">
        <x:v>594.62</x:v>
      </x:c>
      <x:c r="O5" s="37" t="n">
        <x:v>1018.65</x:v>
      </x:c>
      <x:c r="P5" s="37" t="n">
        <x:v>28400</x:v>
      </x:c>
      <x:c r="Q5" t="n">
        <x:v>7</x:v>
      </x:c>
      <x:c r="R5" t="n">
        <x:v>1</x:v>
      </x:c>
      <x:c r="S5" t="n">
        <x:v>28406</x:v>
      </x:c>
      <x:c r="T5" t="n">
        <x:v>35.9</x:v>
      </x:c>
    </x:row>
    <x:row r="6">
      <x:c r="A6" t="str">
        <x:v>SM0002</x:v>
      </x:c>
      <x:c r="B6" s="43" t="str">
        <x:v>2026-06-02</x:v>
      </x:c>
      <x:c r="C6" t="str">
        <x:v>2026-06</x:v>
      </x:c>
      <x:c r="D6" t="str">
        <x:v>Instagram</x:v>
      </x:c>
      <x:c r="E6" t="str">
        <x:v>Summer Launch</x:v>
      </x:c>
      <x:c r="F6" t="str">
        <x:v>Carousel</x:v>
      </x:c>
      <x:c r="G6" t="str">
        <x:v>Customer Story</x:v>
      </x:c>
      <x:c r="H6" t="n">
        <x:v>0</x:v>
      </x:c>
      <x:c r="I6" t="n">
        <x:v>11354</x:v>
      </x:c>
      <x:c r="J6" t="n">
        <x:v>9078</x:v>
      </x:c>
      <x:c r="K6" t="n">
        <x:v>904</x:v>
      </x:c>
      <x:c r="L6" t="n">
        <x:v>231</x:v>
      </x:c>
      <x:c r="M6" t="n">
        <x:v>11</x:v>
      </x:c>
      <x:c r="N6" t="n">
        <x:v>0</x:v>
      </x:c>
      <x:c r="O6" s="37" t="n">
        <x:v>2080.88</x:v>
      </x:c>
      <x:c r="P6" s="37" t="n">
        <x:v>28406</x:v>
      </x:c>
      <x:c r="Q6" t="n">
        <x:v>22</x:v>
      </x:c>
      <x:c r="R6" t="n">
        <x:v>4</x:v>
      </x:c>
      <x:c r="S6" t="n">
        <x:v>28424</x:v>
      </x:c>
      <x:c r="T6" t="n">
        <x:v>22.8</x:v>
      </x:c>
    </x:row>
    <x:row r="7">
      <x:c r="A7" t="str">
        <x:v>SM0003</x:v>
      </x:c>
      <x:c r="B7" s="43" t="str">
        <x:v>2026-06-03</x:v>
      </x:c>
      <x:c r="C7" t="str">
        <x:v>2026-06</x:v>
      </x:c>
      <x:c r="D7" t="str">
        <x:v>Instagram</x:v>
      </x:c>
      <x:c r="E7" t="str">
        <x:v>Lead Gen</x:v>
      </x:c>
      <x:c r="F7" t="str">
        <x:v>Static Image</x:v>
      </x:c>
      <x:c r="G7" t="str">
        <x:v>Industry Insight</x:v>
      </x:c>
      <x:c r="H7" t="n">
        <x:v>0</x:v>
      </x:c>
      <x:c r="I7" t="n">
        <x:v>3577</x:v>
      </x:c>
      <x:c r="J7" t="n">
        <x:v>2450</x:v>
      </x:c>
      <x:c r="K7" t="n">
        <x:v>104</x:v>
      </x:c>
      <x:c r="L7" t="n">
        <x:v>81</x:v>
      </x:c>
      <x:c r="M7" t="n">
        <x:v>5</x:v>
      </x:c>
      <x:c r="N7" t="n">
        <x:v>0</x:v>
      </x:c>
      <x:c r="O7" s="37" t="n">
        <x:v>728.21</x:v>
      </x:c>
      <x:c r="P7" s="37" t="n">
        <x:v>28424</x:v>
      </x:c>
      <x:c r="Q7" t="n">
        <x:v>5</x:v>
      </x:c>
      <x:c r="R7" t="n">
        <x:v>2</x:v>
      </x:c>
      <x:c r="S7" t="n">
        <x:v>28427</x:v>
      </x:c>
      <x:c r="T7" t="n">
        <x:v>11.1</x:v>
      </x:c>
    </x:row>
    <x:row r="8">
      <x:c r="A8" t="str">
        <x:v>SM0004</x:v>
      </x:c>
      <x:c r="B8" s="43" t="str">
        <x:v>2026-06-04</x:v>
      </x:c>
      <x:c r="C8" t="str">
        <x:v>2026-06</x:v>
      </x:c>
      <x:c r="D8" t="str">
        <x:v>Instagram</x:v>
      </x:c>
      <x:c r="E8" t="str">
        <x:v>Brand Trust</x:v>
      </x:c>
      <x:c r="F8" t="str">
        <x:v>Article</x:v>
      </x:c>
      <x:c r="G8" t="str">
        <x:v>Education</x:v>
      </x:c>
      <x:c r="H8" t="n">
        <x:v>0</x:v>
      </x:c>
      <x:c r="I8" t="n">
        <x:v>13859</x:v>
      </x:c>
      <x:c r="J8" t="n">
        <x:v>9792</x:v>
      </x:c>
      <x:c r="K8" t="n">
        <x:v>497</x:v>
      </x:c>
      <x:c r="L8" t="n">
        <x:v>382</x:v>
      </x:c>
      <x:c r="M8" t="n">
        <x:v>16</x:v>
      </x:c>
      <x:c r="N8" t="n">
        <x:v>0</x:v>
      </x:c>
      <x:c r="O8" s="37" t="n">
        <x:v>2172.82</x:v>
      </x:c>
      <x:c r="P8" s="37" t="n">
        <x:v>28427</x:v>
      </x:c>
      <x:c r="Q8" t="n">
        <x:v>18</x:v>
      </x:c>
      <x:c r="R8" t="n">
        <x:v>6</x:v>
      </x:c>
      <x:c r="S8" t="n">
        <x:v>28439</x:v>
      </x:c>
      <x:c r="T8" t="n">
        <x:v>47.4</x:v>
      </x:c>
    </x:row>
    <x:row r="9">
      <x:c r="A9" t="str">
        <x:v>SM0005</x:v>
      </x:c>
      <x:c r="B9" s="43" t="str">
        <x:v>2026-06-05</x:v>
      </x:c>
      <x:c r="C9" t="str">
        <x:v>2026-06</x:v>
      </x:c>
      <x:c r="D9" t="str">
        <x:v>Instagram</x:v>
      </x:c>
      <x:c r="E9" t="str">
        <x:v>Always On</x:v>
      </x:c>
      <x:c r="F9" t="str">
        <x:v>Live Clip</x:v>
      </x:c>
      <x:c r="G9" t="str">
        <x:v>Customer Story</x:v>
      </x:c>
      <x:c r="H9" t="n">
        <x:v>1</x:v>
      </x:c>
      <x:c r="I9" t="n">
        <x:v>10341</x:v>
      </x:c>
      <x:c r="J9" t="n">
        <x:v>7398</x:v>
      </x:c>
      <x:c r="K9" t="n">
        <x:v>638</x:v>
      </x:c>
      <x:c r="L9" t="n">
        <x:v>300</x:v>
      </x:c>
      <x:c r="M9" t="n">
        <x:v>19</x:v>
      </x:c>
      <x:c r="N9" t="n">
        <x:v>834.6</x:v>
      </x:c>
      <x:c r="O9" s="37" t="n">
        <x:v>1599.21</x:v>
      </x:c>
      <x:c r="P9" s="37" t="n">
        <x:v>28439</x:v>
      </x:c>
      <x:c r="Q9" t="n">
        <x:v>11</x:v>
      </x:c>
      <x:c r="R9" t="n">
        <x:v>1</x:v>
      </x:c>
      <x:c r="S9" t="n">
        <x:v>28449</x:v>
      </x:c>
      <x:c r="T9" t="n">
        <x:v>31.1</x:v>
      </x:c>
    </x:row>
    <x:row r="10">
      <x:c r="A10" t="str">
        <x:v>SM0006</x:v>
      </x:c>
      <x:c r="B10" s="43" t="str">
        <x:v>2026-06-06</x:v>
      </x:c>
      <x:c r="C10" t="str">
        <x:v>2026-06</x:v>
      </x:c>
      <x:c r="D10" t="str">
        <x:v>Instagram</x:v>
      </x:c>
      <x:c r="E10" t="str">
        <x:v>Summer Launch</x:v>
      </x:c>
      <x:c r="F10" t="str">
        <x:v>Short Video</x:v>
      </x:c>
      <x:c r="G10" t="str">
        <x:v>Industry Insight</x:v>
      </x:c>
      <x:c r="H10" t="n">
        <x:v>0</x:v>
      </x:c>
      <x:c r="I10" t="n">
        <x:v>9490</x:v>
      </x:c>
      <x:c r="J10" t="n">
        <x:v>7671</x:v>
      </x:c>
      <x:c r="K10" t="n">
        <x:v>376</x:v>
      </x:c>
      <x:c r="L10" t="n">
        <x:v>151</x:v>
      </x:c>
      <x:c r="M10" t="n">
        <x:v>6</x:v>
      </x:c>
      <x:c r="N10" t="n">
        <x:v>0</x:v>
      </x:c>
      <x:c r="O10" s="37" t="n">
        <x:v>1059.08</x:v>
      </x:c>
      <x:c r="P10" s="37" t="n">
        <x:v>28449</x:v>
      </x:c>
      <x:c r="Q10" t="n">
        <x:v>16</x:v>
      </x:c>
      <x:c r="R10" t="n">
        <x:v>3</x:v>
      </x:c>
      <x:c r="S10" t="n">
        <x:v>28462</x:v>
      </x:c>
      <x:c r="T10" t="n">
        <x:v>19.7</x:v>
      </x:c>
    </x:row>
    <x:row r="11">
      <x:c r="A11" t="str">
        <x:v>SM0007</x:v>
      </x:c>
      <x:c r="B11" s="43" t="str">
        <x:v>2026-06-07</x:v>
      </x:c>
      <x:c r="C11" t="str">
        <x:v>2026-06</x:v>
      </x:c>
      <x:c r="D11" t="str">
        <x:v>Instagram</x:v>
      </x:c>
      <x:c r="E11" t="str">
        <x:v>Lead Gen</x:v>
      </x:c>
      <x:c r="F11" t="str">
        <x:v>Carousel</x:v>
      </x:c>
      <x:c r="G11" t="str">
        <x:v>Education</x:v>
      </x:c>
      <x:c r="H11" t="n">
        <x:v>0</x:v>
      </x:c>
      <x:c r="I11" t="n">
        <x:v>5375</x:v>
      </x:c>
      <x:c r="J11" t="n">
        <x:v>4003</x:v>
      </x:c>
      <x:c r="K11" t="n">
        <x:v>308</x:v>
      </x:c>
      <x:c r="L11" t="n">
        <x:v>105</x:v>
      </x:c>
      <x:c r="M11" t="n">
        <x:v>11</x:v>
      </x:c>
      <x:c r="N11" t="n">
        <x:v>0</x:v>
      </x:c>
      <x:c r="O11" s="37" t="n">
        <x:v>899.55</x:v>
      </x:c>
      <x:c r="P11" s="37" t="n">
        <x:v>28462</x:v>
      </x:c>
      <x:c r="Q11" t="n">
        <x:v>6</x:v>
      </x:c>
      <x:c r="R11" t="n">
        <x:v>1</x:v>
      </x:c>
      <x:c r="S11" t="n">
        <x:v>28467</x:v>
      </x:c>
      <x:c r="T11" t="n">
        <x:v>16.3</x:v>
      </x:c>
    </x:row>
    <x:row r="12">
      <x:c r="A12" t="str">
        <x:v>SM0008</x:v>
      </x:c>
      <x:c r="B12" s="43" t="str">
        <x:v>2026-06-08</x:v>
      </x:c>
      <x:c r="C12" t="str">
        <x:v>2026-06</x:v>
      </x:c>
      <x:c r="D12" t="str">
        <x:v>Instagram</x:v>
      </x:c>
      <x:c r="E12" t="str">
        <x:v>Brand Trust</x:v>
      </x:c>
      <x:c r="F12" t="str">
        <x:v>Static Image</x:v>
      </x:c>
      <x:c r="G12" t="str">
        <x:v>Customer Story</x:v>
      </x:c>
      <x:c r="H12" t="n">
        <x:v>0</x:v>
      </x:c>
      <x:c r="I12" t="n">
        <x:v>9983</x:v>
      </x:c>
      <x:c r="J12" t="n">
        <x:v>7566</x:v>
      </x:c>
      <x:c r="K12" t="n">
        <x:v>466</x:v>
      </x:c>
      <x:c r="L12" t="n">
        <x:v>156</x:v>
      </x:c>
      <x:c r="M12" t="n">
        <x:v>10</x:v>
      </x:c>
      <x:c r="N12" t="n">
        <x:v>0</x:v>
      </x:c>
      <x:c r="O12" s="37" t="n">
        <x:v>1506.35</x:v>
      </x:c>
      <x:c r="P12" s="37" t="n">
        <x:v>28467</x:v>
      </x:c>
      <x:c r="Q12" t="n">
        <x:v>11</x:v>
      </x:c>
      <x:c r="R12" t="n">
        <x:v>3</x:v>
      </x:c>
      <x:c r="S12" t="n">
        <x:v>28475</x:v>
      </x:c>
      <x:c r="T12" t="n">
        <x:v>7.2</x:v>
      </x:c>
    </x:row>
    <x:row r="13">
      <x:c r="A13" t="str">
        <x:v>SM0009</x:v>
      </x:c>
      <x:c r="B13" s="43" t="str">
        <x:v>2026-06-09</x:v>
      </x:c>
      <x:c r="C13" t="str">
        <x:v>2026-06</x:v>
      </x:c>
      <x:c r="D13" t="str">
        <x:v>Instagram</x:v>
      </x:c>
      <x:c r="E13" t="str">
        <x:v>Always On</x:v>
      </x:c>
      <x:c r="F13" t="str">
        <x:v>Article</x:v>
      </x:c>
      <x:c r="G13" t="str">
        <x:v>Industry Insight</x:v>
      </x:c>
      <x:c r="H13" t="n">
        <x:v>1</x:v>
      </x:c>
      <x:c r="I13" t="n">
        <x:v>15501</x:v>
      </x:c>
      <x:c r="J13" t="n">
        <x:v>10513</x:v>
      </x:c>
      <x:c r="K13" t="n">
        <x:v>997</x:v>
      </x:c>
      <x:c r="L13" t="n">
        <x:v>215</x:v>
      </x:c>
      <x:c r="M13" t="n">
        <x:v>23</x:v>
      </x:c>
      <x:c r="N13" t="n">
        <x:v>693.2</x:v>
      </x:c>
      <x:c r="O13" s="37" t="n">
        <x:v>2379.63</x:v>
      </x:c>
      <x:c r="P13" s="37" t="n">
        <x:v>28475</x:v>
      </x:c>
      <x:c r="Q13" t="n">
        <x:v>21</x:v>
      </x:c>
      <x:c r="R13" t="n">
        <x:v>8</x:v>
      </x:c>
      <x:c r="S13" t="n">
        <x:v>28488</x:v>
      </x:c>
      <x:c r="T13" t="n">
        <x:v>11.6</x:v>
      </x:c>
    </x:row>
    <x:row r="14">
      <x:c r="A14" t="str">
        <x:v>SM0010</x:v>
      </x:c>
      <x:c r="B14" s="43" t="str">
        <x:v>2026-06-10</x:v>
      </x:c>
      <x:c r="C14" t="str">
        <x:v>2026-06</x:v>
      </x:c>
      <x:c r="D14" t="str">
        <x:v>Instagram</x:v>
      </x:c>
      <x:c r="E14" t="str">
        <x:v>Summer Launch</x:v>
      </x:c>
      <x:c r="F14" t="str">
        <x:v>Live Clip</x:v>
      </x:c>
      <x:c r="G14" t="str">
        <x:v>Education</x:v>
      </x:c>
      <x:c r="H14" t="n">
        <x:v>0</x:v>
      </x:c>
      <x:c r="I14" t="n">
        <x:v>5546</x:v>
      </x:c>
      <x:c r="J14" t="n">
        <x:v>3668</x:v>
      </x:c>
      <x:c r="K14" t="n">
        <x:v>138</x:v>
      </x:c>
      <x:c r="L14" t="n">
        <x:v>50</x:v>
      </x:c>
      <x:c r="M14" t="n">
        <x:v>5</x:v>
      </x:c>
      <x:c r="N14" t="n">
        <x:v>0</x:v>
      </x:c>
      <x:c r="O14" s="37" t="n">
        <x:v>549.46</x:v>
      </x:c>
      <x:c r="P14" s="37" t="n">
        <x:v>28488</x:v>
      </x:c>
      <x:c r="Q14" t="n">
        <x:v>3</x:v>
      </x:c>
      <x:c r="R14" t="n">
        <x:v>0</x:v>
      </x:c>
      <x:c r="S14" t="n">
        <x:v>28491</x:v>
      </x:c>
      <x:c r="T14" t="n">
        <x:v>38</x:v>
      </x:c>
    </x:row>
    <x:row r="15">
      <x:c r="A15" t="str">
        <x:v>SM0011</x:v>
      </x:c>
      <x:c r="B15" s="43" t="str">
        <x:v>2026-06-11</x:v>
      </x:c>
      <x:c r="C15" t="str">
        <x:v>2026-06</x:v>
      </x:c>
      <x:c r="D15" t="str">
        <x:v>Instagram</x:v>
      </x:c>
      <x:c r="E15" t="str">
        <x:v>Lead Gen</x:v>
      </x:c>
      <x:c r="F15" t="str">
        <x:v>Short Video</x:v>
      </x:c>
      <x:c r="G15" t="str">
        <x:v>Customer Story</x:v>
      </x:c>
      <x:c r="H15" t="n">
        <x:v>0</x:v>
      </x:c>
      <x:c r="I15" t="n">
        <x:v>7264</x:v>
      </x:c>
      <x:c r="J15" t="n">
        <x:v>5473</x:v>
      </x:c>
      <x:c r="K15" t="n">
        <x:v>345</x:v>
      </x:c>
      <x:c r="L15" t="n">
        <x:v>193</x:v>
      </x:c>
      <x:c r="M15" t="n">
        <x:v>12</x:v>
      </x:c>
      <x:c r="N15" t="n">
        <x:v>0</x:v>
      </x:c>
      <x:c r="O15" s="37" t="n">
        <x:v>1861.64</x:v>
      </x:c>
      <x:c r="P15" s="37" t="n">
        <x:v>28491</x:v>
      </x:c>
      <x:c r="Q15" t="n">
        <x:v>13</x:v>
      </x:c>
      <x:c r="R15" t="n">
        <x:v>2</x:v>
      </x:c>
      <x:c r="S15" t="n">
        <x:v>28502</x:v>
      </x:c>
      <x:c r="T15" t="n">
        <x:v>44</x:v>
      </x:c>
    </x:row>
    <x:row r="16">
      <x:c r="A16" t="str">
        <x:v>SM0012</x:v>
      </x:c>
      <x:c r="B16" s="43" t="str">
        <x:v>2026-06-12</x:v>
      </x:c>
      <x:c r="C16" t="str">
        <x:v>2026-06</x:v>
      </x:c>
      <x:c r="D16" t="str">
        <x:v>Instagram</x:v>
      </x:c>
      <x:c r="E16" t="str">
        <x:v>Brand Trust</x:v>
      </x:c>
      <x:c r="F16" t="str">
        <x:v>Carousel</x:v>
      </x:c>
      <x:c r="G16" t="str">
        <x:v>Industry Insight</x:v>
      </x:c>
      <x:c r="H16" t="n">
        <x:v>0</x:v>
      </x:c>
      <x:c r="I16" t="n">
        <x:v>3595</x:v>
      </x:c>
      <x:c r="J16" t="n">
        <x:v>2769</x:v>
      </x:c>
      <x:c r="K16" t="n">
        <x:v>103</x:v>
      </x:c>
      <x:c r="L16" t="n">
        <x:v>81</x:v>
      </x:c>
      <x:c r="M16" t="n">
        <x:v>5</x:v>
      </x:c>
      <x:c r="N16" t="n">
        <x:v>0</x:v>
      </x:c>
      <x:c r="O16" s="37" t="n">
        <x:v>694.87</x:v>
      </x:c>
      <x:c r="P16" s="37" t="n">
        <x:v>28502</x:v>
      </x:c>
      <x:c r="Q16" t="n">
        <x:v>4</x:v>
      </x:c>
      <x:c r="R16" t="n">
        <x:v>1</x:v>
      </x:c>
      <x:c r="S16" t="n">
        <x:v>28505</x:v>
      </x:c>
      <x:c r="T16" t="n">
        <x:v>49.3</x:v>
      </x:c>
    </x:row>
    <x:row r="17">
      <x:c r="A17" t="str">
        <x:v>SM0013</x:v>
      </x:c>
      <x:c r="B17" s="43" t="str">
        <x:v>2026-06-13</x:v>
      </x:c>
      <x:c r="C17" t="str">
        <x:v>2026-06</x:v>
      </x:c>
      <x:c r="D17" t="str">
        <x:v>Instagram</x:v>
      </x:c>
      <x:c r="E17" t="str">
        <x:v>Always On</x:v>
      </x:c>
      <x:c r="F17" t="str">
        <x:v>Static Image</x:v>
      </x:c>
      <x:c r="G17" t="str">
        <x:v>Education</x:v>
      </x:c>
      <x:c r="H17" t="n">
        <x:v>1</x:v>
      </x:c>
      <x:c r="I17" t="n">
        <x:v>4537</x:v>
      </x:c>
      <x:c r="J17" t="n">
        <x:v>3396</x:v>
      </x:c>
      <x:c r="K17" t="n">
        <x:v>254</x:v>
      </x:c>
      <x:c r="L17" t="n">
        <x:v>107</x:v>
      </x:c>
      <x:c r="M17" t="n">
        <x:v>10</x:v>
      </x:c>
      <x:c r="N17" t="n">
        <x:v>469.95</x:v>
      </x:c>
      <x:c r="O17" s="37" t="n">
        <x:v>1789.29</x:v>
      </x:c>
      <x:c r="P17" s="37" t="n">
        <x:v>28505</x:v>
      </x:c>
      <x:c r="Q17" t="n">
        <x:v>6</x:v>
      </x:c>
      <x:c r="R17" t="n">
        <x:v>1</x:v>
      </x:c>
      <x:c r="S17" t="n">
        <x:v>28510</x:v>
      </x:c>
      <x:c r="T17" t="n">
        <x:v>38.2</x:v>
      </x:c>
    </x:row>
    <x:row r="18">
      <x:c r="A18" t="str">
        <x:v>SM0014</x:v>
      </x:c>
      <x:c r="B18" s="43" t="str">
        <x:v>2026-06-14</x:v>
      </x:c>
      <x:c r="C18" t="str">
        <x:v>2026-06</x:v>
      </x:c>
      <x:c r="D18" t="str">
        <x:v>Instagram</x:v>
      </x:c>
      <x:c r="E18" t="str">
        <x:v>Summer Launch</x:v>
      </x:c>
      <x:c r="F18" t="str">
        <x:v>Article</x:v>
      </x:c>
      <x:c r="G18" t="str">
        <x:v>Customer Story</x:v>
      </x:c>
      <x:c r="H18" t="n">
        <x:v>0</x:v>
      </x:c>
      <x:c r="I18" t="n">
        <x:v>3460</x:v>
      </x:c>
      <x:c r="J18" t="n">
        <x:v>2614</x:v>
      </x:c>
      <x:c r="K18" t="n">
        <x:v>230</x:v>
      </x:c>
      <x:c r="L18" t="n">
        <x:v>69</x:v>
      </x:c>
      <x:c r="M18" t="n">
        <x:v>6</x:v>
      </x:c>
      <x:c r="N18" t="n">
        <x:v>0</x:v>
      </x:c>
      <x:c r="O18" s="37" t="n">
        <x:v>845.56</x:v>
      </x:c>
      <x:c r="P18" s="37" t="n">
        <x:v>28510</x:v>
      </x:c>
      <x:c r="Q18" t="n">
        <x:v>6</x:v>
      </x:c>
      <x:c r="R18" t="n">
        <x:v>2</x:v>
      </x:c>
      <x:c r="S18" t="n">
        <x:v>28514</x:v>
      </x:c>
      <x:c r="T18" t="n">
        <x:v>25.4</x:v>
      </x:c>
    </x:row>
    <x:row r="19">
      <x:c r="A19" t="str">
        <x:v>SM0015</x:v>
      </x:c>
      <x:c r="B19" s="43" t="str">
        <x:v>2026-06-15</x:v>
      </x:c>
      <x:c r="C19" t="str">
        <x:v>2026-06</x:v>
      </x:c>
      <x:c r="D19" t="str">
        <x:v>Instagram</x:v>
      </x:c>
      <x:c r="E19" t="str">
        <x:v>Lead Gen</x:v>
      </x:c>
      <x:c r="F19" t="str">
        <x:v>Live Clip</x:v>
      </x:c>
      <x:c r="G19" t="str">
        <x:v>Industry Insight</x:v>
      </x:c>
      <x:c r="H19" t="n">
        <x:v>0</x:v>
      </x:c>
      <x:c r="I19" t="n">
        <x:v>4707</x:v>
      </x:c>
      <x:c r="J19" t="n">
        <x:v>3312</x:v>
      </x:c>
      <x:c r="K19" t="n">
        <x:v>120</x:v>
      </x:c>
      <x:c r="L19" t="n">
        <x:v>98</x:v>
      </x:c>
      <x:c r="M19" t="n">
        <x:v>8</x:v>
      </x:c>
      <x:c r="N19" t="n">
        <x:v>0</x:v>
      </x:c>
      <x:c r="O19" s="37" t="n">
        <x:v>705.34</x:v>
      </x:c>
      <x:c r="P19" s="37" t="n">
        <x:v>28514</x:v>
      </x:c>
      <x:c r="Q19" t="n">
        <x:v>7</x:v>
      </x:c>
      <x:c r="R19" t="n">
        <x:v>2</x:v>
      </x:c>
      <x:c r="S19" t="n">
        <x:v>28519</x:v>
      </x:c>
      <x:c r="T19" t="n">
        <x:v>23</x:v>
      </x:c>
    </x:row>
    <x:row r="20">
      <x:c r="A20" t="str">
        <x:v>SM0016</x:v>
      </x:c>
      <x:c r="B20" s="43" t="str">
        <x:v>2026-06-16</x:v>
      </x:c>
      <x:c r="C20" t="str">
        <x:v>2026-06</x:v>
      </x:c>
      <x:c r="D20" t="str">
        <x:v>Instagram</x:v>
      </x:c>
      <x:c r="E20" t="str">
        <x:v>Brand Trust</x:v>
      </x:c>
      <x:c r="F20" t="str">
        <x:v>Short Video</x:v>
      </x:c>
      <x:c r="G20" t="str">
        <x:v>Education</x:v>
      </x:c>
      <x:c r="H20" t="n">
        <x:v>0</x:v>
      </x:c>
      <x:c r="I20" t="n">
        <x:v>7243</x:v>
      </x:c>
      <x:c r="J20" t="n">
        <x:v>5392</x:v>
      </x:c>
      <x:c r="K20" t="n">
        <x:v>504</x:v>
      </x:c>
      <x:c r="L20" t="n">
        <x:v>122</x:v>
      </x:c>
      <x:c r="M20" t="n">
        <x:v>7</x:v>
      </x:c>
      <x:c r="N20" t="n">
        <x:v>0</x:v>
      </x:c>
      <x:c r="O20" s="37" t="n">
        <x:v>566.43</x:v>
      </x:c>
      <x:c r="P20" s="37" t="n">
        <x:v>28519</x:v>
      </x:c>
      <x:c r="Q20" t="n">
        <x:v>6</x:v>
      </x:c>
      <x:c r="R20" t="n">
        <x:v>2</x:v>
      </x:c>
      <x:c r="S20" t="n">
        <x:v>28523</x:v>
      </x:c>
      <x:c r="T20" t="n">
        <x:v>25.9</x:v>
      </x:c>
    </x:row>
    <x:row r="21">
      <x:c r="A21" t="str">
        <x:v>SM0017</x:v>
      </x:c>
      <x:c r="B21" s="43" t="str">
        <x:v>2026-06-17</x:v>
      </x:c>
      <x:c r="C21" t="str">
        <x:v>2026-06</x:v>
      </x:c>
      <x:c r="D21" t="str">
        <x:v>Instagram</x:v>
      </x:c>
      <x:c r="E21" t="str">
        <x:v>Always On</x:v>
      </x:c>
      <x:c r="F21" t="str">
        <x:v>Carousel</x:v>
      </x:c>
      <x:c r="G21" t="str">
        <x:v>Customer Story</x:v>
      </x:c>
      <x:c r="H21" t="n">
        <x:v>1</x:v>
      </x:c>
      <x:c r="I21" t="n">
        <x:v>7472</x:v>
      </x:c>
      <x:c r="J21" t="n">
        <x:v>5137</x:v>
      </x:c>
      <x:c r="K21" t="n">
        <x:v>455</x:v>
      </x:c>
      <x:c r="L21" t="n">
        <x:v>82</x:v>
      </x:c>
      <x:c r="M21" t="n">
        <x:v>3</x:v>
      </x:c>
      <x:c r="N21" t="n">
        <x:v>402.59</x:v>
      </x:c>
      <x:c r="O21" s="37" t="n">
        <x:v>244.31</x:v>
      </x:c>
      <x:c r="P21" s="37" t="n">
        <x:v>28523</x:v>
      </x:c>
      <x:c r="Q21" t="n">
        <x:v>9</x:v>
      </x:c>
      <x:c r="R21" t="n">
        <x:v>1</x:v>
      </x:c>
      <x:c r="S21" t="n">
        <x:v>28531</x:v>
      </x:c>
      <x:c r="T21" t="n">
        <x:v>31.1</x:v>
      </x:c>
    </x:row>
    <x:row r="22">
      <x:c r="A22" t="str">
        <x:v>SM0018</x:v>
      </x:c>
      <x:c r="B22" s="43" t="str">
        <x:v>2026-06-18</x:v>
      </x:c>
      <x:c r="C22" t="str">
        <x:v>2026-06</x:v>
      </x:c>
      <x:c r="D22" t="str">
        <x:v>Instagram</x:v>
      </x:c>
      <x:c r="E22" t="str">
        <x:v>Summer Launch</x:v>
      </x:c>
      <x:c r="F22" t="str">
        <x:v>Static Image</x:v>
      </x:c>
      <x:c r="G22" t="str">
        <x:v>Industry Insight</x:v>
      </x:c>
      <x:c r="H22" t="n">
        <x:v>0</x:v>
      </x:c>
      <x:c r="I22" t="n">
        <x:v>13090</x:v>
      </x:c>
      <x:c r="J22" t="n">
        <x:v>8798</x:v>
      </x:c>
      <x:c r="K22" t="n">
        <x:v>771</x:v>
      </x:c>
      <x:c r="L22" t="n">
        <x:v>336</x:v>
      </x:c>
      <x:c r="M22" t="n">
        <x:v>36</x:v>
      </x:c>
      <x:c r="N22" t="n">
        <x:v>0</x:v>
      </x:c>
      <x:c r="O22" s="37" t="n">
        <x:v>3358.2</x:v>
      </x:c>
      <x:c r="P22" s="37" t="n">
        <x:v>28531</x:v>
      </x:c>
      <x:c r="Q22" t="n">
        <x:v>10</x:v>
      </x:c>
      <x:c r="R22" t="n">
        <x:v>1</x:v>
      </x:c>
      <x:c r="S22" t="n">
        <x:v>28540</x:v>
      </x:c>
      <x:c r="T22" t="n">
        <x:v>24.2</x:v>
      </x:c>
    </x:row>
    <x:row r="23">
      <x:c r="A23" t="str">
        <x:v>SM0019</x:v>
      </x:c>
      <x:c r="B23" s="43" t="str">
        <x:v>2026-06-19</x:v>
      </x:c>
      <x:c r="C23" t="str">
        <x:v>2026-06</x:v>
      </x:c>
      <x:c r="D23" t="str">
        <x:v>Instagram</x:v>
      </x:c>
      <x:c r="E23" t="str">
        <x:v>Lead Gen</x:v>
      </x:c>
      <x:c r="F23" t="str">
        <x:v>Article</x:v>
      </x:c>
      <x:c r="G23" t="str">
        <x:v>Education</x:v>
      </x:c>
      <x:c r="H23" t="n">
        <x:v>0</x:v>
      </x:c>
      <x:c r="I23" t="n">
        <x:v>11908</x:v>
      </x:c>
      <x:c r="J23" t="n">
        <x:v>8936</x:v>
      </x:c>
      <x:c r="K23" t="n">
        <x:v>603</x:v>
      </x:c>
      <x:c r="L23" t="n">
        <x:v>334</x:v>
      </x:c>
      <x:c r="M23" t="n">
        <x:v>28</x:v>
      </x:c>
      <x:c r="N23" t="n">
        <x:v>0</x:v>
      </x:c>
      <x:c r="O23" s="37" t="n">
        <x:v>2358.45</x:v>
      </x:c>
      <x:c r="P23" s="37" t="n">
        <x:v>28540</x:v>
      </x:c>
      <x:c r="Q23" t="n">
        <x:v>21</x:v>
      </x:c>
      <x:c r="R23" t="n">
        <x:v>4</x:v>
      </x:c>
      <x:c r="S23" t="n">
        <x:v>28557</x:v>
      </x:c>
      <x:c r="T23" t="n">
        <x:v>30.5</x:v>
      </x:c>
    </x:row>
    <x:row r="24">
      <x:c r="A24" t="str">
        <x:v>SM0020</x:v>
      </x:c>
      <x:c r="B24" s="43" t="str">
        <x:v>2026-06-20</x:v>
      </x:c>
      <x:c r="C24" t="str">
        <x:v>2026-06</x:v>
      </x:c>
      <x:c r="D24" t="str">
        <x:v>Instagram</x:v>
      </x:c>
      <x:c r="E24" t="str">
        <x:v>Brand Trust</x:v>
      </x:c>
      <x:c r="F24" t="str">
        <x:v>Live Clip</x:v>
      </x:c>
      <x:c r="G24" t="str">
        <x:v>Customer Story</x:v>
      </x:c>
      <x:c r="H24" t="n">
        <x:v>0</x:v>
      </x:c>
      <x:c r="I24" t="n">
        <x:v>5153</x:v>
      </x:c>
      <x:c r="J24" t="n">
        <x:v>3935</x:v>
      </x:c>
      <x:c r="K24" t="n">
        <x:v>137</x:v>
      </x:c>
      <x:c r="L24" t="n">
        <x:v>58</x:v>
      </x:c>
      <x:c r="M24" t="n">
        <x:v>5</x:v>
      </x:c>
      <x:c r="N24" t="n">
        <x:v>0</x:v>
      </x:c>
      <x:c r="O24" s="37" t="n">
        <x:v>729.9</x:v>
      </x:c>
      <x:c r="P24" s="37" t="n">
        <x:v>28557</x:v>
      </x:c>
      <x:c r="Q24" t="n">
        <x:v>10</x:v>
      </x:c>
      <x:c r="R24" t="n">
        <x:v>2</x:v>
      </x:c>
      <x:c r="S24" t="n">
        <x:v>28565</x:v>
      </x:c>
      <x:c r="T24" t="n">
        <x:v>36.5</x:v>
      </x:c>
    </x:row>
    <x:row r="25">
      <x:c r="A25" t="str">
        <x:v>SM0021</x:v>
      </x:c>
      <x:c r="B25" s="43" t="str">
        <x:v>2026-06-21</x:v>
      </x:c>
      <x:c r="C25" t="str">
        <x:v>2026-06</x:v>
      </x:c>
      <x:c r="D25" t="str">
        <x:v>Instagram</x:v>
      </x:c>
      <x:c r="E25" t="str">
        <x:v>Always On</x:v>
      </x:c>
      <x:c r="F25" t="str">
        <x:v>Short Video</x:v>
      </x:c>
      <x:c r="G25" t="str">
        <x:v>Industry Insight</x:v>
      </x:c>
      <x:c r="H25" t="n">
        <x:v>1</x:v>
      </x:c>
      <x:c r="I25" t="n">
        <x:v>9426</x:v>
      </x:c>
      <x:c r="J25" t="n">
        <x:v>6921</x:v>
      </x:c>
      <x:c r="K25" t="n">
        <x:v>691</x:v>
      </x:c>
      <x:c r="L25" t="n">
        <x:v>269</x:v>
      </x:c>
      <x:c r="M25" t="n">
        <x:v>18</x:v>
      </x:c>
      <x:c r="N25" t="n">
        <x:v>504.54</x:v>
      </x:c>
      <x:c r="O25" s="37" t="n">
        <x:v>2093.2</x:v>
      </x:c>
      <x:c r="P25" s="37" t="n">
        <x:v>28565</x:v>
      </x:c>
      <x:c r="Q25" t="n">
        <x:v>5</x:v>
      </x:c>
      <x:c r="R25" t="n">
        <x:v>2</x:v>
      </x:c>
      <x:c r="S25" t="n">
        <x:v>28568</x:v>
      </x:c>
      <x:c r="T25" t="n">
        <x:v>42.6</x:v>
      </x:c>
    </x:row>
    <x:row r="26">
      <x:c r="A26" t="str">
        <x:v>SM0022</x:v>
      </x:c>
      <x:c r="B26" s="43" t="str">
        <x:v>2026-06-22</x:v>
      </x:c>
      <x:c r="C26" t="str">
        <x:v>2026-06</x:v>
      </x:c>
      <x:c r="D26" t="str">
        <x:v>Instagram</x:v>
      </x:c>
      <x:c r="E26" t="str">
        <x:v>Summer Launch</x:v>
      </x:c>
      <x:c r="F26" t="str">
        <x:v>Carousel</x:v>
      </x:c>
      <x:c r="G26" t="str">
        <x:v>Education</x:v>
      </x:c>
      <x:c r="H26" t="n">
        <x:v>0</x:v>
      </x:c>
      <x:c r="I26" t="n">
        <x:v>8304</x:v>
      </x:c>
      <x:c r="J26" t="n">
        <x:v>5913</x:v>
      </x:c>
      <x:c r="K26" t="n">
        <x:v>525</x:v>
      </x:c>
      <x:c r="L26" t="n">
        <x:v>239</x:v>
      </x:c>
      <x:c r="M26" t="n">
        <x:v>21</x:v>
      </x:c>
      <x:c r="N26" t="n">
        <x:v>0</x:v>
      </x:c>
      <x:c r="O26" s="37" t="n">
        <x:v>3496.27</x:v>
      </x:c>
      <x:c r="P26" s="37" t="n">
        <x:v>28568</x:v>
      </x:c>
      <x:c r="Q26" t="n">
        <x:v>6</x:v>
      </x:c>
      <x:c r="R26" t="n">
        <x:v>2</x:v>
      </x:c>
      <x:c r="S26" t="n">
        <x:v>28572</x:v>
      </x:c>
      <x:c r="T26" t="n">
        <x:v>31.3</x:v>
      </x:c>
    </x:row>
    <x:row r="27">
      <x:c r="A27" t="str">
        <x:v>SM0023</x:v>
      </x:c>
      <x:c r="B27" s="43" t="str">
        <x:v>2026-06-23</x:v>
      </x:c>
      <x:c r="C27" t="str">
        <x:v>2026-06</x:v>
      </x:c>
      <x:c r="D27" t="str">
        <x:v>Instagram</x:v>
      </x:c>
      <x:c r="E27" t="str">
        <x:v>Lead Gen</x:v>
      </x:c>
      <x:c r="F27" t="str">
        <x:v>Static Image</x:v>
      </x:c>
      <x:c r="G27" t="str">
        <x:v>Customer Story</x:v>
      </x:c>
      <x:c r="H27" t="n">
        <x:v>0</x:v>
      </x:c>
      <x:c r="I27" t="n">
        <x:v>12073</x:v>
      </x:c>
      <x:c r="J27" t="n">
        <x:v>8238</x:v>
      </x:c>
      <x:c r="K27" t="n">
        <x:v>405</x:v>
      </x:c>
      <x:c r="L27" t="n">
        <x:v>370</x:v>
      </x:c>
      <x:c r="M27" t="n">
        <x:v>28</x:v>
      </x:c>
      <x:c r="N27" t="n">
        <x:v>0</x:v>
      </x:c>
      <x:c r="O27" s="37" t="n">
        <x:v>4446.57</x:v>
      </x:c>
      <x:c r="P27" s="37" t="n">
        <x:v>28572</x:v>
      </x:c>
      <x:c r="Q27" t="n">
        <x:v>9</x:v>
      </x:c>
      <x:c r="R27" t="n">
        <x:v>3</x:v>
      </x:c>
      <x:c r="S27" t="n">
        <x:v>28578</x:v>
      </x:c>
      <x:c r="T27" t="n">
        <x:v>49</x:v>
      </x:c>
    </x:row>
    <x:row r="28">
      <x:c r="A28" t="str">
        <x:v>SM0024</x:v>
      </x:c>
      <x:c r="B28" s="43" t="str">
        <x:v>2026-06-24</x:v>
      </x:c>
      <x:c r="C28" t="str">
        <x:v>2026-06</x:v>
      </x:c>
      <x:c r="D28" t="str">
        <x:v>Instagram</x:v>
      </x:c>
      <x:c r="E28" t="str">
        <x:v>Brand Trust</x:v>
      </x:c>
      <x:c r="F28" t="str">
        <x:v>Article</x:v>
      </x:c>
      <x:c r="G28" t="str">
        <x:v>Industry Insight</x:v>
      </x:c>
      <x:c r="H28" t="n">
        <x:v>0</x:v>
      </x:c>
      <x:c r="I28" t="n">
        <x:v>13596</x:v>
      </x:c>
      <x:c r="J28" t="n">
        <x:v>9946</x:v>
      </x:c>
      <x:c r="K28" t="n">
        <x:v>759</x:v>
      </x:c>
      <x:c r="L28" t="n">
        <x:v>325</x:v>
      </x:c>
      <x:c r="M28" t="n">
        <x:v>12</x:v>
      </x:c>
      <x:c r="N28" t="n">
        <x:v>0</x:v>
      </x:c>
      <x:c r="O28" s="37" t="n">
        <x:v>1939.23</x:v>
      </x:c>
      <x:c r="P28" s="37" t="n">
        <x:v>28578</x:v>
      </x:c>
      <x:c r="Q28" t="n">
        <x:v>11</x:v>
      </x:c>
      <x:c r="R28" t="n">
        <x:v>4</x:v>
      </x:c>
      <x:c r="S28" t="n">
        <x:v>28585</x:v>
      </x:c>
      <x:c r="T28" t="n">
        <x:v>47.8</x:v>
      </x:c>
    </x:row>
    <x:row r="29">
      <x:c r="A29" t="str">
        <x:v>SM0025</x:v>
      </x:c>
      <x:c r="B29" s="43" t="str">
        <x:v>2026-06-25</x:v>
      </x:c>
      <x:c r="C29" t="str">
        <x:v>2026-06</x:v>
      </x:c>
      <x:c r="D29" t="str">
        <x:v>Instagram</x:v>
      </x:c>
      <x:c r="E29" t="str">
        <x:v>Always On</x:v>
      </x:c>
      <x:c r="F29" t="str">
        <x:v>Live Clip</x:v>
      </x:c>
      <x:c r="G29" t="str">
        <x:v>Education</x:v>
      </x:c>
      <x:c r="H29" t="n">
        <x:v>1</x:v>
      </x:c>
      <x:c r="I29" t="n">
        <x:v>7996</x:v>
      </x:c>
      <x:c r="J29" t="n">
        <x:v>6183</x:v>
      </x:c>
      <x:c r="K29" t="n">
        <x:v>503</x:v>
      </x:c>
      <x:c r="L29" t="n">
        <x:v>83</x:v>
      </x:c>
      <x:c r="M29" t="n">
        <x:v>7</x:v>
      </x:c>
      <x:c r="N29" t="n">
        <x:v>223.2</x:v>
      </x:c>
      <x:c r="O29" s="37" t="n">
        <x:v>979.94</x:v>
      </x:c>
      <x:c r="P29" s="37" t="n">
        <x:v>28585</x:v>
      </x:c>
      <x:c r="Q29" t="n">
        <x:v>13</x:v>
      </x:c>
      <x:c r="R29" t="n">
        <x:v>3</x:v>
      </x:c>
      <x:c r="S29" t="n">
        <x:v>28595</x:v>
      </x:c>
      <x:c r="T29" t="n">
        <x:v>21.1</x:v>
      </x:c>
    </x:row>
    <x:row r="30">
      <x:c r="A30" t="str">
        <x:v>SM0026</x:v>
      </x:c>
      <x:c r="B30" s="43" t="str">
        <x:v>2026-06-26</x:v>
      </x:c>
      <x:c r="C30" t="str">
        <x:v>2026-06</x:v>
      </x:c>
      <x:c r="D30" t="str">
        <x:v>Instagram</x:v>
      </x:c>
      <x:c r="E30" t="str">
        <x:v>Summer Launch</x:v>
      </x:c>
      <x:c r="F30" t="str">
        <x:v>Short Video</x:v>
      </x:c>
      <x:c r="G30" t="str">
        <x:v>Customer Story</x:v>
      </x:c>
      <x:c r="H30" t="n">
        <x:v>0</x:v>
      </x:c>
      <x:c r="I30" t="n">
        <x:v>16564</x:v>
      </x:c>
      <x:c r="J30" t="n">
        <x:v>13067</x:v>
      </x:c>
      <x:c r="K30" t="n">
        <x:v>496</x:v>
      </x:c>
      <x:c r="L30" t="n">
        <x:v>448</x:v>
      </x:c>
      <x:c r="M30" t="n">
        <x:v>21</x:v>
      </x:c>
      <x:c r="N30" t="n">
        <x:v>0</x:v>
      </x:c>
      <x:c r="O30" s="37" t="n">
        <x:v>1913.48</x:v>
      </x:c>
      <x:c r="P30" s="37" t="n">
        <x:v>28595</x:v>
      </x:c>
      <x:c r="Q30" t="n">
        <x:v>24</x:v>
      </x:c>
      <x:c r="R30" t="n">
        <x:v>3</x:v>
      </x:c>
      <x:c r="S30" t="n">
        <x:v>28616</x:v>
      </x:c>
      <x:c r="T30" t="n">
        <x:v>40.4</x:v>
      </x:c>
    </x:row>
    <x:row r="31">
      <x:c r="A31" t="str">
        <x:v>SM0027</x:v>
      </x:c>
      <x:c r="B31" s="43" t="str">
        <x:v>2026-06-27</x:v>
      </x:c>
      <x:c r="C31" t="str">
        <x:v>2026-06</x:v>
      </x:c>
      <x:c r="D31" t="str">
        <x:v>Instagram</x:v>
      </x:c>
      <x:c r="E31" t="str">
        <x:v>Lead Gen</x:v>
      </x:c>
      <x:c r="F31" t="str">
        <x:v>Carousel</x:v>
      </x:c>
      <x:c r="G31" t="str">
        <x:v>Industry Insight</x:v>
      </x:c>
      <x:c r="H31" t="n">
        <x:v>0</x:v>
      </x:c>
      <x:c r="I31" t="n">
        <x:v>8237</x:v>
      </x:c>
      <x:c r="J31" t="n">
        <x:v>6188</x:v>
      </x:c>
      <x:c r="K31" t="n">
        <x:v>486</x:v>
      </x:c>
      <x:c r="L31" t="n">
        <x:v>190</x:v>
      </x:c>
      <x:c r="M31" t="n">
        <x:v>18</x:v>
      </x:c>
      <x:c r="N31" t="n">
        <x:v>0</x:v>
      </x:c>
      <x:c r="O31" s="37" t="n">
        <x:v>2342.53</x:v>
      </x:c>
      <x:c r="P31" s="37" t="n">
        <x:v>28616</x:v>
      </x:c>
      <x:c r="Q31" t="n">
        <x:v>14</x:v>
      </x:c>
      <x:c r="R31" t="n">
        <x:v>4</x:v>
      </x:c>
      <x:c r="S31" t="n">
        <x:v>28626</x:v>
      </x:c>
      <x:c r="T31" t="n">
        <x:v>47.7</x:v>
      </x:c>
    </x:row>
    <x:row r="32">
      <x:c r="A32" t="str">
        <x:v>SM0028</x:v>
      </x:c>
      <x:c r="B32" s="43" t="str">
        <x:v>2026-06-28</x:v>
      </x:c>
      <x:c r="C32" t="str">
        <x:v>2026-06</x:v>
      </x:c>
      <x:c r="D32" t="str">
        <x:v>Instagram</x:v>
      </x:c>
      <x:c r="E32" t="str">
        <x:v>Brand Trust</x:v>
      </x:c>
      <x:c r="F32" t="str">
        <x:v>Static Image</x:v>
      </x:c>
      <x:c r="G32" t="str">
        <x:v>Education</x:v>
      </x:c>
      <x:c r="H32" t="n">
        <x:v>0</x:v>
      </x:c>
      <x:c r="I32" t="n">
        <x:v>4303</x:v>
      </x:c>
      <x:c r="J32" t="n">
        <x:v>2939</x:v>
      </x:c>
      <x:c r="K32" t="n">
        <x:v>116</x:v>
      </x:c>
      <x:c r="L32" t="n">
        <x:v>64</x:v>
      </x:c>
      <x:c r="M32" t="n">
        <x:v>5</x:v>
      </x:c>
      <x:c r="N32" t="n">
        <x:v>0</x:v>
      </x:c>
      <x:c r="O32" s="37" t="n">
        <x:v>655.78</x:v>
      </x:c>
      <x:c r="P32" s="37" t="n">
        <x:v>28626</x:v>
      </x:c>
      <x:c r="Q32" t="n">
        <x:v>4</x:v>
      </x:c>
      <x:c r="R32" t="n">
        <x:v>1</x:v>
      </x:c>
      <x:c r="S32" t="n">
        <x:v>28629</x:v>
      </x:c>
      <x:c r="T32" t="n">
        <x:v>16.1</x:v>
      </x:c>
    </x:row>
    <x:row r="33">
      <x:c r="A33" t="str">
        <x:v>SM0029</x:v>
      </x:c>
      <x:c r="B33" s="43" t="str">
        <x:v>2026-06-29</x:v>
      </x:c>
      <x:c r="C33" t="str">
        <x:v>2026-06</x:v>
      </x:c>
      <x:c r="D33" t="str">
        <x:v>Instagram</x:v>
      </x:c>
      <x:c r="E33" t="str">
        <x:v>Always On</x:v>
      </x:c>
      <x:c r="F33" t="str">
        <x:v>Article</x:v>
      </x:c>
      <x:c r="G33" t="str">
        <x:v>Customer Story</x:v>
      </x:c>
      <x:c r="H33" t="n">
        <x:v>1</x:v>
      </x:c>
      <x:c r="I33" t="n">
        <x:v>10193</x:v>
      </x:c>
      <x:c r="J33" t="n">
        <x:v>7329</x:v>
      </x:c>
      <x:c r="K33" t="n">
        <x:v>351</x:v>
      </x:c>
      <x:c r="L33" t="n">
        <x:v>169</x:v>
      </x:c>
      <x:c r="M33" t="n">
        <x:v>15</x:v>
      </x:c>
      <x:c r="N33" t="n">
        <x:v>838.65</x:v>
      </x:c>
      <x:c r="O33" s="37" t="n">
        <x:v>1173.48</x:v>
      </x:c>
      <x:c r="P33" s="37" t="n">
        <x:v>28629</x:v>
      </x:c>
      <x:c r="Q33" t="n">
        <x:v>9</x:v>
      </x:c>
      <x:c r="R33" t="n">
        <x:v>2</x:v>
      </x:c>
      <x:c r="S33" t="n">
        <x:v>28636</x:v>
      </x:c>
      <x:c r="T33" t="n">
        <x:v>37.9</x:v>
      </x:c>
    </x:row>
    <x:row r="34">
      <x:c r="A34" t="str">
        <x:v>SM0030</x:v>
      </x:c>
      <x:c r="B34" s="43" t="str">
        <x:v>2026-06-30</x:v>
      </x:c>
      <x:c r="C34" t="str">
        <x:v>2026-06</x:v>
      </x:c>
      <x:c r="D34" t="str">
        <x:v>Instagram</x:v>
      </x:c>
      <x:c r="E34" t="str">
        <x:v>Summer Launch</x:v>
      </x:c>
      <x:c r="F34" t="str">
        <x:v>Live Clip</x:v>
      </x:c>
      <x:c r="G34" t="str">
        <x:v>Industry Insight</x:v>
      </x:c>
      <x:c r="H34" t="n">
        <x:v>0</x:v>
      </x:c>
      <x:c r="I34" t="n">
        <x:v>3408</x:v>
      </x:c>
      <x:c r="J34" t="n">
        <x:v>2428</x:v>
      </x:c>
      <x:c r="K34" t="n">
        <x:v>179</x:v>
      </x:c>
      <x:c r="L34" t="n">
        <x:v>41</x:v>
      </x:c>
      <x:c r="M34" t="n">
        <x:v>3</x:v>
      </x:c>
      <x:c r="N34" t="n">
        <x:v>0</x:v>
      </x:c>
      <x:c r="O34" s="37" t="n">
        <x:v>385.29</x:v>
      </x:c>
      <x:c r="P34" s="37" t="n">
        <x:v>28636</x:v>
      </x:c>
      <x:c r="Q34" t="n">
        <x:v>2</x:v>
      </x:c>
      <x:c r="R34" t="n">
        <x:v>1</x:v>
      </x:c>
      <x:c r="S34" t="n">
        <x:v>28637</x:v>
      </x:c>
      <x:c r="T34" t="n">
        <x:v>14.1</x:v>
      </x:c>
    </x:row>
    <x:row r="35">
      <x:c r="A35" t="str">
        <x:v>SM0031</x:v>
      </x:c>
      <x:c r="B35" s="43" t="str">
        <x:v>2026-06-01</x:v>
      </x:c>
      <x:c r="C35" t="str">
        <x:v>2026-06</x:v>
      </x:c>
      <x:c r="D35" t="str">
        <x:v>Facebook</x:v>
      </x:c>
      <x:c r="E35" t="str">
        <x:v>Lead Gen</x:v>
      </x:c>
      <x:c r="F35" t="str">
        <x:v>Carousel</x:v>
      </x:c>
      <x:c r="G35" t="str">
        <x:v>Product</x:v>
      </x:c>
      <x:c r="H35" t="n">
        <x:v>1</x:v>
      </x:c>
      <x:c r="I35" t="n">
        <x:v>6141</x:v>
      </x:c>
      <x:c r="J35" t="n">
        <x:v>4640</x:v>
      </x:c>
      <x:c r="K35" t="n">
        <x:v>193</x:v>
      </x:c>
      <x:c r="L35" t="n">
        <x:v>124</x:v>
      </x:c>
      <x:c r="M35" t="n">
        <x:v>5</x:v>
      </x:c>
      <x:c r="N35" t="n">
        <x:v>1154.88</x:v>
      </x:c>
      <x:c r="O35" s="37" t="n">
        <x:v>711.28</x:v>
      </x:c>
      <x:c r="P35" s="37" t="n">
        <x:v>19800</x:v>
      </x:c>
      <x:c r="Q35" t="n">
        <x:v>12</x:v>
      </x:c>
      <x:c r="R35" t="n">
        <x:v>3</x:v>
      </x:c>
      <x:c r="S35" t="n">
        <x:v>19809</x:v>
      </x:c>
      <x:c r="T35" t="n">
        <x:v>42.6</x:v>
      </x:c>
    </x:row>
    <x:row r="36">
      <x:c r="A36" t="str">
        <x:v>SM0032</x:v>
      </x:c>
      <x:c r="B36" s="43" t="str">
        <x:v>2026-06-02</x:v>
      </x:c>
      <x:c r="C36" t="str">
        <x:v>2026-06</x:v>
      </x:c>
      <x:c r="D36" t="str">
        <x:v>Facebook</x:v>
      </x:c>
      <x:c r="E36" t="str">
        <x:v>Brand Trust</x:v>
      </x:c>
      <x:c r="F36" t="str">
        <x:v>Static Image</x:v>
      </x:c>
      <x:c r="G36" t="str">
        <x:v>Behind the Scenes</x:v>
      </x:c>
      <x:c r="H36" t="n">
        <x:v>0</x:v>
      </x:c>
      <x:c r="I36" t="n">
        <x:v>6454</x:v>
      </x:c>
      <x:c r="J36" t="n">
        <x:v>4153</x:v>
      </x:c>
      <x:c r="K36" t="n">
        <x:v>165</x:v>
      </x:c>
      <x:c r="L36" t="n">
        <x:v>72</x:v>
      </x:c>
      <x:c r="M36" t="n">
        <x:v>4</x:v>
      </x:c>
      <x:c r="N36" t="n">
        <x:v>0</x:v>
      </x:c>
      <x:c r="O36" s="37" t="n">
        <x:v>678.86</x:v>
      </x:c>
      <x:c r="P36" s="37" t="n">
        <x:v>19809</x:v>
      </x:c>
      <x:c r="Q36" t="n">
        <x:v>6</x:v>
      </x:c>
      <x:c r="R36" t="n">
        <x:v>2</x:v>
      </x:c>
      <x:c r="S36" t="n">
        <x:v>19813</x:v>
      </x:c>
      <x:c r="T36" t="n">
        <x:v>37.7</x:v>
      </x:c>
    </x:row>
    <x:row r="37">
      <x:c r="A37" t="str">
        <x:v>SM0033</x:v>
      </x:c>
      <x:c r="B37" s="43" t="str">
        <x:v>2026-06-03</x:v>
      </x:c>
      <x:c r="C37" t="str">
        <x:v>2026-06</x:v>
      </x:c>
      <x:c r="D37" t="str">
        <x:v>Facebook</x:v>
      </x:c>
      <x:c r="E37" t="str">
        <x:v>Always On</x:v>
      </x:c>
      <x:c r="F37" t="str">
        <x:v>Article</x:v>
      </x:c>
      <x:c r="G37" t="str">
        <x:v>Promotion</x:v>
      </x:c>
      <x:c r="H37" t="n">
        <x:v>1</x:v>
      </x:c>
      <x:c r="I37" t="n">
        <x:v>3166</x:v>
      </x:c>
      <x:c r="J37" t="n">
        <x:v>2516</x:v>
      </x:c>
      <x:c r="K37" t="n">
        <x:v>144</x:v>
      </x:c>
      <x:c r="L37" t="n">
        <x:v>38</x:v>
      </x:c>
      <x:c r="M37" t="n">
        <x:v>3</x:v>
      </x:c>
      <x:c r="N37" t="n">
        <x:v>1090.22</x:v>
      </x:c>
      <x:c r="O37" s="37" t="n">
        <x:v>226.16</x:v>
      </x:c>
      <x:c r="P37" s="37" t="n">
        <x:v>19813</x:v>
      </x:c>
      <x:c r="Q37" t="n">
        <x:v>2</x:v>
      </x:c>
      <x:c r="R37" t="n">
        <x:v>0</x:v>
      </x:c>
      <x:c r="S37" t="n">
        <x:v>19815</x:v>
      </x:c>
      <x:c r="T37" t="n">
        <x:v>14.1</x:v>
      </x:c>
    </x:row>
    <x:row r="38">
      <x:c r="A38" t="str">
        <x:v>SM0034</x:v>
      </x:c>
      <x:c r="B38" s="43" t="str">
        <x:v>2026-06-04</x:v>
      </x:c>
      <x:c r="C38" t="str">
        <x:v>2026-06</x:v>
      </x:c>
      <x:c r="D38" t="str">
        <x:v>Facebook</x:v>
      </x:c>
      <x:c r="E38" t="str">
        <x:v>Summer Launch</x:v>
      </x:c>
      <x:c r="F38" t="str">
        <x:v>Live Clip</x:v>
      </x:c>
      <x:c r="G38" t="str">
        <x:v>Product</x:v>
      </x:c>
      <x:c r="H38" t="n">
        <x:v>0</x:v>
      </x:c>
      <x:c r="I38" t="n">
        <x:v>7929</x:v>
      </x:c>
      <x:c r="J38" t="n">
        <x:v>5881</x:v>
      </x:c>
      <x:c r="K38" t="n">
        <x:v>262</x:v>
      </x:c>
      <x:c r="L38" t="n">
        <x:v>78</x:v>
      </x:c>
      <x:c r="M38" t="n">
        <x:v>5</x:v>
      </x:c>
      <x:c r="N38" t="n">
        <x:v>0</x:v>
      </x:c>
      <x:c r="O38" s="37" t="n">
        <x:v>641.91</x:v>
      </x:c>
      <x:c r="P38" s="37" t="n">
        <x:v>19815</x:v>
      </x:c>
      <x:c r="Q38" t="n">
        <x:v>9</x:v>
      </x:c>
      <x:c r="R38" t="n">
        <x:v>2</x:v>
      </x:c>
      <x:c r="S38" t="n">
        <x:v>19822</x:v>
      </x:c>
      <x:c r="T38" t="n">
        <x:v>23.9</x:v>
      </x:c>
    </x:row>
    <x:row r="39">
      <x:c r="A39" t="str">
        <x:v>SM0035</x:v>
      </x:c>
      <x:c r="B39" s="43" t="str">
        <x:v>2026-06-05</x:v>
      </x:c>
      <x:c r="C39" t="str">
        <x:v>2026-06</x:v>
      </x:c>
      <x:c r="D39" t="str">
        <x:v>Facebook</x:v>
      </x:c>
      <x:c r="E39" t="str">
        <x:v>Lead Gen</x:v>
      </x:c>
      <x:c r="F39" t="str">
        <x:v>Short Video</x:v>
      </x:c>
      <x:c r="G39" t="str">
        <x:v>Behind the Scenes</x:v>
      </x:c>
      <x:c r="H39" t="n">
        <x:v>1</x:v>
      </x:c>
      <x:c r="I39" t="n">
        <x:v>7213</x:v>
      </x:c>
      <x:c r="J39" t="n">
        <x:v>5485</x:v>
      </x:c>
      <x:c r="K39" t="n">
        <x:v>238</x:v>
      </x:c>
      <x:c r="L39" t="n">
        <x:v>128</x:v>
      </x:c>
      <x:c r="M39" t="n">
        <x:v>13</x:v>
      </x:c>
      <x:c r="N39" t="n">
        <x:v>253.55</x:v>
      </x:c>
      <x:c r="O39" s="37" t="n">
        <x:v>2341</x:v>
      </x:c>
      <x:c r="P39" s="37" t="n">
        <x:v>19822</x:v>
      </x:c>
      <x:c r="Q39" t="n">
        <x:v>7</x:v>
      </x:c>
      <x:c r="R39" t="n">
        <x:v>1</x:v>
      </x:c>
      <x:c r="S39" t="n">
        <x:v>19828</x:v>
      </x:c>
      <x:c r="T39" t="n">
        <x:v>20.5</x:v>
      </x:c>
    </x:row>
    <x:row r="40">
      <x:c r="A40" t="str">
        <x:v>SM0036</x:v>
      </x:c>
      <x:c r="B40" s="43" t="str">
        <x:v>2026-06-06</x:v>
      </x:c>
      <x:c r="C40" t="str">
        <x:v>2026-06</x:v>
      </x:c>
      <x:c r="D40" t="str">
        <x:v>Facebook</x:v>
      </x:c>
      <x:c r="E40" t="str">
        <x:v>Brand Trust</x:v>
      </x:c>
      <x:c r="F40" t="str">
        <x:v>Carousel</x:v>
      </x:c>
      <x:c r="G40" t="str">
        <x:v>Promotion</x:v>
      </x:c>
      <x:c r="H40" t="n">
        <x:v>1</x:v>
      </x:c>
      <x:c r="I40" t="n">
        <x:v>5108</x:v>
      </x:c>
      <x:c r="J40" t="n">
        <x:v>4040</x:v>
      </x:c>
      <x:c r="K40" t="n">
        <x:v>226</x:v>
      </x:c>
      <x:c r="L40" t="n">
        <x:v>106</x:v>
      </x:c>
      <x:c r="M40" t="n">
        <x:v>10</x:v>
      </x:c>
      <x:c r="N40" t="n">
        <x:v>490.08</x:v>
      </x:c>
      <x:c r="O40" s="37" t="n">
        <x:v>1486.62</x:v>
      </x:c>
      <x:c r="P40" s="37" t="n">
        <x:v>19828</x:v>
      </x:c>
      <x:c r="Q40" t="n">
        <x:v>7</x:v>
      </x:c>
      <x:c r="R40" t="n">
        <x:v>2</x:v>
      </x:c>
      <x:c r="S40" t="n">
        <x:v>19833</x:v>
      </x:c>
      <x:c r="T40" t="n">
        <x:v>13.4</x:v>
      </x:c>
    </x:row>
    <x:row r="41">
      <x:c r="A41" t="str">
        <x:v>SM0037</x:v>
      </x:c>
      <x:c r="B41" s="43" t="str">
        <x:v>2026-06-07</x:v>
      </x:c>
      <x:c r="C41" t="str">
        <x:v>2026-06</x:v>
      </x:c>
      <x:c r="D41" t="str">
        <x:v>Facebook</x:v>
      </x:c>
      <x:c r="E41" t="str">
        <x:v>Always On</x:v>
      </x:c>
      <x:c r="F41" t="str">
        <x:v>Static Image</x:v>
      </x:c>
      <x:c r="G41" t="str">
        <x:v>Product</x:v>
      </x:c>
      <x:c r="H41" t="n">
        <x:v>0</x:v>
      </x:c>
      <x:c r="I41" t="n">
        <x:v>7585</x:v>
      </x:c>
      <x:c r="J41" t="n">
        <x:v>4984</x:v>
      </x:c>
      <x:c r="K41" t="n">
        <x:v>314</x:v>
      </x:c>
      <x:c r="L41" t="n">
        <x:v>106</x:v>
      </x:c>
      <x:c r="M41" t="n">
        <x:v>10</x:v>
      </x:c>
      <x:c r="N41" t="n">
        <x:v>0</x:v>
      </x:c>
      <x:c r="O41" s="37" t="n">
        <x:v>937.05</x:v>
      </x:c>
      <x:c r="P41" s="37" t="n">
        <x:v>19833</x:v>
      </x:c>
      <x:c r="Q41" t="n">
        <x:v>12</x:v>
      </x:c>
      <x:c r="R41" t="n">
        <x:v>2</x:v>
      </x:c>
      <x:c r="S41" t="n">
        <x:v>19843</x:v>
      </x:c>
      <x:c r="T41" t="n">
        <x:v>21.5</x:v>
      </x:c>
    </x:row>
    <x:row r="42">
      <x:c r="A42" t="str">
        <x:v>SM0038</x:v>
      </x:c>
      <x:c r="B42" s="43" t="str">
        <x:v>2026-06-08</x:v>
      </x:c>
      <x:c r="C42" t="str">
        <x:v>2026-06</x:v>
      </x:c>
      <x:c r="D42" t="str">
        <x:v>Facebook</x:v>
      </x:c>
      <x:c r="E42" t="str">
        <x:v>Summer Launch</x:v>
      </x:c>
      <x:c r="F42" t="str">
        <x:v>Article</x:v>
      </x:c>
      <x:c r="G42" t="str">
        <x:v>Behind the Scenes</x:v>
      </x:c>
      <x:c r="H42" t="n">
        <x:v>0</x:v>
      </x:c>
      <x:c r="I42" t="n">
        <x:v>7473</x:v>
      </x:c>
      <x:c r="J42" t="n">
        <x:v>5022</x:v>
      </x:c>
      <x:c r="K42" t="n">
        <x:v>311</x:v>
      </x:c>
      <x:c r="L42" t="n">
        <x:v>97</x:v>
      </x:c>
      <x:c r="M42" t="n">
        <x:v>8</x:v>
      </x:c>
      <x:c r="N42" t="n">
        <x:v>0</x:v>
      </x:c>
      <x:c r="O42" s="37" t="n">
        <x:v>1232.91</x:v>
      </x:c>
      <x:c r="P42" s="37" t="n">
        <x:v>19843</x:v>
      </x:c>
      <x:c r="Q42" t="n">
        <x:v>6</x:v>
      </x:c>
      <x:c r="R42" t="n">
        <x:v>2</x:v>
      </x:c>
      <x:c r="S42" t="n">
        <x:v>19847</x:v>
      </x:c>
      <x:c r="T42" t="n">
        <x:v>25.1</x:v>
      </x:c>
    </x:row>
    <x:row r="43">
      <x:c r="A43" t="str">
        <x:v>SM0039</x:v>
      </x:c>
      <x:c r="B43" s="43" t="str">
        <x:v>2026-06-09</x:v>
      </x:c>
      <x:c r="C43" t="str">
        <x:v>2026-06</x:v>
      </x:c>
      <x:c r="D43" t="str">
        <x:v>Facebook</x:v>
      </x:c>
      <x:c r="E43" t="str">
        <x:v>Lead Gen</x:v>
      </x:c>
      <x:c r="F43" t="str">
        <x:v>Live Clip</x:v>
      </x:c>
      <x:c r="G43" t="str">
        <x:v>Promotion</x:v>
      </x:c>
      <x:c r="H43" t="n">
        <x:v>1</x:v>
      </x:c>
      <x:c r="I43" t="n">
        <x:v>8367</x:v>
      </x:c>
      <x:c r="J43" t="n">
        <x:v>5520</x:v>
      </x:c>
      <x:c r="K43" t="n">
        <x:v>311</x:v>
      </x:c>
      <x:c r="L43" t="n">
        <x:v>78</x:v>
      </x:c>
      <x:c r="M43" t="n">
        <x:v>6</x:v>
      </x:c>
      <x:c r="N43" t="n">
        <x:v>899.68</x:v>
      </x:c>
      <x:c r="O43" s="37" t="n">
        <x:v>1132.45</x:v>
      </x:c>
      <x:c r="P43" s="37" t="n">
        <x:v>19847</x:v>
      </x:c>
      <x:c r="Q43" t="n">
        <x:v>12</x:v>
      </x:c>
      <x:c r="R43" t="n">
        <x:v>3</x:v>
      </x:c>
      <x:c r="S43" t="n">
        <x:v>19856</x:v>
      </x:c>
      <x:c r="T43" t="n">
        <x:v>30.8</x:v>
      </x:c>
    </x:row>
    <x:row r="44">
      <x:c r="A44" t="str">
        <x:v>SM0040</x:v>
      </x:c>
      <x:c r="B44" s="43" t="str">
        <x:v>2026-06-10</x:v>
      </x:c>
      <x:c r="C44" t="str">
        <x:v>2026-06</x:v>
      </x:c>
      <x:c r="D44" t="str">
        <x:v>Facebook</x:v>
      </x:c>
      <x:c r="E44" t="str">
        <x:v>Brand Trust</x:v>
      </x:c>
      <x:c r="F44" t="str">
        <x:v>Short Video</x:v>
      </x:c>
      <x:c r="G44" t="str">
        <x:v>Product</x:v>
      </x:c>
      <x:c r="H44" t="n">
        <x:v>0</x:v>
      </x:c>
      <x:c r="I44" t="n">
        <x:v>10124</x:v>
      </x:c>
      <x:c r="J44" t="n">
        <x:v>6392</x:v>
      </x:c>
      <x:c r="K44" t="n">
        <x:v>313</x:v>
      </x:c>
      <x:c r="L44" t="n">
        <x:v>115</x:v>
      </x:c>
      <x:c r="M44" t="n">
        <x:v>4</x:v>
      </x:c>
      <x:c r="N44" t="n">
        <x:v>0</x:v>
      </x:c>
      <x:c r="O44" s="37" t="n">
        <x:v>350.83</x:v>
      </x:c>
      <x:c r="P44" s="37" t="n">
        <x:v>19856</x:v>
      </x:c>
      <x:c r="Q44" t="n">
        <x:v>9</x:v>
      </x:c>
      <x:c r="R44" t="n">
        <x:v>2</x:v>
      </x:c>
      <x:c r="S44" t="n">
        <x:v>19863</x:v>
      </x:c>
      <x:c r="T44" t="n">
        <x:v>25.3</x:v>
      </x:c>
    </x:row>
    <x:row r="45">
      <x:c r="A45" t="str">
        <x:v>SM0041</x:v>
      </x:c>
      <x:c r="B45" s="43" t="str">
        <x:v>2026-06-11</x:v>
      </x:c>
      <x:c r="C45" t="str">
        <x:v>2026-06</x:v>
      </x:c>
      <x:c r="D45" t="str">
        <x:v>Facebook</x:v>
      </x:c>
      <x:c r="E45" t="str">
        <x:v>Always On</x:v>
      </x:c>
      <x:c r="F45" t="str">
        <x:v>Carousel</x:v>
      </x:c>
      <x:c r="G45" t="str">
        <x:v>Behind the Scenes</x:v>
      </x:c>
      <x:c r="H45" t="n">
        <x:v>0</x:v>
      </x:c>
      <x:c r="I45" t="n">
        <x:v>3935</x:v>
      </x:c>
      <x:c r="J45" t="n">
        <x:v>3005</x:v>
      </x:c>
      <x:c r="K45" t="n">
        <x:v>67</x:v>
      </x:c>
      <x:c r="L45" t="n">
        <x:v>37</x:v>
      </x:c>
      <x:c r="M45" t="n">
        <x:v>3</x:v>
      </x:c>
      <x:c r="N45" t="n">
        <x:v>0</x:v>
      </x:c>
      <x:c r="O45" s="37" t="n">
        <x:v>399.29</x:v>
      </x:c>
      <x:c r="P45" s="37" t="n">
        <x:v>19863</x:v>
      </x:c>
      <x:c r="Q45" t="n">
        <x:v>2</x:v>
      </x:c>
      <x:c r="R45" t="n">
        <x:v>1</x:v>
      </x:c>
      <x:c r="S45" t="n">
        <x:v>19864</x:v>
      </x:c>
      <x:c r="T45" t="n">
        <x:v>11.4</x:v>
      </x:c>
    </x:row>
    <x:row r="46">
      <x:c r="A46" t="str">
        <x:v>SM0042</x:v>
      </x:c>
      <x:c r="B46" s="43" t="str">
        <x:v>2026-06-12</x:v>
      </x:c>
      <x:c r="C46" t="str">
        <x:v>2026-06</x:v>
      </x:c>
      <x:c r="D46" t="str">
        <x:v>Facebook</x:v>
      </x:c>
      <x:c r="E46" t="str">
        <x:v>Summer Launch</x:v>
      </x:c>
      <x:c r="F46" t="str">
        <x:v>Static Image</x:v>
      </x:c>
      <x:c r="G46" t="str">
        <x:v>Promotion</x:v>
      </x:c>
      <x:c r="H46" t="n">
        <x:v>1</x:v>
      </x:c>
      <x:c r="I46" t="n">
        <x:v>7387</x:v>
      </x:c>
      <x:c r="J46" t="n">
        <x:v>5356</x:v>
      </x:c>
      <x:c r="K46" t="n">
        <x:v>165</x:v>
      </x:c>
      <x:c r="L46" t="n">
        <x:v>83</x:v>
      </x:c>
      <x:c r="M46" t="n">
        <x:v>8</x:v>
      </x:c>
      <x:c r="N46" t="n">
        <x:v>527.08</x:v>
      </x:c>
      <x:c r="O46" s="37" t="n">
        <x:v>877.97</x:v>
      </x:c>
      <x:c r="P46" s="37" t="n">
        <x:v>19864</x:v>
      </x:c>
      <x:c r="Q46" t="n">
        <x:v>12</x:v>
      </x:c>
      <x:c r="R46" t="n">
        <x:v>3</x:v>
      </x:c>
      <x:c r="S46" t="n">
        <x:v>19873</x:v>
      </x:c>
      <x:c r="T46" t="n">
        <x:v>17.5</x:v>
      </x:c>
    </x:row>
    <x:row r="47">
      <x:c r="A47" t="str">
        <x:v>SM0043</x:v>
      </x:c>
      <x:c r="B47" s="43" t="str">
        <x:v>2026-06-13</x:v>
      </x:c>
      <x:c r="C47" t="str">
        <x:v>2026-06</x:v>
      </x:c>
      <x:c r="D47" t="str">
        <x:v>Facebook</x:v>
      </x:c>
      <x:c r="E47" t="str">
        <x:v>Lead Gen</x:v>
      </x:c>
      <x:c r="F47" t="str">
        <x:v>Article</x:v>
      </x:c>
      <x:c r="G47" t="str">
        <x:v>Product</x:v>
      </x:c>
      <x:c r="H47" t="n">
        <x:v>1</x:v>
      </x:c>
      <x:c r="I47" t="n">
        <x:v>8901</x:v>
      </x:c>
      <x:c r="J47" t="n">
        <x:v>6793</x:v>
      </x:c>
      <x:c r="K47" t="n">
        <x:v>274</x:v>
      </x:c>
      <x:c r="L47" t="n">
        <x:v>136</x:v>
      </x:c>
      <x:c r="M47" t="n">
        <x:v>11</x:v>
      </x:c>
      <x:c r="N47" t="n">
        <x:v>1057.11</x:v>
      </x:c>
      <x:c r="O47" s="37" t="n">
        <x:v>1549.55</x:v>
      </x:c>
      <x:c r="P47" s="37" t="n">
        <x:v>19873</x:v>
      </x:c>
      <x:c r="Q47" t="n">
        <x:v>7</x:v>
      </x:c>
      <x:c r="R47" t="n">
        <x:v>1</x:v>
      </x:c>
      <x:c r="S47" t="n">
        <x:v>19879</x:v>
      </x:c>
      <x:c r="T47" t="n">
        <x:v>24.9</x:v>
      </x:c>
    </x:row>
    <x:row r="48">
      <x:c r="A48" t="str">
        <x:v>SM0044</x:v>
      </x:c>
      <x:c r="B48" s="43" t="str">
        <x:v>2026-06-14</x:v>
      </x:c>
      <x:c r="C48" t="str">
        <x:v>2026-06</x:v>
      </x:c>
      <x:c r="D48" t="str">
        <x:v>Facebook</x:v>
      </x:c>
      <x:c r="E48" t="str">
        <x:v>Brand Trust</x:v>
      </x:c>
      <x:c r="F48" t="str">
        <x:v>Live Clip</x:v>
      </x:c>
      <x:c r="G48" t="str">
        <x:v>Behind the Scenes</x:v>
      </x:c>
      <x:c r="H48" t="n">
        <x:v>0</x:v>
      </x:c>
      <x:c r="I48" t="n">
        <x:v>6477</x:v>
      </x:c>
      <x:c r="J48" t="n">
        <x:v>4834</x:v>
      </x:c>
      <x:c r="K48" t="n">
        <x:v>260</x:v>
      </x:c>
      <x:c r="L48" t="n">
        <x:v>125</x:v>
      </x:c>
      <x:c r="M48" t="n">
        <x:v>8</x:v>
      </x:c>
      <x:c r="N48" t="n">
        <x:v>0</x:v>
      </x:c>
      <x:c r="O48" s="37" t="n">
        <x:v>1032.44</x:v>
      </x:c>
      <x:c r="P48" s="37" t="n">
        <x:v>19879</x:v>
      </x:c>
      <x:c r="Q48" t="n">
        <x:v>8</x:v>
      </x:c>
      <x:c r="R48" t="n">
        <x:v>1</x:v>
      </x:c>
      <x:c r="S48" t="n">
        <x:v>19886</x:v>
      </x:c>
      <x:c r="T48" t="n">
        <x:v>35.7</x:v>
      </x:c>
    </x:row>
    <x:row r="49">
      <x:c r="A49" t="str">
        <x:v>SM0045</x:v>
      </x:c>
      <x:c r="B49" s="43" t="str">
        <x:v>2026-06-15</x:v>
      </x:c>
      <x:c r="C49" t="str">
        <x:v>2026-06</x:v>
      </x:c>
      <x:c r="D49" t="str">
        <x:v>Facebook</x:v>
      </x:c>
      <x:c r="E49" t="str">
        <x:v>Always On</x:v>
      </x:c>
      <x:c r="F49" t="str">
        <x:v>Short Video</x:v>
      </x:c>
      <x:c r="G49" t="str">
        <x:v>Promotion</x:v>
      </x:c>
      <x:c r="H49" t="n">
        <x:v>1</x:v>
      </x:c>
      <x:c r="I49" t="n">
        <x:v>7313</x:v>
      </x:c>
      <x:c r="J49" t="n">
        <x:v>4887</x:v>
      </x:c>
      <x:c r="K49" t="n">
        <x:v>318</x:v>
      </x:c>
      <x:c r="L49" t="n">
        <x:v>86</x:v>
      </x:c>
      <x:c r="M49" t="n">
        <x:v>6</x:v>
      </x:c>
      <x:c r="N49" t="n">
        <x:v>804.9</x:v>
      </x:c>
      <x:c r="O49" s="37" t="n">
        <x:v>680.15</x:v>
      </x:c>
      <x:c r="P49" s="37" t="n">
        <x:v>19886</x:v>
      </x:c>
      <x:c r="Q49" t="n">
        <x:v>11</x:v>
      </x:c>
      <x:c r="R49" t="n">
        <x:v>4</x:v>
      </x:c>
      <x:c r="S49" t="n">
        <x:v>19893</x:v>
      </x:c>
      <x:c r="T49" t="n">
        <x:v>27.1</x:v>
      </x:c>
    </x:row>
    <x:row r="50">
      <x:c r="A50" t="str">
        <x:v>SM0046</x:v>
      </x:c>
      <x:c r="B50" s="43" t="str">
        <x:v>2026-06-16</x:v>
      </x:c>
      <x:c r="C50" t="str">
        <x:v>2026-06</x:v>
      </x:c>
      <x:c r="D50" t="str">
        <x:v>Facebook</x:v>
      </x:c>
      <x:c r="E50" t="str">
        <x:v>Summer Launch</x:v>
      </x:c>
      <x:c r="F50" t="str">
        <x:v>Carousel</x:v>
      </x:c>
      <x:c r="G50" t="str">
        <x:v>Product</x:v>
      </x:c>
      <x:c r="H50" t="n">
        <x:v>0</x:v>
      </x:c>
      <x:c r="I50" t="n">
        <x:v>4470</x:v>
      </x:c>
      <x:c r="J50" t="n">
        <x:v>3329</x:v>
      </x:c>
      <x:c r="K50" t="n">
        <x:v>134</x:v>
      </x:c>
      <x:c r="L50" t="n">
        <x:v>56</x:v>
      </x:c>
      <x:c r="M50" t="n">
        <x:v>4</x:v>
      </x:c>
      <x:c r="N50" t="n">
        <x:v>0</x:v>
      </x:c>
      <x:c r="O50" s="37" t="n">
        <x:v>709.89</x:v>
      </x:c>
      <x:c r="P50" s="37" t="n">
        <x:v>19893</x:v>
      </x:c>
      <x:c r="Q50" t="n">
        <x:v>4</x:v>
      </x:c>
      <x:c r="R50" t="n">
        <x:v>1</x:v>
      </x:c>
      <x:c r="S50" t="n">
        <x:v>19896</x:v>
      </x:c>
      <x:c r="T50" t="n">
        <x:v>21.7</x:v>
      </x:c>
    </x:row>
    <x:row r="51">
      <x:c r="A51" t="str">
        <x:v>SM0047</x:v>
      </x:c>
      <x:c r="B51" s="43" t="str">
        <x:v>2026-06-17</x:v>
      </x:c>
      <x:c r="C51" t="str">
        <x:v>2026-06</x:v>
      </x:c>
      <x:c r="D51" t="str">
        <x:v>Facebook</x:v>
      </x:c>
      <x:c r="E51" t="str">
        <x:v>Lead Gen</x:v>
      </x:c>
      <x:c r="F51" t="str">
        <x:v>Static Image</x:v>
      </x:c>
      <x:c r="G51" t="str">
        <x:v>Behind the Scenes</x:v>
      </x:c>
      <x:c r="H51" t="n">
        <x:v>1</x:v>
      </x:c>
      <x:c r="I51" t="n">
        <x:v>5573</x:v>
      </x:c>
      <x:c r="J51" t="n">
        <x:v>3545</x:v>
      </x:c>
      <x:c r="K51" t="n">
        <x:v>154</x:v>
      </x:c>
      <x:c r="L51" t="n">
        <x:v>110</x:v>
      </x:c>
      <x:c r="M51" t="n">
        <x:v>6</x:v>
      </x:c>
      <x:c r="N51" t="n">
        <x:v>982.07</x:v>
      </x:c>
      <x:c r="O51" s="37" t="n">
        <x:v>595.04</x:v>
      </x:c>
      <x:c r="P51" s="37" t="n">
        <x:v>19896</x:v>
      </x:c>
      <x:c r="Q51" t="n">
        <x:v>6</x:v>
      </x:c>
      <x:c r="R51" t="n">
        <x:v>2</x:v>
      </x:c>
      <x:c r="S51" t="n">
        <x:v>19900</x:v>
      </x:c>
      <x:c r="T51" t="n">
        <x:v>25.8</x:v>
      </x:c>
    </x:row>
    <x:row r="52">
      <x:c r="A52" t="str">
        <x:v>SM0048</x:v>
      </x:c>
      <x:c r="B52" s="43" t="str">
        <x:v>2026-06-18</x:v>
      </x:c>
      <x:c r="C52" t="str">
        <x:v>2026-06</x:v>
      </x:c>
      <x:c r="D52" t="str">
        <x:v>Facebook</x:v>
      </x:c>
      <x:c r="E52" t="str">
        <x:v>Brand Trust</x:v>
      </x:c>
      <x:c r="F52" t="str">
        <x:v>Article</x:v>
      </x:c>
      <x:c r="G52" t="str">
        <x:v>Promotion</x:v>
      </x:c>
      <x:c r="H52" t="n">
        <x:v>1</x:v>
      </x:c>
      <x:c r="I52" t="n">
        <x:v>4386</x:v>
      </x:c>
      <x:c r="J52" t="n">
        <x:v>3200</x:v>
      </x:c>
      <x:c r="K52" t="n">
        <x:v>114</x:v>
      </x:c>
      <x:c r="L52" t="n">
        <x:v>40</x:v>
      </x:c>
      <x:c r="M52" t="n">
        <x:v>3</x:v>
      </x:c>
      <x:c r="N52" t="n">
        <x:v>519.02</x:v>
      </x:c>
      <x:c r="O52" s="37" t="n">
        <x:v>496.5</x:v>
      </x:c>
      <x:c r="P52" s="37" t="n">
        <x:v>19900</x:v>
      </x:c>
      <x:c r="Q52" t="n">
        <x:v>7</x:v>
      </x:c>
      <x:c r="R52" t="n">
        <x:v>2</x:v>
      </x:c>
      <x:c r="S52" t="n">
        <x:v>19905</x:v>
      </x:c>
      <x:c r="T52" t="n">
        <x:v>35.8</x:v>
      </x:c>
    </x:row>
    <x:row r="53">
      <x:c r="A53" t="str">
        <x:v>SM0049</x:v>
      </x:c>
      <x:c r="B53" s="43" t="str">
        <x:v>2026-06-19</x:v>
      </x:c>
      <x:c r="C53" t="str">
        <x:v>2026-06</x:v>
      </x:c>
      <x:c r="D53" t="str">
        <x:v>Facebook</x:v>
      </x:c>
      <x:c r="E53" t="str">
        <x:v>Always On</x:v>
      </x:c>
      <x:c r="F53" t="str">
        <x:v>Live Clip</x:v>
      </x:c>
      <x:c r="G53" t="str">
        <x:v>Product</x:v>
      </x:c>
      <x:c r="H53" t="n">
        <x:v>0</x:v>
      </x:c>
      <x:c r="I53" t="n">
        <x:v>8591</x:v>
      </x:c>
      <x:c r="J53" t="n">
        <x:v>6276</x:v>
      </x:c>
      <x:c r="K53" t="n">
        <x:v>163</x:v>
      </x:c>
      <x:c r="L53" t="n">
        <x:v>149</x:v>
      </x:c>
      <x:c r="M53" t="n">
        <x:v>7</x:v>
      </x:c>
      <x:c r="N53" t="n">
        <x:v>0</x:v>
      </x:c>
      <x:c r="O53" s="37" t="n">
        <x:v>590.45</x:v>
      </x:c>
      <x:c r="P53" s="37" t="n">
        <x:v>19905</x:v>
      </x:c>
      <x:c r="Q53" t="n">
        <x:v>14</x:v>
      </x:c>
      <x:c r="R53" t="n">
        <x:v>2</x:v>
      </x:c>
      <x:c r="S53" t="n">
        <x:v>19917</x:v>
      </x:c>
      <x:c r="T53" t="n">
        <x:v>45.1</x:v>
      </x:c>
    </x:row>
    <x:row r="54">
      <x:c r="A54" t="str">
        <x:v>SM0050</x:v>
      </x:c>
      <x:c r="B54" s="43" t="str">
        <x:v>2026-06-20</x:v>
      </x:c>
      <x:c r="C54" t="str">
        <x:v>2026-06</x:v>
      </x:c>
      <x:c r="D54" t="str">
        <x:v>Facebook</x:v>
      </x:c>
      <x:c r="E54" t="str">
        <x:v>Summer Launch</x:v>
      </x:c>
      <x:c r="F54" t="str">
        <x:v>Short Video</x:v>
      </x:c>
      <x:c r="G54" t="str">
        <x:v>Behind the Scenes</x:v>
      </x:c>
      <x:c r="H54" t="n">
        <x:v>0</x:v>
      </x:c>
      <x:c r="I54" t="n">
        <x:v>3638</x:v>
      </x:c>
      <x:c r="J54" t="n">
        <x:v>2370</x:v>
      </x:c>
      <x:c r="K54" t="n">
        <x:v>152</x:v>
      </x:c>
      <x:c r="L54" t="n">
        <x:v>71</x:v>
      </x:c>
      <x:c r="M54" t="n">
        <x:v>5</x:v>
      </x:c>
      <x:c r="N54" t="n">
        <x:v>0</x:v>
      </x:c>
      <x:c r="O54" s="37" t="n">
        <x:v>534.34</x:v>
      </x:c>
      <x:c r="P54" s="37" t="n">
        <x:v>19917</x:v>
      </x:c>
      <x:c r="Q54" t="n">
        <x:v>3</x:v>
      </x:c>
      <x:c r="R54" t="n">
        <x:v>1</x:v>
      </x:c>
      <x:c r="S54" t="n">
        <x:v>19919</x:v>
      </x:c>
      <x:c r="T54" t="n">
        <x:v>18.2</x:v>
      </x:c>
    </x:row>
    <x:row r="55">
      <x:c r="A55" t="str">
        <x:v>SM0051</x:v>
      </x:c>
      <x:c r="B55" s="43" t="str">
        <x:v>2026-06-21</x:v>
      </x:c>
      <x:c r="C55" t="str">
        <x:v>2026-06</x:v>
      </x:c>
      <x:c r="D55" t="str">
        <x:v>Facebook</x:v>
      </x:c>
      <x:c r="E55" t="str">
        <x:v>Lead Gen</x:v>
      </x:c>
      <x:c r="F55" t="str">
        <x:v>Carousel</x:v>
      </x:c>
      <x:c r="G55" t="str">
        <x:v>Promotion</x:v>
      </x:c>
      <x:c r="H55" t="n">
        <x:v>1</x:v>
      </x:c>
      <x:c r="I55" t="n">
        <x:v>5715</x:v>
      </x:c>
      <x:c r="J55" t="n">
        <x:v>3845</x:v>
      </x:c>
      <x:c r="K55" t="n">
        <x:v>211</x:v>
      </x:c>
      <x:c r="L55" t="n">
        <x:v>35</x:v>
      </x:c>
      <x:c r="M55" t="n">
        <x:v>3</x:v>
      </x:c>
      <x:c r="N55" t="n">
        <x:v>1125.39</x:v>
      </x:c>
      <x:c r="O55" s="37" t="n">
        <x:v>261.47</x:v>
      </x:c>
      <x:c r="P55" s="37" t="n">
        <x:v>19919</x:v>
      </x:c>
      <x:c r="Q55" t="n">
        <x:v>5</x:v>
      </x:c>
      <x:c r="R55" t="n">
        <x:v>2</x:v>
      </x:c>
      <x:c r="S55" t="n">
        <x:v>19922</x:v>
      </x:c>
      <x:c r="T55" t="n">
        <x:v>28.4</x:v>
      </x:c>
    </x:row>
    <x:row r="56">
      <x:c r="A56" t="str">
        <x:v>SM0052</x:v>
      </x:c>
      <x:c r="B56" s="43" t="str">
        <x:v>2026-06-22</x:v>
      </x:c>
      <x:c r="C56" t="str">
        <x:v>2026-06</x:v>
      </x:c>
      <x:c r="D56" t="str">
        <x:v>Facebook</x:v>
      </x:c>
      <x:c r="E56" t="str">
        <x:v>Brand Trust</x:v>
      </x:c>
      <x:c r="F56" t="str">
        <x:v>Static Image</x:v>
      </x:c>
      <x:c r="G56" t="str">
        <x:v>Product</x:v>
      </x:c>
      <x:c r="H56" t="n">
        <x:v>0</x:v>
      </x:c>
      <x:c r="I56" t="n">
        <x:v>5041</x:v>
      </x:c>
      <x:c r="J56" t="n">
        <x:v>3944</x:v>
      </x:c>
      <x:c r="K56" t="n">
        <x:v>85</x:v>
      </x:c>
      <x:c r="L56" t="n">
        <x:v>40</x:v>
      </x:c>
      <x:c r="M56" t="n">
        <x:v>4</x:v>
      </x:c>
      <x:c r="N56" t="n">
        <x:v>0</x:v>
      </x:c>
      <x:c r="O56" s="37" t="n">
        <x:v>731.88</x:v>
      </x:c>
      <x:c r="P56" s="37" t="n">
        <x:v>19922</x:v>
      </x:c>
      <x:c r="Q56" t="n">
        <x:v>4</x:v>
      </x:c>
      <x:c r="R56" t="n">
        <x:v>1</x:v>
      </x:c>
      <x:c r="S56" t="n">
        <x:v>19925</x:v>
      </x:c>
      <x:c r="T56" t="n">
        <x:v>22.1</x:v>
      </x:c>
    </x:row>
    <x:row r="57">
      <x:c r="A57" t="str">
        <x:v>SM0053</x:v>
      </x:c>
      <x:c r="B57" s="43" t="str">
        <x:v>2026-06-23</x:v>
      </x:c>
      <x:c r="C57" t="str">
        <x:v>2026-06</x:v>
      </x:c>
      <x:c r="D57" t="str">
        <x:v>Facebook</x:v>
      </x:c>
      <x:c r="E57" t="str">
        <x:v>Always On</x:v>
      </x:c>
      <x:c r="F57" t="str">
        <x:v>Article</x:v>
      </x:c>
      <x:c r="G57" t="str">
        <x:v>Behind the Scenes</x:v>
      </x:c>
      <x:c r="H57" t="n">
        <x:v>0</x:v>
      </x:c>
      <x:c r="I57" t="n">
        <x:v>9640</x:v>
      </x:c>
      <x:c r="J57" t="n">
        <x:v>7744</x:v>
      </x:c>
      <x:c r="K57" t="n">
        <x:v>334</x:v>
      </x:c>
      <x:c r="L57" t="n">
        <x:v>105</x:v>
      </x:c>
      <x:c r="M57" t="n">
        <x:v>7</x:v>
      </x:c>
      <x:c r="N57" t="n">
        <x:v>0</x:v>
      </x:c>
      <x:c r="O57" s="37" t="n">
        <x:v>1071.19</x:v>
      </x:c>
      <x:c r="P57" s="37" t="n">
        <x:v>19925</x:v>
      </x:c>
      <x:c r="Q57" t="n">
        <x:v>13</x:v>
      </x:c>
      <x:c r="R57" t="n">
        <x:v>2</x:v>
      </x:c>
      <x:c r="S57" t="n">
        <x:v>19936</x:v>
      </x:c>
      <x:c r="T57" t="n">
        <x:v>24</x:v>
      </x:c>
    </x:row>
    <x:row r="58">
      <x:c r="A58" t="str">
        <x:v>SM0054</x:v>
      </x:c>
      <x:c r="B58" s="43" t="str">
        <x:v>2026-06-24</x:v>
      </x:c>
      <x:c r="C58" t="str">
        <x:v>2026-06</x:v>
      </x:c>
      <x:c r="D58" t="str">
        <x:v>Facebook</x:v>
      </x:c>
      <x:c r="E58" t="str">
        <x:v>Summer Launch</x:v>
      </x:c>
      <x:c r="F58" t="str">
        <x:v>Live Clip</x:v>
      </x:c>
      <x:c r="G58" t="str">
        <x:v>Promotion</x:v>
      </x:c>
      <x:c r="H58" t="n">
        <x:v>1</x:v>
      </x:c>
      <x:c r="I58" t="n">
        <x:v>9303</x:v>
      </x:c>
      <x:c r="J58" t="n">
        <x:v>6098</x:v>
      </x:c>
      <x:c r="K58" t="n">
        <x:v>158</x:v>
      </x:c>
      <x:c r="L58" t="n">
        <x:v>83</x:v>
      </x:c>
      <x:c r="M58" t="n">
        <x:v>5</x:v>
      </x:c>
      <x:c r="N58" t="n">
        <x:v>526.6</x:v>
      </x:c>
      <x:c r="O58" s="37" t="n">
        <x:v>900.53</x:v>
      </x:c>
      <x:c r="P58" s="37" t="n">
        <x:v>19936</x:v>
      </x:c>
      <x:c r="Q58" t="n">
        <x:v>7</x:v>
      </x:c>
      <x:c r="R58" t="n">
        <x:v>1</x:v>
      </x:c>
      <x:c r="S58" t="n">
        <x:v>19942</x:v>
      </x:c>
      <x:c r="T58" t="n">
        <x:v>33.5</x:v>
      </x:c>
    </x:row>
    <x:row r="59">
      <x:c r="A59" t="str">
        <x:v>SM0055</x:v>
      </x:c>
      <x:c r="B59" s="43" t="str">
        <x:v>2026-06-25</x:v>
      </x:c>
      <x:c r="C59" t="str">
        <x:v>2026-06</x:v>
      </x:c>
      <x:c r="D59" t="str">
        <x:v>Facebook</x:v>
      </x:c>
      <x:c r="E59" t="str">
        <x:v>Lead Gen</x:v>
      </x:c>
      <x:c r="F59" t="str">
        <x:v>Short Video</x:v>
      </x:c>
      <x:c r="G59" t="str">
        <x:v>Product</x:v>
      </x:c>
      <x:c r="H59" t="n">
        <x:v>1</x:v>
      </x:c>
      <x:c r="I59" t="n">
        <x:v>8461</x:v>
      </x:c>
      <x:c r="J59" t="n">
        <x:v>5641</x:v>
      </x:c>
      <x:c r="K59" t="n">
        <x:v>183</x:v>
      </x:c>
      <x:c r="L59" t="n">
        <x:v>96</x:v>
      </x:c>
      <x:c r="M59" t="n">
        <x:v>9</x:v>
      </x:c>
      <x:c r="N59" t="n">
        <x:v>1087.14</x:v>
      </x:c>
      <x:c r="O59" s="37" t="n">
        <x:v>1505.89</x:v>
      </x:c>
      <x:c r="P59" s="37" t="n">
        <x:v>19942</x:v>
      </x:c>
      <x:c r="Q59" t="n">
        <x:v>5</x:v>
      </x:c>
      <x:c r="R59" t="n">
        <x:v>1</x:v>
      </x:c>
      <x:c r="S59" t="n">
        <x:v>19946</x:v>
      </x:c>
      <x:c r="T59" t="n">
        <x:v>14.6</x:v>
      </x:c>
    </x:row>
    <x:row r="60">
      <x:c r="A60" t="str">
        <x:v>SM0056</x:v>
      </x:c>
      <x:c r="B60" s="43" t="str">
        <x:v>2026-06-26</x:v>
      </x:c>
      <x:c r="C60" t="str">
        <x:v>2026-06</x:v>
      </x:c>
      <x:c r="D60" t="str">
        <x:v>Facebook</x:v>
      </x:c>
      <x:c r="E60" t="str">
        <x:v>Brand Trust</x:v>
      </x:c>
      <x:c r="F60" t="str">
        <x:v>Carousel</x:v>
      </x:c>
      <x:c r="G60" t="str">
        <x:v>Behind the Scenes</x:v>
      </x:c>
      <x:c r="H60" t="n">
        <x:v>0</x:v>
      </x:c>
      <x:c r="I60" t="n">
        <x:v>7216</x:v>
      </x:c>
      <x:c r="J60" t="n">
        <x:v>5823</x:v>
      </x:c>
      <x:c r="K60" t="n">
        <x:v>283</x:v>
      </x:c>
      <x:c r="L60" t="n">
        <x:v>153</x:v>
      </x:c>
      <x:c r="M60" t="n">
        <x:v>15</x:v>
      </x:c>
      <x:c r="N60" t="n">
        <x:v>0</x:v>
      </x:c>
      <x:c r="O60" s="37" t="n">
        <x:v>2323.77</x:v>
      </x:c>
      <x:c r="P60" s="37" t="n">
        <x:v>19946</x:v>
      </x:c>
      <x:c r="Q60" t="n">
        <x:v>4</x:v>
      </x:c>
      <x:c r="R60" t="n">
        <x:v>1</x:v>
      </x:c>
      <x:c r="S60" t="n">
        <x:v>19949</x:v>
      </x:c>
      <x:c r="T60" t="n">
        <x:v>40.9</x:v>
      </x:c>
    </x:row>
    <x:row r="61">
      <x:c r="A61" t="str">
        <x:v>SM0057</x:v>
      </x:c>
      <x:c r="B61" s="43" t="str">
        <x:v>2026-06-27</x:v>
      </x:c>
      <x:c r="C61" t="str">
        <x:v>2026-06</x:v>
      </x:c>
      <x:c r="D61" t="str">
        <x:v>Facebook</x:v>
      </x:c>
      <x:c r="E61" t="str">
        <x:v>Always On</x:v>
      </x:c>
      <x:c r="F61" t="str">
        <x:v>Static Image</x:v>
      </x:c>
      <x:c r="G61" t="str">
        <x:v>Promotion</x:v>
      </x:c>
      <x:c r="H61" t="n">
        <x:v>1</x:v>
      </x:c>
      <x:c r="I61" t="n">
        <x:v>3707</x:v>
      </x:c>
      <x:c r="J61" t="n">
        <x:v>2342</x:v>
      </x:c>
      <x:c r="K61" t="n">
        <x:v>113</x:v>
      </x:c>
      <x:c r="L61" t="n">
        <x:v>87</x:v>
      </x:c>
      <x:c r="M61" t="n">
        <x:v>6</x:v>
      </x:c>
      <x:c r="N61" t="n">
        <x:v>434.91</x:v>
      </x:c>
      <x:c r="O61" s="37" t="n">
        <x:v>699.55</x:v>
      </x:c>
      <x:c r="P61" s="37" t="n">
        <x:v>19949</x:v>
      </x:c>
      <x:c r="Q61" t="n">
        <x:v>4</x:v>
      </x:c>
      <x:c r="R61" t="n">
        <x:v>1</x:v>
      </x:c>
      <x:c r="S61" t="n">
        <x:v>19952</x:v>
      </x:c>
      <x:c r="T61" t="n">
        <x:v>6.3</x:v>
      </x:c>
    </x:row>
    <x:row r="62">
      <x:c r="A62" t="str">
        <x:v>SM0058</x:v>
      </x:c>
      <x:c r="B62" s="43" t="str">
        <x:v>2026-06-28</x:v>
      </x:c>
      <x:c r="C62" t="str">
        <x:v>2026-06</x:v>
      </x:c>
      <x:c r="D62" t="str">
        <x:v>Facebook</x:v>
      </x:c>
      <x:c r="E62" t="str">
        <x:v>Summer Launch</x:v>
      </x:c>
      <x:c r="F62" t="str">
        <x:v>Article</x:v>
      </x:c>
      <x:c r="G62" t="str">
        <x:v>Product</x:v>
      </x:c>
      <x:c r="H62" t="n">
        <x:v>0</x:v>
      </x:c>
      <x:c r="I62" t="n">
        <x:v>2743</x:v>
      </x:c>
      <x:c r="J62" t="n">
        <x:v>1855</x:v>
      </x:c>
      <x:c r="K62" t="n">
        <x:v>119</x:v>
      </x:c>
      <x:c r="L62" t="n">
        <x:v>39</x:v>
      </x:c>
      <x:c r="M62" t="n">
        <x:v>2</x:v>
      </x:c>
      <x:c r="N62" t="n">
        <x:v>0</x:v>
      </x:c>
      <x:c r="O62" s="37" t="n">
        <x:v>365.65</x:v>
      </x:c>
      <x:c r="P62" s="37" t="n">
        <x:v>19952</x:v>
      </x:c>
      <x:c r="Q62" t="n">
        <x:v>4</x:v>
      </x:c>
      <x:c r="R62" t="n">
        <x:v>1</x:v>
      </x:c>
      <x:c r="S62" t="n">
        <x:v>19955</x:v>
      </x:c>
      <x:c r="T62" t="n">
        <x:v>10.1</x:v>
      </x:c>
    </x:row>
    <x:row r="63">
      <x:c r="A63" t="str">
        <x:v>SM0059</x:v>
      </x:c>
      <x:c r="B63" s="43" t="str">
        <x:v>2026-06-29</x:v>
      </x:c>
      <x:c r="C63" t="str">
        <x:v>2026-06</x:v>
      </x:c>
      <x:c r="D63" t="str">
        <x:v>Facebook</x:v>
      </x:c>
      <x:c r="E63" t="str">
        <x:v>Lead Gen</x:v>
      </x:c>
      <x:c r="F63" t="str">
        <x:v>Live Clip</x:v>
      </x:c>
      <x:c r="G63" t="str">
        <x:v>Behind the Scenes</x:v>
      </x:c>
      <x:c r="H63" t="n">
        <x:v>1</x:v>
      </x:c>
      <x:c r="I63" t="n">
        <x:v>9484</x:v>
      </x:c>
      <x:c r="J63" t="n">
        <x:v>6775</x:v>
      </x:c>
      <x:c r="K63" t="n">
        <x:v>198</x:v>
      </x:c>
      <x:c r="L63" t="n">
        <x:v>91</x:v>
      </x:c>
      <x:c r="M63" t="n">
        <x:v>9</x:v>
      </x:c>
      <x:c r="N63" t="n">
        <x:v>303.49</x:v>
      </x:c>
      <x:c r="O63" s="37" t="n">
        <x:v>1647.99</x:v>
      </x:c>
      <x:c r="P63" s="37" t="n">
        <x:v>19955</x:v>
      </x:c>
      <x:c r="Q63" t="n">
        <x:v>10</x:v>
      </x:c>
      <x:c r="R63" t="n">
        <x:v>4</x:v>
      </x:c>
      <x:c r="S63" t="n">
        <x:v>19961</x:v>
      </x:c>
      <x:c r="T63" t="n">
        <x:v>44.7</x:v>
      </x:c>
    </x:row>
    <x:row r="64">
      <x:c r="A64" t="str">
        <x:v>SM0060</x:v>
      </x:c>
      <x:c r="B64" s="43" t="str">
        <x:v>2026-06-30</x:v>
      </x:c>
      <x:c r="C64" t="str">
        <x:v>2026-06</x:v>
      </x:c>
      <x:c r="D64" t="str">
        <x:v>Facebook</x:v>
      </x:c>
      <x:c r="E64" t="str">
        <x:v>Brand Trust</x:v>
      </x:c>
      <x:c r="F64" t="str">
        <x:v>Short Video</x:v>
      </x:c>
      <x:c r="G64" t="str">
        <x:v>Promotion</x:v>
      </x:c>
      <x:c r="H64" t="n">
        <x:v>1</x:v>
      </x:c>
      <x:c r="I64" t="n">
        <x:v>11670</x:v>
      </x:c>
      <x:c r="J64" t="n">
        <x:v>9072</x:v>
      </x:c>
      <x:c r="K64" t="n">
        <x:v>402</x:v>
      </x:c>
      <x:c r="L64" t="n">
        <x:v>170</x:v>
      </x:c>
      <x:c r="M64" t="n">
        <x:v>9</x:v>
      </x:c>
      <x:c r="N64" t="n">
        <x:v>220.18</x:v>
      </x:c>
      <x:c r="O64" s="37" t="n">
        <x:v>1558.44</x:v>
      </x:c>
      <x:c r="P64" s="37" t="n">
        <x:v>19961</x:v>
      </x:c>
      <x:c r="Q64" t="n">
        <x:v>8</x:v>
      </x:c>
      <x:c r="R64" t="n">
        <x:v>2</x:v>
      </x:c>
      <x:c r="S64" t="n">
        <x:v>19967</x:v>
      </x:c>
      <x:c r="T64" t="n">
        <x:v>18</x:v>
      </x:c>
    </x:row>
    <x:row r="65">
      <x:c r="A65" t="str">
        <x:v>SM0061</x:v>
      </x:c>
      <x:c r="B65" s="43" t="str">
        <x:v>2026-06-01</x:v>
      </x:c>
      <x:c r="C65" t="str">
        <x:v>2026-06</x:v>
      </x:c>
      <x:c r="D65" t="str">
        <x:v>LinkedIn</x:v>
      </x:c>
      <x:c r="E65" t="str">
        <x:v>Always On</x:v>
      </x:c>
      <x:c r="F65" t="str">
        <x:v>Static Image</x:v>
      </x:c>
      <x:c r="G65" t="str">
        <x:v>Customer Story</x:v>
      </x:c>
      <x:c r="H65" t="n">
        <x:v>1</x:v>
      </x:c>
      <x:c r="I65" t="n">
        <x:v>3133</x:v>
      </x:c>
      <x:c r="J65" t="n">
        <x:v>2366</x:v>
      </x:c>
      <x:c r="K65" t="n">
        <x:v>107</x:v>
      </x:c>
      <x:c r="L65" t="n">
        <x:v>58</x:v>
      </x:c>
      <x:c r="M65" t="n">
        <x:v>3</x:v>
      </x:c>
      <x:c r="N65" t="n">
        <x:v>600.58</x:v>
      </x:c>
      <x:c r="O65" s="37" t="n">
        <x:v>358.94</x:v>
      </x:c>
      <x:c r="P65" s="37" t="n">
        <x:v>12600</x:v>
      </x:c>
      <x:c r="Q65" t="n">
        <x:v>4</x:v>
      </x:c>
      <x:c r="R65" t="n">
        <x:v>1</x:v>
      </x:c>
      <x:c r="S65" t="n">
        <x:v>12603</x:v>
      </x:c>
      <x:c r="T65" t="n">
        <x:v>25.9</x:v>
      </x:c>
    </x:row>
    <x:row r="66">
      <x:c r="A66" t="str">
        <x:v>SM0062</x:v>
      </x:c>
      <x:c r="B66" s="43" t="str">
        <x:v>2026-06-02</x:v>
      </x:c>
      <x:c r="C66" t="str">
        <x:v>2026-06</x:v>
      </x:c>
      <x:c r="D66" t="str">
        <x:v>LinkedIn</x:v>
      </x:c>
      <x:c r="E66" t="str">
        <x:v>Summer Launch</x:v>
      </x:c>
      <x:c r="F66" t="str">
        <x:v>Article</x:v>
      </x:c>
      <x:c r="G66" t="str">
        <x:v>Industry Insight</x:v>
      </x:c>
      <x:c r="H66" t="n">
        <x:v>0</x:v>
      </x:c>
      <x:c r="I66" t="n">
        <x:v>7683</x:v>
      </x:c>
      <x:c r="J66" t="n">
        <x:v>6069</x:v>
      </x:c>
      <x:c r="K66" t="n">
        <x:v>125</x:v>
      </x:c>
      <x:c r="L66" t="n">
        <x:v>214</x:v>
      </x:c>
      <x:c r="M66" t="n">
        <x:v>20</x:v>
      </x:c>
      <x:c r="N66" t="n">
        <x:v>0</x:v>
      </x:c>
      <x:c r="O66" s="37" t="n">
        <x:v>3031.76</x:v>
      </x:c>
      <x:c r="P66" s="37" t="n">
        <x:v>12603</x:v>
      </x:c>
      <x:c r="Q66" t="n">
        <x:v>5</x:v>
      </x:c>
      <x:c r="R66" t="n">
        <x:v>1</x:v>
      </x:c>
      <x:c r="S66" t="n">
        <x:v>12607</x:v>
      </x:c>
      <x:c r="T66" t="n">
        <x:v>11.3</x:v>
      </x:c>
    </x:row>
    <x:row r="67">
      <x:c r="A67" t="str">
        <x:v>SM0063</x:v>
      </x:c>
      <x:c r="B67" s="43" t="str">
        <x:v>2026-06-03</x:v>
      </x:c>
      <x:c r="C67" t="str">
        <x:v>2026-06</x:v>
      </x:c>
      <x:c r="D67" t="str">
        <x:v>LinkedIn</x:v>
      </x:c>
      <x:c r="E67" t="str">
        <x:v>Lead Gen</x:v>
      </x:c>
      <x:c r="F67" t="str">
        <x:v>Live Clip</x:v>
      </x:c>
      <x:c r="G67" t="str">
        <x:v>Education</x:v>
      </x:c>
      <x:c r="H67" t="n">
        <x:v>0</x:v>
      </x:c>
      <x:c r="I67" t="n">
        <x:v>4223</x:v>
      </x:c>
      <x:c r="J67" t="n">
        <x:v>2889</x:v>
      </x:c>
      <x:c r="K67" t="n">
        <x:v>82</x:v>
      </x:c>
      <x:c r="L67" t="n">
        <x:v>136</x:v>
      </x:c>
      <x:c r="M67" t="n">
        <x:v>17</x:v>
      </x:c>
      <x:c r="N67" t="n">
        <x:v>0</x:v>
      </x:c>
      <x:c r="O67" s="37" t="n">
        <x:v>2413.57</x:v>
      </x:c>
      <x:c r="P67" s="37" t="n">
        <x:v>12607</x:v>
      </x:c>
      <x:c r="Q67" t="n">
        <x:v>3</x:v>
      </x:c>
      <x:c r="R67" t="n">
        <x:v>1</x:v>
      </x:c>
      <x:c r="S67" t="n">
        <x:v>12609</x:v>
      </x:c>
      <x:c r="T67" t="n">
        <x:v>7.3</x:v>
      </x:c>
    </x:row>
    <x:row r="68">
      <x:c r="A68" t="str">
        <x:v>SM0064</x:v>
      </x:c>
      <x:c r="B68" s="43" t="str">
        <x:v>2026-06-04</x:v>
      </x:c>
      <x:c r="C68" t="str">
        <x:v>2026-06</x:v>
      </x:c>
      <x:c r="D68" t="str">
        <x:v>LinkedIn</x:v>
      </x:c>
      <x:c r="E68" t="str">
        <x:v>Brand Trust</x:v>
      </x:c>
      <x:c r="F68" t="str">
        <x:v>Short Video</x:v>
      </x:c>
      <x:c r="G68" t="str">
        <x:v>Customer Story</x:v>
      </x:c>
      <x:c r="H68" t="n">
        <x:v>0</x:v>
      </x:c>
      <x:c r="I68" t="n">
        <x:v>9066</x:v>
      </x:c>
      <x:c r="J68" t="n">
        <x:v>7206</x:v>
      </x:c>
      <x:c r="K68" t="n">
        <x:v>222</x:v>
      </x:c>
      <x:c r="L68" t="n">
        <x:v>100</x:v>
      </x:c>
      <x:c r="M68" t="n">
        <x:v>10</x:v>
      </x:c>
      <x:c r="N68" t="n">
        <x:v>0</x:v>
      </x:c>
      <x:c r="O68" s="37" t="n">
        <x:v>848.97</x:v>
      </x:c>
      <x:c r="P68" s="37" t="n">
        <x:v>12609</x:v>
      </x:c>
      <x:c r="Q68" t="n">
        <x:v>11</x:v>
      </x:c>
      <x:c r="R68" t="n">
        <x:v>2</x:v>
      </x:c>
      <x:c r="S68" t="n">
        <x:v>12618</x:v>
      </x:c>
      <x:c r="T68" t="n">
        <x:v>23.7</x:v>
      </x:c>
    </x:row>
    <x:row r="69">
      <x:c r="A69" t="str">
        <x:v>SM0065</x:v>
      </x:c>
      <x:c r="B69" s="43" t="str">
        <x:v>2026-06-05</x:v>
      </x:c>
      <x:c r="C69" t="str">
        <x:v>2026-06</x:v>
      </x:c>
      <x:c r="D69" t="str">
        <x:v>LinkedIn</x:v>
      </x:c>
      <x:c r="E69" t="str">
        <x:v>Always On</x:v>
      </x:c>
      <x:c r="F69" t="str">
        <x:v>Carousel</x:v>
      </x:c>
      <x:c r="G69" t="str">
        <x:v>Industry Insight</x:v>
      </x:c>
      <x:c r="H69" t="n">
        <x:v>1</x:v>
      </x:c>
      <x:c r="I69" t="n">
        <x:v>4694</x:v>
      </x:c>
      <x:c r="J69" t="n">
        <x:v>2960</x:v>
      </x:c>
      <x:c r="K69" t="n">
        <x:v>134</x:v>
      </x:c>
      <x:c r="L69" t="n">
        <x:v>107</x:v>
      </x:c>
      <x:c r="M69" t="n">
        <x:v>14</x:v>
      </x:c>
      <x:c r="N69" t="n">
        <x:v>431.6</x:v>
      </x:c>
      <x:c r="O69" s="37" t="n">
        <x:v>1403.01</x:v>
      </x:c>
      <x:c r="P69" s="37" t="n">
        <x:v>12618</x:v>
      </x:c>
      <x:c r="Q69" t="n">
        <x:v>6</x:v>
      </x:c>
      <x:c r="R69" t="n">
        <x:v>1</x:v>
      </x:c>
      <x:c r="S69" t="n">
        <x:v>12623</x:v>
      </x:c>
      <x:c r="T69" t="n">
        <x:v>36</x:v>
      </x:c>
    </x:row>
    <x:row r="70">
      <x:c r="A70" t="str">
        <x:v>SM0066</x:v>
      </x:c>
      <x:c r="B70" s="43" t="str">
        <x:v>2026-06-06</x:v>
      </x:c>
      <x:c r="C70" t="str">
        <x:v>2026-06</x:v>
      </x:c>
      <x:c r="D70" t="str">
        <x:v>LinkedIn</x:v>
      </x:c>
      <x:c r="E70" t="str">
        <x:v>Summer Launch</x:v>
      </x:c>
      <x:c r="F70" t="str">
        <x:v>Static Image</x:v>
      </x:c>
      <x:c r="G70" t="str">
        <x:v>Education</x:v>
      </x:c>
      <x:c r="H70" t="n">
        <x:v>0</x:v>
      </x:c>
      <x:c r="I70" t="n">
        <x:v>7073</x:v>
      </x:c>
      <x:c r="J70" t="n">
        <x:v>5528</x:v>
      </x:c>
      <x:c r="K70" t="n">
        <x:v>237</x:v>
      </x:c>
      <x:c r="L70" t="n">
        <x:v>185</x:v>
      </x:c>
      <x:c r="M70" t="n">
        <x:v>13</x:v>
      </x:c>
      <x:c r="N70" t="n">
        <x:v>0</x:v>
      </x:c>
      <x:c r="O70" s="37" t="n">
        <x:v>1027.3</x:v>
      </x:c>
      <x:c r="P70" s="37" t="n">
        <x:v>12623</x:v>
      </x:c>
      <x:c r="Q70" t="n">
        <x:v>6</x:v>
      </x:c>
      <x:c r="R70" t="n">
        <x:v>1</x:v>
      </x:c>
      <x:c r="S70" t="n">
        <x:v>12628</x:v>
      </x:c>
      <x:c r="T70" t="n">
        <x:v>18.9</x:v>
      </x:c>
    </x:row>
    <x:row r="71">
      <x:c r="A71" t="str">
        <x:v>SM0067</x:v>
      </x:c>
      <x:c r="B71" s="43" t="str">
        <x:v>2026-06-07</x:v>
      </x:c>
      <x:c r="C71" t="str">
        <x:v>2026-06</x:v>
      </x:c>
      <x:c r="D71" t="str">
        <x:v>LinkedIn</x:v>
      </x:c>
      <x:c r="E71" t="str">
        <x:v>Lead Gen</x:v>
      </x:c>
      <x:c r="F71" t="str">
        <x:v>Article</x:v>
      </x:c>
      <x:c r="G71" t="str">
        <x:v>Customer Story</x:v>
      </x:c>
      <x:c r="H71" t="n">
        <x:v>0</x:v>
      </x:c>
      <x:c r="I71" t="n">
        <x:v>3748</x:v>
      </x:c>
      <x:c r="J71" t="n">
        <x:v>2696</x:v>
      </x:c>
      <x:c r="K71" t="n">
        <x:v>132</x:v>
      </x:c>
      <x:c r="L71" t="n">
        <x:v>85</x:v>
      </x:c>
      <x:c r="M71" t="n">
        <x:v>5</x:v>
      </x:c>
      <x:c r="N71" t="n">
        <x:v>0</x:v>
      </x:c>
      <x:c r="O71" s="37" t="n">
        <x:v>893.54</x:v>
      </x:c>
      <x:c r="P71" s="37" t="n">
        <x:v>12628</x:v>
      </x:c>
      <x:c r="Q71" t="n">
        <x:v>4</x:v>
      </x:c>
      <x:c r="R71" t="n">
        <x:v>1</x:v>
      </x:c>
      <x:c r="S71" t="n">
        <x:v>12631</x:v>
      </x:c>
      <x:c r="T71" t="n">
        <x:v>43.8</x:v>
      </x:c>
    </x:row>
    <x:row r="72">
      <x:c r="A72" t="str">
        <x:v>SM0068</x:v>
      </x:c>
      <x:c r="B72" s="43" t="str">
        <x:v>2026-06-08</x:v>
      </x:c>
      <x:c r="C72" t="str">
        <x:v>2026-06</x:v>
      </x:c>
      <x:c r="D72" t="str">
        <x:v>LinkedIn</x:v>
      </x:c>
      <x:c r="E72" t="str">
        <x:v>Brand Trust</x:v>
      </x:c>
      <x:c r="F72" t="str">
        <x:v>Live Clip</x:v>
      </x:c>
      <x:c r="G72" t="str">
        <x:v>Industry Insight</x:v>
      </x:c>
      <x:c r="H72" t="n">
        <x:v>0</x:v>
      </x:c>
      <x:c r="I72" t="n">
        <x:v>2111</x:v>
      </x:c>
      <x:c r="J72" t="n">
        <x:v>1520</x:v>
      </x:c>
      <x:c r="K72" t="n">
        <x:v>36</x:v>
      </x:c>
      <x:c r="L72" t="n">
        <x:v>49</x:v>
      </x:c>
      <x:c r="M72" t="n">
        <x:v>6</x:v>
      </x:c>
      <x:c r="N72" t="n">
        <x:v>0</x:v>
      </x:c>
      <x:c r="O72" s="37" t="n">
        <x:v>459.92</x:v>
      </x:c>
      <x:c r="P72" s="37" t="n">
        <x:v>12631</x:v>
      </x:c>
      <x:c r="Q72" t="n">
        <x:v>2</x:v>
      </x:c>
      <x:c r="R72" t="n">
        <x:v>1</x:v>
      </x:c>
      <x:c r="S72" t="n">
        <x:v>12632</x:v>
      </x:c>
      <x:c r="T72" t="n">
        <x:v>16</x:v>
      </x:c>
    </x:row>
    <x:row r="73">
      <x:c r="A73" t="str">
        <x:v>SM0069</x:v>
      </x:c>
      <x:c r="B73" s="43" t="str">
        <x:v>2026-06-09</x:v>
      </x:c>
      <x:c r="C73" t="str">
        <x:v>2026-06</x:v>
      </x:c>
      <x:c r="D73" t="str">
        <x:v>LinkedIn</x:v>
      </x:c>
      <x:c r="E73" t="str">
        <x:v>Always On</x:v>
      </x:c>
      <x:c r="F73" t="str">
        <x:v>Short Video</x:v>
      </x:c>
      <x:c r="G73" t="str">
        <x:v>Education</x:v>
      </x:c>
      <x:c r="H73" t="n">
        <x:v>1</x:v>
      </x:c>
      <x:c r="I73" t="n">
        <x:v>7051</x:v>
      </x:c>
      <x:c r="J73" t="n">
        <x:v>5032</x:v>
      </x:c>
      <x:c r="K73" t="n">
        <x:v>109</x:v>
      </x:c>
      <x:c r="L73" t="n">
        <x:v>105</x:v>
      </x:c>
      <x:c r="M73" t="n">
        <x:v>10</x:v>
      </x:c>
      <x:c r="N73" t="n">
        <x:v>847.69</x:v>
      </x:c>
      <x:c r="O73" s="37" t="n">
        <x:v>1638.76</x:v>
      </x:c>
      <x:c r="P73" s="37" t="n">
        <x:v>12632</x:v>
      </x:c>
      <x:c r="Q73" t="n">
        <x:v>5</x:v>
      </x:c>
      <x:c r="R73" t="n">
        <x:v>1</x:v>
      </x:c>
      <x:c r="S73" t="n">
        <x:v>12636</x:v>
      </x:c>
      <x:c r="T73" t="n">
        <x:v>33.2</x:v>
      </x:c>
    </x:row>
    <x:row r="74">
      <x:c r="A74" t="str">
        <x:v>SM0070</x:v>
      </x:c>
      <x:c r="B74" s="43" t="str">
        <x:v>2026-06-10</x:v>
      </x:c>
      <x:c r="C74" t="str">
        <x:v>2026-06</x:v>
      </x:c>
      <x:c r="D74" t="str">
        <x:v>LinkedIn</x:v>
      </x:c>
      <x:c r="E74" t="str">
        <x:v>Summer Launch</x:v>
      </x:c>
      <x:c r="F74" t="str">
        <x:v>Carousel</x:v>
      </x:c>
      <x:c r="G74" t="str">
        <x:v>Customer Story</x:v>
      </x:c>
      <x:c r="H74" t="n">
        <x:v>0</x:v>
      </x:c>
      <x:c r="I74" t="n">
        <x:v>7533</x:v>
      </x:c>
      <x:c r="J74" t="n">
        <x:v>4824</x:v>
      </x:c>
      <x:c r="K74" t="n">
        <x:v>110</x:v>
      </x:c>
      <x:c r="L74" t="n">
        <x:v>216</x:v>
      </x:c>
      <x:c r="M74" t="n">
        <x:v>24</x:v>
      </x:c>
      <x:c r="N74" t="n">
        <x:v>0</x:v>
      </x:c>
      <x:c r="O74" s="37" t="n">
        <x:v>4062.86</x:v>
      </x:c>
      <x:c r="P74" s="37" t="n">
        <x:v>12636</x:v>
      </x:c>
      <x:c r="Q74" t="n">
        <x:v>4</x:v>
      </x:c>
      <x:c r="R74" t="n">
        <x:v>1</x:v>
      </x:c>
      <x:c r="S74" t="n">
        <x:v>12639</x:v>
      </x:c>
      <x:c r="T74" t="n">
        <x:v>38.7</x:v>
      </x:c>
    </x:row>
    <x:row r="75">
      <x:c r="A75" t="str">
        <x:v>SM0071</x:v>
      </x:c>
      <x:c r="B75" s="43" t="str">
        <x:v>2026-06-11</x:v>
      </x:c>
      <x:c r="C75" t="str">
        <x:v>2026-06</x:v>
      </x:c>
      <x:c r="D75" t="str">
        <x:v>LinkedIn</x:v>
      </x:c>
      <x:c r="E75" t="str">
        <x:v>Lead Gen</x:v>
      </x:c>
      <x:c r="F75" t="str">
        <x:v>Static Image</x:v>
      </x:c>
      <x:c r="G75" t="str">
        <x:v>Industry Insight</x:v>
      </x:c>
      <x:c r="H75" t="n">
        <x:v>0</x:v>
      </x:c>
      <x:c r="I75" t="n">
        <x:v>7064</x:v>
      </x:c>
      <x:c r="J75" t="n">
        <x:v>5485</x:v>
      </x:c>
      <x:c r="K75" t="n">
        <x:v>122</x:v>
      </x:c>
      <x:c r="L75" t="n">
        <x:v>156</x:v>
      </x:c>
      <x:c r="M75" t="n">
        <x:v>10</x:v>
      </x:c>
      <x:c r="N75" t="n">
        <x:v>0</x:v>
      </x:c>
      <x:c r="O75" s="37" t="n">
        <x:v>1607.71</x:v>
      </x:c>
      <x:c r="P75" s="37" t="n">
        <x:v>12639</x:v>
      </x:c>
      <x:c r="Q75" t="n">
        <x:v>5</x:v>
      </x:c>
      <x:c r="R75" t="n">
        <x:v>1</x:v>
      </x:c>
      <x:c r="S75" t="n">
        <x:v>12643</x:v>
      </x:c>
      <x:c r="T75" t="n">
        <x:v>42.9</x:v>
      </x:c>
    </x:row>
    <x:row r="76">
      <x:c r="A76" t="str">
        <x:v>SM0072</x:v>
      </x:c>
      <x:c r="B76" s="43" t="str">
        <x:v>2026-06-12</x:v>
      </x:c>
      <x:c r="C76" t="str">
        <x:v>2026-06</x:v>
      </x:c>
      <x:c r="D76" t="str">
        <x:v>LinkedIn</x:v>
      </x:c>
      <x:c r="E76" t="str">
        <x:v>Brand Trust</x:v>
      </x:c>
      <x:c r="F76" t="str">
        <x:v>Article</x:v>
      </x:c>
      <x:c r="G76" t="str">
        <x:v>Education</x:v>
      </x:c>
      <x:c r="H76" t="n">
        <x:v>0</x:v>
      </x:c>
      <x:c r="I76" t="n">
        <x:v>2598</x:v>
      </x:c>
      <x:c r="J76" t="n">
        <x:v>2020</x:v>
      </x:c>
      <x:c r="K76" t="n">
        <x:v>90</x:v>
      </x:c>
      <x:c r="L76" t="n">
        <x:v>75</x:v>
      </x:c>
      <x:c r="M76" t="n">
        <x:v>10</x:v>
      </x:c>
      <x:c r="N76" t="n">
        <x:v>0</x:v>
      </x:c>
      <x:c r="O76" s="37" t="n">
        <x:v>1277.36</x:v>
      </x:c>
      <x:c r="P76" s="37" t="n">
        <x:v>12643</x:v>
      </x:c>
      <x:c r="Q76" t="n">
        <x:v>4</x:v>
      </x:c>
      <x:c r="R76" t="n">
        <x:v>1</x:v>
      </x:c>
      <x:c r="S76" t="n">
        <x:v>12646</x:v>
      </x:c>
      <x:c r="T76" t="n">
        <x:v>18.5</x:v>
      </x:c>
    </x:row>
    <x:row r="77">
      <x:c r="A77" t="str">
        <x:v>SM0073</x:v>
      </x:c>
      <x:c r="B77" s="43" t="str">
        <x:v>2026-06-13</x:v>
      </x:c>
      <x:c r="C77" t="str">
        <x:v>2026-06</x:v>
      </x:c>
      <x:c r="D77" t="str">
        <x:v>LinkedIn</x:v>
      </x:c>
      <x:c r="E77" t="str">
        <x:v>Always On</x:v>
      </x:c>
      <x:c r="F77" t="str">
        <x:v>Live Clip</x:v>
      </x:c>
      <x:c r="G77" t="str">
        <x:v>Customer Story</x:v>
      </x:c>
      <x:c r="H77" t="n">
        <x:v>1</x:v>
      </x:c>
      <x:c r="I77" t="n">
        <x:v>8031</x:v>
      </x:c>
      <x:c r="J77" t="n">
        <x:v>5998</x:v>
      </x:c>
      <x:c r="K77" t="n">
        <x:v>265</x:v>
      </x:c>
      <x:c r="L77" t="n">
        <x:v>137</x:v>
      </x:c>
      <x:c r="M77" t="n">
        <x:v>6</x:v>
      </x:c>
      <x:c r="N77" t="n">
        <x:v>1049.82</x:v>
      </x:c>
      <x:c r="O77" s="37" t="n">
        <x:v>640.88</x:v>
      </x:c>
      <x:c r="P77" s="37" t="n">
        <x:v>12646</x:v>
      </x:c>
      <x:c r="Q77" t="n">
        <x:v>6</x:v>
      </x:c>
      <x:c r="R77" t="n">
        <x:v>1</x:v>
      </x:c>
      <x:c r="S77" t="n">
        <x:v>12651</x:v>
      </x:c>
      <x:c r="T77" t="n">
        <x:v>19.3</x:v>
      </x:c>
    </x:row>
    <x:row r="78">
      <x:c r="A78" t="str">
        <x:v>SM0074</x:v>
      </x:c>
      <x:c r="B78" s="43" t="str">
        <x:v>2026-06-14</x:v>
      </x:c>
      <x:c r="C78" t="str">
        <x:v>2026-06</x:v>
      </x:c>
      <x:c r="D78" t="str">
        <x:v>LinkedIn</x:v>
      </x:c>
      <x:c r="E78" t="str">
        <x:v>Summer Launch</x:v>
      </x:c>
      <x:c r="F78" t="str">
        <x:v>Short Video</x:v>
      </x:c>
      <x:c r="G78" t="str">
        <x:v>Industry Insight</x:v>
      </x:c>
      <x:c r="H78" t="n">
        <x:v>0</x:v>
      </x:c>
      <x:c r="I78" t="n">
        <x:v>10389</x:v>
      </x:c>
      <x:c r="J78" t="n">
        <x:v>7647</x:v>
      </x:c>
      <x:c r="K78" t="n">
        <x:v>208</x:v>
      </x:c>
      <x:c r="L78" t="n">
        <x:v>272</x:v>
      </x:c>
      <x:c r="M78" t="n">
        <x:v>36</x:v>
      </x:c>
      <x:c r="N78" t="n">
        <x:v>0</x:v>
      </x:c>
      <x:c r="O78" s="37" t="n">
        <x:v>4907.59</x:v>
      </x:c>
      <x:c r="P78" s="37" t="n">
        <x:v>12651</x:v>
      </x:c>
      <x:c r="Q78" t="n">
        <x:v>8</x:v>
      </x:c>
      <x:c r="R78" t="n">
        <x:v>2</x:v>
      </x:c>
      <x:c r="S78" t="n">
        <x:v>12657</x:v>
      </x:c>
      <x:c r="T78" t="n">
        <x:v>7.1</x:v>
      </x:c>
    </x:row>
    <x:row r="79">
      <x:c r="A79" t="str">
        <x:v>SM0075</x:v>
      </x:c>
      <x:c r="B79" s="43" t="str">
        <x:v>2026-06-15</x:v>
      </x:c>
      <x:c r="C79" t="str">
        <x:v>2026-06</x:v>
      </x:c>
      <x:c r="D79" t="str">
        <x:v>LinkedIn</x:v>
      </x:c>
      <x:c r="E79" t="str">
        <x:v>Lead Gen</x:v>
      </x:c>
      <x:c r="F79" t="str">
        <x:v>Carousel</x:v>
      </x:c>
      <x:c r="G79" t="str">
        <x:v>Education</x:v>
      </x:c>
      <x:c r="H79" t="n">
        <x:v>0</x:v>
      </x:c>
      <x:c r="I79" t="n">
        <x:v>8078</x:v>
      </x:c>
      <x:c r="J79" t="n">
        <x:v>6393</x:v>
      </x:c>
      <x:c r="K79" t="n">
        <x:v>222</x:v>
      </x:c>
      <x:c r="L79" t="n">
        <x:v>186</x:v>
      </x:c>
      <x:c r="M79" t="n">
        <x:v>10</x:v>
      </x:c>
      <x:c r="N79" t="n">
        <x:v>0</x:v>
      </x:c>
      <x:c r="O79" s="37" t="n">
        <x:v>1508.67</x:v>
      </x:c>
      <x:c r="P79" s="37" t="n">
        <x:v>12657</x:v>
      </x:c>
      <x:c r="Q79" t="n">
        <x:v>5</x:v>
      </x:c>
      <x:c r="R79" t="n">
        <x:v>1</x:v>
      </x:c>
      <x:c r="S79" t="n">
        <x:v>12661</x:v>
      </x:c>
      <x:c r="T79" t="n">
        <x:v>31.6</x:v>
      </x:c>
    </x:row>
    <x:row r="80">
      <x:c r="A80" t="str">
        <x:v>SM0076</x:v>
      </x:c>
      <x:c r="B80" s="43" t="str">
        <x:v>2026-06-16</x:v>
      </x:c>
      <x:c r="C80" t="str">
        <x:v>2026-06</x:v>
      </x:c>
      <x:c r="D80" t="str">
        <x:v>LinkedIn</x:v>
      </x:c>
      <x:c r="E80" t="str">
        <x:v>Brand Trust</x:v>
      </x:c>
      <x:c r="F80" t="str">
        <x:v>Static Image</x:v>
      </x:c>
      <x:c r="G80" t="str">
        <x:v>Customer Story</x:v>
      </x:c>
      <x:c r="H80" t="n">
        <x:v>0</x:v>
      </x:c>
      <x:c r="I80" t="n">
        <x:v>4993</x:v>
      </x:c>
      <x:c r="J80" t="n">
        <x:v>3616</x:v>
      </x:c>
      <x:c r="K80" t="n">
        <x:v>107</x:v>
      </x:c>
      <x:c r="L80" t="n">
        <x:v>133</x:v>
      </x:c>
      <x:c r="M80" t="n">
        <x:v>7</x:v>
      </x:c>
      <x:c r="N80" t="n">
        <x:v>0</x:v>
      </x:c>
      <x:c r="O80" s="37" t="n">
        <x:v>837.51</x:v>
      </x:c>
      <x:c r="P80" s="37" t="n">
        <x:v>12661</x:v>
      </x:c>
      <x:c r="Q80" t="n">
        <x:v>7</x:v>
      </x:c>
      <x:c r="R80" t="n">
        <x:v>1</x:v>
      </x:c>
      <x:c r="S80" t="n">
        <x:v>12667</x:v>
      </x:c>
      <x:c r="T80" t="n">
        <x:v>44.1</x:v>
      </x:c>
    </x:row>
    <x:row r="81">
      <x:c r="A81" t="str">
        <x:v>SM0077</x:v>
      </x:c>
      <x:c r="B81" s="43" t="str">
        <x:v>2026-06-17</x:v>
      </x:c>
      <x:c r="C81" t="str">
        <x:v>2026-06</x:v>
      </x:c>
      <x:c r="D81" t="str">
        <x:v>LinkedIn</x:v>
      </x:c>
      <x:c r="E81" t="str">
        <x:v>Always On</x:v>
      </x:c>
      <x:c r="F81" t="str">
        <x:v>Article</x:v>
      </x:c>
      <x:c r="G81" t="str">
        <x:v>Industry Insight</x:v>
      </x:c>
      <x:c r="H81" t="n">
        <x:v>1</x:v>
      </x:c>
      <x:c r="I81" t="n">
        <x:v>4872</x:v>
      </x:c>
      <x:c r="J81" t="n">
        <x:v>3431</x:v>
      </x:c>
      <x:c r="K81" t="n">
        <x:v>82</x:v>
      </x:c>
      <x:c r="L81" t="n">
        <x:v>41</x:v>
      </x:c>
      <x:c r="M81" t="n">
        <x:v>4</x:v>
      </x:c>
      <x:c r="N81" t="n">
        <x:v>341.15</x:v>
      </x:c>
      <x:c r="O81" s="37" t="n">
        <x:v>353.68</x:v>
      </x:c>
      <x:c r="P81" s="37" t="n">
        <x:v>12667</x:v>
      </x:c>
      <x:c r="Q81" t="n">
        <x:v>5</x:v>
      </x:c>
      <x:c r="R81" t="n">
        <x:v>2</x:v>
      </x:c>
      <x:c r="S81" t="n">
        <x:v>12670</x:v>
      </x:c>
      <x:c r="T81" t="n">
        <x:v>9.9</x:v>
      </x:c>
    </x:row>
    <x:row r="82">
      <x:c r="A82" t="str">
        <x:v>SM0078</x:v>
      </x:c>
      <x:c r="B82" s="43" t="str">
        <x:v>2026-06-18</x:v>
      </x:c>
      <x:c r="C82" t="str">
        <x:v>2026-06</x:v>
      </x:c>
      <x:c r="D82" t="str">
        <x:v>LinkedIn</x:v>
      </x:c>
      <x:c r="E82" t="str">
        <x:v>Summer Launch</x:v>
      </x:c>
      <x:c r="F82" t="str">
        <x:v>Live Clip</x:v>
      </x:c>
      <x:c r="G82" t="str">
        <x:v>Education</x:v>
      </x:c>
      <x:c r="H82" t="n">
        <x:v>0</x:v>
      </x:c>
      <x:c r="I82" t="n">
        <x:v>7056</x:v>
      </x:c>
      <x:c r="J82" t="n">
        <x:v>4508</x:v>
      </x:c>
      <x:c r="K82" t="n">
        <x:v>216</x:v>
      </x:c>
      <x:c r="L82" t="n">
        <x:v>187</x:v>
      </x:c>
      <x:c r="M82" t="n">
        <x:v>20</x:v>
      </x:c>
      <x:c r="N82" t="n">
        <x:v>0</x:v>
      </x:c>
      <x:c r="O82" s="37" t="n">
        <x:v>1675.12</x:v>
      </x:c>
      <x:c r="P82" s="37" t="n">
        <x:v>12670</x:v>
      </x:c>
      <x:c r="Q82" t="n">
        <x:v>7</x:v>
      </x:c>
      <x:c r="R82" t="n">
        <x:v>2</x:v>
      </x:c>
      <x:c r="S82" t="n">
        <x:v>12675</x:v>
      </x:c>
      <x:c r="T82" t="n">
        <x:v>30.6</x:v>
      </x:c>
    </x:row>
    <x:row r="83">
      <x:c r="A83" t="str">
        <x:v>SM0079</x:v>
      </x:c>
      <x:c r="B83" s="43" t="str">
        <x:v>2026-06-19</x:v>
      </x:c>
      <x:c r="C83" t="str">
        <x:v>2026-06</x:v>
      </x:c>
      <x:c r="D83" t="str">
        <x:v>LinkedIn</x:v>
      </x:c>
      <x:c r="E83" t="str">
        <x:v>Lead Gen</x:v>
      </x:c>
      <x:c r="F83" t="str">
        <x:v>Short Video</x:v>
      </x:c>
      <x:c r="G83" t="str">
        <x:v>Customer Story</x:v>
      </x:c>
      <x:c r="H83" t="n">
        <x:v>0</x:v>
      </x:c>
      <x:c r="I83" t="n">
        <x:v>4749</x:v>
      </x:c>
      <x:c r="J83" t="n">
        <x:v>3202</x:v>
      </x:c>
      <x:c r="K83" t="n">
        <x:v>65</x:v>
      </x:c>
      <x:c r="L83" t="n">
        <x:v>151</x:v>
      </x:c>
      <x:c r="M83" t="n">
        <x:v>11</x:v>
      </x:c>
      <x:c r="N83" t="n">
        <x:v>0</x:v>
      </x:c>
      <x:c r="O83" s="37" t="n">
        <x:v>1737.92</x:v>
      </x:c>
      <x:c r="P83" s="37" t="n">
        <x:v>12675</x:v>
      </x:c>
      <x:c r="Q83" t="n">
        <x:v>5</x:v>
      </x:c>
      <x:c r="R83" t="n">
        <x:v>1</x:v>
      </x:c>
      <x:c r="S83" t="n">
        <x:v>12679</x:v>
      </x:c>
      <x:c r="T83" t="n">
        <x:v>16</x:v>
      </x:c>
    </x:row>
    <x:row r="84">
      <x:c r="A84" t="str">
        <x:v>SM0080</x:v>
      </x:c>
      <x:c r="B84" s="43" t="str">
        <x:v>2026-06-20</x:v>
      </x:c>
      <x:c r="C84" t="str">
        <x:v>2026-06</x:v>
      </x:c>
      <x:c r="D84" t="str">
        <x:v>LinkedIn</x:v>
      </x:c>
      <x:c r="E84" t="str">
        <x:v>Brand Trust</x:v>
      </x:c>
      <x:c r="F84" t="str">
        <x:v>Carousel</x:v>
      </x:c>
      <x:c r="G84" t="str">
        <x:v>Industry Insight</x:v>
      </x:c>
      <x:c r="H84" t="n">
        <x:v>0</x:v>
      </x:c>
      <x:c r="I84" t="n">
        <x:v>2068</x:v>
      </x:c>
      <x:c r="J84" t="n">
        <x:v>1584</x:v>
      </x:c>
      <x:c r="K84" t="n">
        <x:v>73</x:v>
      </x:c>
      <x:c r="L84" t="n">
        <x:v>48</x:v>
      </x:c>
      <x:c r="M84" t="n">
        <x:v>5</x:v>
      </x:c>
      <x:c r="N84" t="n">
        <x:v>0</x:v>
      </x:c>
      <x:c r="O84" s="37" t="n">
        <x:v>424.04</x:v>
      </x:c>
      <x:c r="P84" s="37" t="n">
        <x:v>12679</x:v>
      </x:c>
      <x:c r="Q84" t="n">
        <x:v>2</x:v>
      </x:c>
      <x:c r="R84" t="n">
        <x:v>1</x:v>
      </x:c>
      <x:c r="S84" t="n">
        <x:v>12680</x:v>
      </x:c>
      <x:c r="T84" t="n">
        <x:v>9.8</x:v>
      </x:c>
    </x:row>
    <x:row r="85">
      <x:c r="A85" t="str">
        <x:v>SM0081</x:v>
      </x:c>
      <x:c r="B85" s="43" t="str">
        <x:v>2026-06-21</x:v>
      </x:c>
      <x:c r="C85" t="str">
        <x:v>2026-06</x:v>
      </x:c>
      <x:c r="D85" t="str">
        <x:v>LinkedIn</x:v>
      </x:c>
      <x:c r="E85" t="str">
        <x:v>Always On</x:v>
      </x:c>
      <x:c r="F85" t="str">
        <x:v>Static Image</x:v>
      </x:c>
      <x:c r="G85" t="str">
        <x:v>Education</x:v>
      </x:c>
      <x:c r="H85" t="n">
        <x:v>1</x:v>
      </x:c>
      <x:c r="I85" t="n">
        <x:v>6380</x:v>
      </x:c>
      <x:c r="J85" t="n">
        <x:v>4591</x:v>
      </x:c>
      <x:c r="K85" t="n">
        <x:v>125</x:v>
      </x:c>
      <x:c r="L85" t="n">
        <x:v>61</x:v>
      </x:c>
      <x:c r="M85" t="n">
        <x:v>8</x:v>
      </x:c>
      <x:c r="N85" t="n">
        <x:v>621.76</x:v>
      </x:c>
      <x:c r="O85" s="37" t="n">
        <x:v>1047.94</x:v>
      </x:c>
      <x:c r="P85" s="37" t="n">
        <x:v>12680</x:v>
      </x:c>
      <x:c r="Q85" t="n">
        <x:v>11</x:v>
      </x:c>
      <x:c r="R85" t="n">
        <x:v>3</x:v>
      </x:c>
      <x:c r="S85" t="n">
        <x:v>12688</x:v>
      </x:c>
      <x:c r="T85" t="n">
        <x:v>6.4</x:v>
      </x:c>
    </x:row>
    <x:row r="86">
      <x:c r="A86" t="str">
        <x:v>SM0082</x:v>
      </x:c>
      <x:c r="B86" s="43" t="str">
        <x:v>2026-06-22</x:v>
      </x:c>
      <x:c r="C86" t="str">
        <x:v>2026-06</x:v>
      </x:c>
      <x:c r="D86" t="str">
        <x:v>LinkedIn</x:v>
      </x:c>
      <x:c r="E86" t="str">
        <x:v>Summer Launch</x:v>
      </x:c>
      <x:c r="F86" t="str">
        <x:v>Article</x:v>
      </x:c>
      <x:c r="G86" t="str">
        <x:v>Customer Story</x:v>
      </x:c>
      <x:c r="H86" t="n">
        <x:v>0</x:v>
      </x:c>
      <x:c r="I86" t="n">
        <x:v>3984</x:v>
      </x:c>
      <x:c r="J86" t="n">
        <x:v>2571</x:v>
      </x:c>
      <x:c r="K86" t="n">
        <x:v>92</x:v>
      </x:c>
      <x:c r="L86" t="n">
        <x:v>66</x:v>
      </x:c>
      <x:c r="M86" t="n">
        <x:v>8</x:v>
      </x:c>
      <x:c r="N86" t="n">
        <x:v>0</x:v>
      </x:c>
      <x:c r="O86" s="37" t="n">
        <x:v>753.02</x:v>
      </x:c>
      <x:c r="P86" s="37" t="n">
        <x:v>12688</x:v>
      </x:c>
      <x:c r="Q86" t="n">
        <x:v>2</x:v>
      </x:c>
      <x:c r="R86" t="n">
        <x:v>1</x:v>
      </x:c>
      <x:c r="S86" t="n">
        <x:v>12689</x:v>
      </x:c>
      <x:c r="T86" t="n">
        <x:v>8.8</x:v>
      </x:c>
    </x:row>
    <x:row r="87">
      <x:c r="A87" t="str">
        <x:v>SM0083</x:v>
      </x:c>
      <x:c r="B87" s="43" t="str">
        <x:v>2026-06-23</x:v>
      </x:c>
      <x:c r="C87" t="str">
        <x:v>2026-06</x:v>
      </x:c>
      <x:c r="D87" t="str">
        <x:v>LinkedIn</x:v>
      </x:c>
      <x:c r="E87" t="str">
        <x:v>Lead Gen</x:v>
      </x:c>
      <x:c r="F87" t="str">
        <x:v>Live Clip</x:v>
      </x:c>
      <x:c r="G87" t="str">
        <x:v>Industry Insight</x:v>
      </x:c>
      <x:c r="H87" t="n">
        <x:v>0</x:v>
      </x:c>
      <x:c r="I87" t="n">
        <x:v>3154</x:v>
      </x:c>
      <x:c r="J87" t="n">
        <x:v>2469</x:v>
      </x:c>
      <x:c r="K87" t="n">
        <x:v>95</x:v>
      </x:c>
      <x:c r="L87" t="n">
        <x:v>37</x:v>
      </x:c>
      <x:c r="M87" t="n">
        <x:v>5</x:v>
      </x:c>
      <x:c r="N87" t="n">
        <x:v>0</x:v>
      </x:c>
      <x:c r="O87" s="37" t="n">
        <x:v>395.04</x:v>
      </x:c>
      <x:c r="P87" s="37" t="n">
        <x:v>12689</x:v>
      </x:c>
      <x:c r="Q87" t="n">
        <x:v>6</x:v>
      </x:c>
      <x:c r="R87" t="n">
        <x:v>2</x:v>
      </x:c>
      <x:c r="S87" t="n">
        <x:v>12693</x:v>
      </x:c>
      <x:c r="T87" t="n">
        <x:v>17.7</x:v>
      </x:c>
    </x:row>
    <x:row r="88">
      <x:c r="A88" t="str">
        <x:v>SM0084</x:v>
      </x:c>
      <x:c r="B88" s="43" t="str">
        <x:v>2026-06-24</x:v>
      </x:c>
      <x:c r="C88" t="str">
        <x:v>2026-06</x:v>
      </x:c>
      <x:c r="D88" t="str">
        <x:v>LinkedIn</x:v>
      </x:c>
      <x:c r="E88" t="str">
        <x:v>Brand Trust</x:v>
      </x:c>
      <x:c r="F88" t="str">
        <x:v>Short Video</x:v>
      </x:c>
      <x:c r="G88" t="str">
        <x:v>Education</x:v>
      </x:c>
      <x:c r="H88" t="n">
        <x:v>0</x:v>
      </x:c>
      <x:c r="I88" t="n">
        <x:v>10441</x:v>
      </x:c>
      <x:c r="J88" t="n">
        <x:v>8336</x:v>
      </x:c>
      <x:c r="K88" t="n">
        <x:v>314</x:v>
      </x:c>
      <x:c r="L88" t="n">
        <x:v>261</x:v>
      </x:c>
      <x:c r="M88" t="n">
        <x:v>24</x:v>
      </x:c>
      <x:c r="N88" t="n">
        <x:v>0</x:v>
      </x:c>
      <x:c r="O88" s="37" t="n">
        <x:v>4241.85</x:v>
      </x:c>
      <x:c r="P88" s="37" t="n">
        <x:v>12693</x:v>
      </x:c>
      <x:c r="Q88" t="n">
        <x:v>20</x:v>
      </x:c>
      <x:c r="R88" t="n">
        <x:v>7</x:v>
      </x:c>
      <x:c r="S88" t="n">
        <x:v>12706</x:v>
      </x:c>
      <x:c r="T88" t="n">
        <x:v>9.7</x:v>
      </x:c>
    </x:row>
    <x:row r="89">
      <x:c r="A89" t="str">
        <x:v>SM0085</x:v>
      </x:c>
      <x:c r="B89" s="43" t="str">
        <x:v>2026-06-25</x:v>
      </x:c>
      <x:c r="C89" t="str">
        <x:v>2026-06</x:v>
      </x:c>
      <x:c r="D89" t="str">
        <x:v>LinkedIn</x:v>
      </x:c>
      <x:c r="E89" t="str">
        <x:v>Always On</x:v>
      </x:c>
      <x:c r="F89" t="str">
        <x:v>Carousel</x:v>
      </x:c>
      <x:c r="G89" t="str">
        <x:v>Customer Story</x:v>
      </x:c>
      <x:c r="H89" t="n">
        <x:v>1</x:v>
      </x:c>
      <x:c r="I89" t="n">
        <x:v>6548</x:v>
      </x:c>
      <x:c r="J89" t="n">
        <x:v>5202</x:v>
      </x:c>
      <x:c r="K89" t="n">
        <x:v>221</x:v>
      </x:c>
      <x:c r="L89" t="n">
        <x:v>77</x:v>
      </x:c>
      <x:c r="M89" t="n">
        <x:v>5</x:v>
      </x:c>
      <x:c r="N89" t="n">
        <x:v>480.75</x:v>
      </x:c>
      <x:c r="O89" s="37" t="n">
        <x:v>689.53</x:v>
      </x:c>
      <x:c r="P89" s="37" t="n">
        <x:v>12706</x:v>
      </x:c>
      <x:c r="Q89" t="n">
        <x:v>8</x:v>
      </x:c>
      <x:c r="R89" t="n">
        <x:v>1</x:v>
      </x:c>
      <x:c r="S89" t="n">
        <x:v>12713</x:v>
      </x:c>
      <x:c r="T89" t="n">
        <x:v>10</x:v>
      </x:c>
    </x:row>
    <x:row r="90">
      <x:c r="A90" t="str">
        <x:v>SM0086</x:v>
      </x:c>
      <x:c r="B90" s="43" t="str">
        <x:v>2026-06-26</x:v>
      </x:c>
      <x:c r="C90" t="str">
        <x:v>2026-06</x:v>
      </x:c>
      <x:c r="D90" t="str">
        <x:v>LinkedIn</x:v>
      </x:c>
      <x:c r="E90" t="str">
        <x:v>Summer Launch</x:v>
      </x:c>
      <x:c r="F90" t="str">
        <x:v>Static Image</x:v>
      </x:c>
      <x:c r="G90" t="str">
        <x:v>Industry Insight</x:v>
      </x:c>
      <x:c r="H90" t="n">
        <x:v>0</x:v>
      </x:c>
      <x:c r="I90" t="n">
        <x:v>4827</x:v>
      </x:c>
      <x:c r="J90" t="n">
        <x:v>3274</x:v>
      </x:c>
      <x:c r="K90" t="n">
        <x:v>95</x:v>
      </x:c>
      <x:c r="L90" t="n">
        <x:v>91</x:v>
      </x:c>
      <x:c r="M90" t="n">
        <x:v>11</x:v>
      </x:c>
      <x:c r="N90" t="n">
        <x:v>0</x:v>
      </x:c>
      <x:c r="O90" s="37" t="n">
        <x:v>853.92</x:v>
      </x:c>
      <x:c r="P90" s="37" t="n">
        <x:v>12713</x:v>
      </x:c>
      <x:c r="Q90" t="n">
        <x:v>2</x:v>
      </x:c>
      <x:c r="R90" t="n">
        <x:v>0</x:v>
      </x:c>
      <x:c r="S90" t="n">
        <x:v>12715</x:v>
      </x:c>
      <x:c r="T90" t="n">
        <x:v>8.8</x:v>
      </x:c>
    </x:row>
    <x:row r="91">
      <x:c r="A91" t="str">
        <x:v>SM0087</x:v>
      </x:c>
      <x:c r="B91" s="43" t="str">
        <x:v>2026-06-27</x:v>
      </x:c>
      <x:c r="C91" t="str">
        <x:v>2026-06</x:v>
      </x:c>
      <x:c r="D91" t="str">
        <x:v>LinkedIn</x:v>
      </x:c>
      <x:c r="E91" t="str">
        <x:v>Lead Gen</x:v>
      </x:c>
      <x:c r="F91" t="str">
        <x:v>Article</x:v>
      </x:c>
      <x:c r="G91" t="str">
        <x:v>Education</x:v>
      </x:c>
      <x:c r="H91" t="n">
        <x:v>0</x:v>
      </x:c>
      <x:c r="I91" t="n">
        <x:v>6166</x:v>
      </x:c>
      <x:c r="J91" t="n">
        <x:v>4954</x:v>
      </x:c>
      <x:c r="K91" t="n">
        <x:v>129</x:v>
      </x:c>
      <x:c r="L91" t="n">
        <x:v>94</x:v>
      </x:c>
      <x:c r="M91" t="n">
        <x:v>13</x:v>
      </x:c>
      <x:c r="N91" t="n">
        <x:v>0</x:v>
      </x:c>
      <x:c r="O91" s="37" t="n">
        <x:v>2113.74</x:v>
      </x:c>
      <x:c r="P91" s="37" t="n">
        <x:v>12715</x:v>
      </x:c>
      <x:c r="Q91" t="n">
        <x:v>12</x:v>
      </x:c>
      <x:c r="R91" t="n">
        <x:v>3</x:v>
      </x:c>
      <x:c r="S91" t="n">
        <x:v>12724</x:v>
      </x:c>
      <x:c r="T91" t="n">
        <x:v>32.4</x:v>
      </x:c>
    </x:row>
    <x:row r="92">
      <x:c r="A92" t="str">
        <x:v>SM0088</x:v>
      </x:c>
      <x:c r="B92" s="43" t="str">
        <x:v>2026-06-28</x:v>
      </x:c>
      <x:c r="C92" t="str">
        <x:v>2026-06</x:v>
      </x:c>
      <x:c r="D92" t="str">
        <x:v>LinkedIn</x:v>
      </x:c>
      <x:c r="E92" t="str">
        <x:v>Brand Trust</x:v>
      </x:c>
      <x:c r="F92" t="str">
        <x:v>Live Clip</x:v>
      </x:c>
      <x:c r="G92" t="str">
        <x:v>Customer Story</x:v>
      </x:c>
      <x:c r="H92" t="n">
        <x:v>0</x:v>
      </x:c>
      <x:c r="I92" t="n">
        <x:v>6376</x:v>
      </x:c>
      <x:c r="J92" t="n">
        <x:v>4184</x:v>
      </x:c>
      <x:c r="K92" t="n">
        <x:v>190</x:v>
      </x:c>
      <x:c r="L92" t="n">
        <x:v>134</x:v>
      </x:c>
      <x:c r="M92" t="n">
        <x:v>13</x:v>
      </x:c>
      <x:c r="N92" t="n">
        <x:v>0</x:v>
      </x:c>
      <x:c r="O92" s="37" t="n">
        <x:v>1664.57</x:v>
      </x:c>
      <x:c r="P92" s="37" t="n">
        <x:v>12724</x:v>
      </x:c>
      <x:c r="Q92" t="n">
        <x:v>4</x:v>
      </x:c>
      <x:c r="R92" t="n">
        <x:v>1</x:v>
      </x:c>
      <x:c r="S92" t="n">
        <x:v>12727</x:v>
      </x:c>
      <x:c r="T92" t="n">
        <x:v>44</x:v>
      </x:c>
    </x:row>
    <x:row r="93">
      <x:c r="A93" t="str">
        <x:v>SM0089</x:v>
      </x:c>
      <x:c r="B93" s="43" t="str">
        <x:v>2026-06-29</x:v>
      </x:c>
      <x:c r="C93" t="str">
        <x:v>2026-06</x:v>
      </x:c>
      <x:c r="D93" t="str">
        <x:v>LinkedIn</x:v>
      </x:c>
      <x:c r="E93" t="str">
        <x:v>Always On</x:v>
      </x:c>
      <x:c r="F93" t="str">
        <x:v>Short Video</x:v>
      </x:c>
      <x:c r="G93" t="str">
        <x:v>Industry Insight</x:v>
      </x:c>
      <x:c r="H93" t="n">
        <x:v>1</x:v>
      </x:c>
      <x:c r="I93" t="n">
        <x:v>5775</x:v>
      </x:c>
      <x:c r="J93" t="n">
        <x:v>4050</x:v>
      </x:c>
      <x:c r="K93" t="n">
        <x:v>207</x:v>
      </x:c>
      <x:c r="L93" t="n">
        <x:v>190</x:v>
      </x:c>
      <x:c r="M93" t="n">
        <x:v>23</x:v>
      </x:c>
      <x:c r="N93" t="n">
        <x:v>596.14</x:v>
      </x:c>
      <x:c r="O93" s="37" t="n">
        <x:v>3192.18</x:v>
      </x:c>
      <x:c r="P93" s="37" t="n">
        <x:v>12727</x:v>
      </x:c>
      <x:c r="Q93" t="n">
        <x:v>7</x:v>
      </x:c>
      <x:c r="R93" t="n">
        <x:v>2</x:v>
      </x:c>
      <x:c r="S93" t="n">
        <x:v>12732</x:v>
      </x:c>
      <x:c r="T93" t="n">
        <x:v>19.4</x:v>
      </x:c>
    </x:row>
    <x:row r="94">
      <x:c r="A94" t="str">
        <x:v>SM0090</x:v>
      </x:c>
      <x:c r="B94" s="43" t="str">
        <x:v>2026-06-30</x:v>
      </x:c>
      <x:c r="C94" t="str">
        <x:v>2026-06</x:v>
      </x:c>
      <x:c r="D94" t="str">
        <x:v>LinkedIn</x:v>
      </x:c>
      <x:c r="E94" t="str">
        <x:v>Summer Launch</x:v>
      </x:c>
      <x:c r="F94" t="str">
        <x:v>Carousel</x:v>
      </x:c>
      <x:c r="G94" t="str">
        <x:v>Education</x:v>
      </x:c>
      <x:c r="H94" t="n">
        <x:v>0</x:v>
      </x:c>
      <x:c r="I94" t="n">
        <x:v>2665</x:v>
      </x:c>
      <x:c r="J94" t="n">
        <x:v>1923</x:v>
      </x:c>
      <x:c r="K94" t="n">
        <x:v>57</x:v>
      </x:c>
      <x:c r="L94" t="n">
        <x:v>36</x:v>
      </x:c>
      <x:c r="M94" t="n">
        <x:v>4</x:v>
      </x:c>
      <x:c r="N94" t="n">
        <x:v>0</x:v>
      </x:c>
      <x:c r="O94" s="37" t="n">
        <x:v>716.13</x:v>
      </x:c>
      <x:c r="P94" s="37" t="n">
        <x:v>12732</x:v>
      </x:c>
      <x:c r="Q94" t="n">
        <x:v>4</x:v>
      </x:c>
      <x:c r="R94" t="n">
        <x:v>1</x:v>
      </x:c>
      <x:c r="S94" t="n">
        <x:v>12735</x:v>
      </x:c>
      <x:c r="T94" t="n">
        <x:v>36.6</x:v>
      </x:c>
    </x:row>
    <x:row r="95">
      <x:c r="A95" t="str">
        <x:v>SM0091</x:v>
      </x:c>
      <x:c r="B95" s="43" t="str">
        <x:v>2026-06-01</x:v>
      </x:c>
      <x:c r="C95" t="str">
        <x:v>2026-06</x:v>
      </x:c>
      <x:c r="D95" t="str">
        <x:v>TikTok</x:v>
      </x:c>
      <x:c r="E95" t="str">
        <x:v>Lead Gen</x:v>
      </x:c>
      <x:c r="F95" t="str">
        <x:v>Article</x:v>
      </x:c>
      <x:c r="G95" t="str">
        <x:v>Behind the Scenes</x:v>
      </x:c>
      <x:c r="H95" t="n">
        <x:v>1</x:v>
      </x:c>
      <x:c r="I95" t="n">
        <x:v>12676</x:v>
      </x:c>
      <x:c r="J95" t="n">
        <x:v>9368</x:v>
      </x:c>
      <x:c r="K95" t="n">
        <x:v>554</x:v>
      </x:c>
      <x:c r="L95" t="n">
        <x:v>148</x:v>
      </x:c>
      <x:c r="M95" t="n">
        <x:v>12</x:v>
      </x:c>
      <x:c r="N95" t="n">
        <x:v>1074.48</x:v>
      </x:c>
      <x:c r="O95" s="37" t="n">
        <x:v>1121.84</x:v>
      </x:c>
      <x:c r="P95" s="37" t="n">
        <x:v>22100</x:v>
      </x:c>
      <x:c r="Q95" t="n">
        <x:v>12</x:v>
      </x:c>
      <x:c r="R95" t="n">
        <x:v>2</x:v>
      </x:c>
      <x:c r="S95" t="n">
        <x:v>22110</x:v>
      </x:c>
      <x:c r="T95" t="n">
        <x:v>48.5</x:v>
      </x:c>
    </x:row>
    <x:row r="96">
      <x:c r="A96" t="str">
        <x:v>SM0092</x:v>
      </x:c>
      <x:c r="B96" s="43" t="str">
        <x:v>2026-06-02</x:v>
      </x:c>
      <x:c r="C96" t="str">
        <x:v>2026-06</x:v>
      </x:c>
      <x:c r="D96" t="str">
        <x:v>TikTok</x:v>
      </x:c>
      <x:c r="E96" t="str">
        <x:v>Brand Trust</x:v>
      </x:c>
      <x:c r="F96" t="str">
        <x:v>Live Clip</x:v>
      </x:c>
      <x:c r="G96" t="str">
        <x:v>Promotion</x:v>
      </x:c>
      <x:c r="H96" t="n">
        <x:v>1</x:v>
      </x:c>
      <x:c r="I96" t="n">
        <x:v>16713</x:v>
      </x:c>
      <x:c r="J96" t="n">
        <x:v>11302</x:v>
      </x:c>
      <x:c r="K96" t="n">
        <x:v>1097</x:v>
      </x:c>
      <x:c r="L96" t="n">
        <x:v>152</x:v>
      </x:c>
      <x:c r="M96" t="n">
        <x:v>12</x:v>
      </x:c>
      <x:c r="N96" t="n">
        <x:v>1041.26</x:v>
      </x:c>
      <x:c r="O96" s="37" t="n">
        <x:v>1456.98</x:v>
      </x:c>
      <x:c r="P96" s="37" t="n">
        <x:v>22110</x:v>
      </x:c>
      <x:c r="Q96" t="n">
        <x:v>14</x:v>
      </x:c>
      <x:c r="R96" t="n">
        <x:v>5</x:v>
      </x:c>
      <x:c r="S96" t="n">
        <x:v>22119</x:v>
      </x:c>
      <x:c r="T96" t="n">
        <x:v>20.6</x:v>
      </x:c>
    </x:row>
    <x:row r="97">
      <x:c r="A97" t="str">
        <x:v>SM0093</x:v>
      </x:c>
      <x:c r="B97" s="43" t="str">
        <x:v>2026-06-03</x:v>
      </x:c>
      <x:c r="C97" t="str">
        <x:v>2026-06</x:v>
      </x:c>
      <x:c r="D97" t="str">
        <x:v>TikTok</x:v>
      </x:c>
      <x:c r="E97" t="str">
        <x:v>Always On</x:v>
      </x:c>
      <x:c r="F97" t="str">
        <x:v>Short Video</x:v>
      </x:c>
      <x:c r="G97" t="str">
        <x:v>Product</x:v>
      </x:c>
      <x:c r="H97" t="n">
        <x:v>0</x:v>
      </x:c>
      <x:c r="I97" t="n">
        <x:v>11208</x:v>
      </x:c>
      <x:c r="J97" t="n">
        <x:v>8909</x:v>
      </x:c>
      <x:c r="K97" t="n">
        <x:v>537</x:v>
      </x:c>
      <x:c r="L97" t="n">
        <x:v>204</x:v>
      </x:c>
      <x:c r="M97" t="n">
        <x:v>13</x:v>
      </x:c>
      <x:c r="N97" t="n">
        <x:v>0</x:v>
      </x:c>
      <x:c r="O97" s="37" t="n">
        <x:v>2012.85</x:v>
      </x:c>
      <x:c r="P97" s="37" t="n">
        <x:v>22119</x:v>
      </x:c>
      <x:c r="Q97" t="n">
        <x:v>22</x:v>
      </x:c>
      <x:c r="R97" t="n">
        <x:v>5</x:v>
      </x:c>
      <x:c r="S97" t="n">
        <x:v>22136</x:v>
      </x:c>
      <x:c r="T97" t="n">
        <x:v>23.9</x:v>
      </x:c>
    </x:row>
    <x:row r="98">
      <x:c r="A98" t="str">
        <x:v>SM0094</x:v>
      </x:c>
      <x:c r="B98" s="43" t="str">
        <x:v>2026-06-04</x:v>
      </x:c>
      <x:c r="C98" t="str">
        <x:v>2026-06</x:v>
      </x:c>
      <x:c r="D98" t="str">
        <x:v>TikTok</x:v>
      </x:c>
      <x:c r="E98" t="str">
        <x:v>Summer Launch</x:v>
      </x:c>
      <x:c r="F98" t="str">
        <x:v>Carousel</x:v>
      </x:c>
      <x:c r="G98" t="str">
        <x:v>Behind the Scenes</x:v>
      </x:c>
      <x:c r="H98" t="n">
        <x:v>0</x:v>
      </x:c>
      <x:c r="I98" t="n">
        <x:v>6816</x:v>
      </x:c>
      <x:c r="J98" t="n">
        <x:v>5222</x:v>
      </x:c>
      <x:c r="K98" t="n">
        <x:v>325</x:v>
      </x:c>
      <x:c r="L98" t="n">
        <x:v>81</x:v>
      </x:c>
      <x:c r="M98" t="n">
        <x:v>6</x:v>
      </x:c>
      <x:c r="N98" t="n">
        <x:v>0</x:v>
      </x:c>
      <x:c r="O98" s="37" t="n">
        <x:v>784.7</x:v>
      </x:c>
      <x:c r="P98" s="37" t="n">
        <x:v>22136</x:v>
      </x:c>
      <x:c r="Q98" t="n">
        <x:v>12</x:v>
      </x:c>
      <x:c r="R98" t="n">
        <x:v>3</x:v>
      </x:c>
      <x:c r="S98" t="n">
        <x:v>22145</x:v>
      </x:c>
      <x:c r="T98" t="n">
        <x:v>37.8</x:v>
      </x:c>
    </x:row>
    <x:row r="99">
      <x:c r="A99" t="str">
        <x:v>SM0095</x:v>
      </x:c>
      <x:c r="B99" s="43" t="str">
        <x:v>2026-06-05</x:v>
      </x:c>
      <x:c r="C99" t="str">
        <x:v>2026-06</x:v>
      </x:c>
      <x:c r="D99" t="str">
        <x:v>TikTok</x:v>
      </x:c>
      <x:c r="E99" t="str">
        <x:v>Lead Gen</x:v>
      </x:c>
      <x:c r="F99" t="str">
        <x:v>Static Image</x:v>
      </x:c>
      <x:c r="G99" t="str">
        <x:v>Promotion</x:v>
      </x:c>
      <x:c r="H99" t="n">
        <x:v>1</x:v>
      </x:c>
      <x:c r="I99" t="n">
        <x:v>10742</x:v>
      </x:c>
      <x:c r="J99" t="n">
        <x:v>7277</x:v>
      </x:c>
      <x:c r="K99" t="n">
        <x:v>730</x:v>
      </x:c>
      <x:c r="L99" t="n">
        <x:v>203</x:v>
      </x:c>
      <x:c r="M99" t="n">
        <x:v>8</x:v>
      </x:c>
      <x:c r="N99" t="n">
        <x:v>846.82</x:v>
      </x:c>
      <x:c r="O99" s="37" t="n">
        <x:v>1473.97</x:v>
      </x:c>
      <x:c r="P99" s="37" t="n">
        <x:v>22145</x:v>
      </x:c>
      <x:c r="Q99" t="n">
        <x:v>10</x:v>
      </x:c>
      <x:c r="R99" t="n">
        <x:v>2</x:v>
      </x:c>
      <x:c r="S99" t="n">
        <x:v>22153</x:v>
      </x:c>
      <x:c r="T99" t="n">
        <x:v>33.7</x:v>
      </x:c>
    </x:row>
    <x:row r="100">
      <x:c r="A100" t="str">
        <x:v>SM0096</x:v>
      </x:c>
      <x:c r="B100" s="43" t="str">
        <x:v>2026-06-06</x:v>
      </x:c>
      <x:c r="C100" t="str">
        <x:v>2026-06</x:v>
      </x:c>
      <x:c r="D100" t="str">
        <x:v>TikTok</x:v>
      </x:c>
      <x:c r="E100" t="str">
        <x:v>Brand Trust</x:v>
      </x:c>
      <x:c r="F100" t="str">
        <x:v>Article</x:v>
      </x:c>
      <x:c r="G100" t="str">
        <x:v>Product</x:v>
      </x:c>
      <x:c r="H100" t="n">
        <x:v>0</x:v>
      </x:c>
      <x:c r="I100" t="n">
        <x:v>8105</x:v>
      </x:c>
      <x:c r="J100" t="n">
        <x:v>5893</x:v>
      </x:c>
      <x:c r="K100" t="n">
        <x:v>419</x:v>
      </x:c>
      <x:c r="L100" t="n">
        <x:v>70</x:v>
      </x:c>
      <x:c r="M100" t="n">
        <x:v>4</x:v>
      </x:c>
      <x:c r="N100" t="n">
        <x:v>0</x:v>
      </x:c>
      <x:c r="O100" s="37" t="n">
        <x:v>554.47</x:v>
      </x:c>
      <x:c r="P100" s="37" t="n">
        <x:v>22153</x:v>
      </x:c>
      <x:c r="Q100" t="n">
        <x:v>6</x:v>
      </x:c>
      <x:c r="R100" t="n">
        <x:v>2</x:v>
      </x:c>
      <x:c r="S100" t="n">
        <x:v>22157</x:v>
      </x:c>
      <x:c r="T100" t="n">
        <x:v>28.1</x:v>
      </x:c>
    </x:row>
    <x:row r="101">
      <x:c r="A101" t="str">
        <x:v>SM0097</x:v>
      </x:c>
      <x:c r="B101" s="43" t="str">
        <x:v>2026-06-07</x:v>
      </x:c>
      <x:c r="C101" t="str">
        <x:v>2026-06</x:v>
      </x:c>
      <x:c r="D101" t="str">
        <x:v>TikTok</x:v>
      </x:c>
      <x:c r="E101" t="str">
        <x:v>Always On</x:v>
      </x:c>
      <x:c r="F101" t="str">
        <x:v>Live Clip</x:v>
      </x:c>
      <x:c r="G101" t="str">
        <x:v>Behind the Scenes</x:v>
      </x:c>
      <x:c r="H101" t="n">
        <x:v>0</x:v>
      </x:c>
      <x:c r="I101" t="n">
        <x:v>7158</x:v>
      </x:c>
      <x:c r="J101" t="n">
        <x:v>4535</x:v>
      </x:c>
      <x:c r="K101" t="n">
        <x:v>180</x:v>
      </x:c>
      <x:c r="L101" t="n">
        <x:v>131</x:v>
      </x:c>
      <x:c r="M101" t="n">
        <x:v>14</x:v>
      </x:c>
      <x:c r="N101" t="n">
        <x:v>0</x:v>
      </x:c>
      <x:c r="O101" s="37" t="n">
        <x:v>1622.38</x:v>
      </x:c>
      <x:c r="P101" s="37" t="n">
        <x:v>22157</x:v>
      </x:c>
      <x:c r="Q101" t="n">
        <x:v>9</x:v>
      </x:c>
      <x:c r="R101" t="n">
        <x:v>2</x:v>
      </x:c>
      <x:c r="S101" t="n">
        <x:v>22164</x:v>
      </x:c>
      <x:c r="T101" t="n">
        <x:v>44.8</x:v>
      </x:c>
    </x:row>
    <x:row r="102">
      <x:c r="A102" t="str">
        <x:v>SM0098</x:v>
      </x:c>
      <x:c r="B102" s="43" t="str">
        <x:v>2026-06-08</x:v>
      </x:c>
      <x:c r="C102" t="str">
        <x:v>2026-06</x:v>
      </x:c>
      <x:c r="D102" t="str">
        <x:v>TikTok</x:v>
      </x:c>
      <x:c r="E102" t="str">
        <x:v>Summer Launch</x:v>
      </x:c>
      <x:c r="F102" t="str">
        <x:v>Short Video</x:v>
      </x:c>
      <x:c r="G102" t="str">
        <x:v>Promotion</x:v>
      </x:c>
      <x:c r="H102" t="n">
        <x:v>1</x:v>
      </x:c>
      <x:c r="I102" t="n">
        <x:v>10516</x:v>
      </x:c>
      <x:c r="J102" t="n">
        <x:v>8499</x:v>
      </x:c>
      <x:c r="K102" t="n">
        <x:v>936</x:v>
      </x:c>
      <x:c r="L102" t="n">
        <x:v>144</x:v>
      </x:c>
      <x:c r="M102" t="n">
        <x:v>14</x:v>
      </x:c>
      <x:c r="N102" t="n">
        <x:v>846.65</x:v>
      </x:c>
      <x:c r="O102" s="37" t="n">
        <x:v>1579.95</x:v>
      </x:c>
      <x:c r="P102" s="37" t="n">
        <x:v>22164</x:v>
      </x:c>
      <x:c r="Q102" t="n">
        <x:v>17</x:v>
      </x:c>
      <x:c r="R102" t="n">
        <x:v>4</x:v>
      </x:c>
      <x:c r="S102" t="n">
        <x:v>22177</x:v>
      </x:c>
      <x:c r="T102" t="n">
        <x:v>50</x:v>
      </x:c>
    </x:row>
    <x:row r="103">
      <x:c r="A103" t="str">
        <x:v>SM0099</x:v>
      </x:c>
      <x:c r="B103" s="43" t="str">
        <x:v>2026-06-09</x:v>
      </x:c>
      <x:c r="C103" t="str">
        <x:v>2026-06</x:v>
      </x:c>
      <x:c r="D103" t="str">
        <x:v>TikTok</x:v>
      </x:c>
      <x:c r="E103" t="str">
        <x:v>Lead Gen</x:v>
      </x:c>
      <x:c r="F103" t="str">
        <x:v>Carousel</x:v>
      </x:c>
      <x:c r="G103" t="str">
        <x:v>Product</x:v>
      </x:c>
      <x:c r="H103" t="n">
        <x:v>1</x:v>
      </x:c>
      <x:c r="I103" t="n">
        <x:v>14996</x:v>
      </x:c>
      <x:c r="J103" t="n">
        <x:v>9551</x:v>
      </x:c>
      <x:c r="K103" t="n">
        <x:v>1026</x:v>
      </x:c>
      <x:c r="L103" t="n">
        <x:v>178</x:v>
      </x:c>
      <x:c r="M103" t="n">
        <x:v>13</x:v>
      </x:c>
      <x:c r="N103" t="n">
        <x:v>604.14</x:v>
      </x:c>
      <x:c r="O103" s="37" t="n">
        <x:v>1204.21</x:v>
      </x:c>
      <x:c r="P103" s="37" t="n">
        <x:v>22177</x:v>
      </x:c>
      <x:c r="Q103" t="n">
        <x:v>14</x:v>
      </x:c>
      <x:c r="R103" t="n">
        <x:v>4</x:v>
      </x:c>
      <x:c r="S103" t="n">
        <x:v>22187</x:v>
      </x:c>
      <x:c r="T103" t="n">
        <x:v>46.5</x:v>
      </x:c>
    </x:row>
    <x:row r="104">
      <x:c r="A104" t="str">
        <x:v>SM0100</x:v>
      </x:c>
      <x:c r="B104" s="43" t="str">
        <x:v>2026-06-10</x:v>
      </x:c>
      <x:c r="C104" t="str">
        <x:v>2026-06</x:v>
      </x:c>
      <x:c r="D104" t="str">
        <x:v>TikTok</x:v>
      </x:c>
      <x:c r="E104" t="str">
        <x:v>Brand Trust</x:v>
      </x:c>
      <x:c r="F104" t="str">
        <x:v>Static Image</x:v>
      </x:c>
      <x:c r="G104" t="str">
        <x:v>Behind the Scenes</x:v>
      </x:c>
      <x:c r="H104" t="n">
        <x:v>0</x:v>
      </x:c>
      <x:c r="I104" t="n">
        <x:v>11232</x:v>
      </x:c>
      <x:c r="J104" t="n">
        <x:v>7623</x:v>
      </x:c>
      <x:c r="K104" t="n">
        <x:v>481</x:v>
      </x:c>
      <x:c r="L104" t="n">
        <x:v>91</x:v>
      </x:c>
      <x:c r="M104" t="n">
        <x:v>5</x:v>
      </x:c>
      <x:c r="N104" t="n">
        <x:v>0</x:v>
      </x:c>
      <x:c r="O104" s="37" t="n">
        <x:v>687.24</x:v>
      </x:c>
      <x:c r="P104" s="37" t="n">
        <x:v>22187</x:v>
      </x:c>
      <x:c r="Q104" t="n">
        <x:v>15</x:v>
      </x:c>
      <x:c r="R104" t="n">
        <x:v>3</x:v>
      </x:c>
      <x:c r="S104" t="n">
        <x:v>22199</x:v>
      </x:c>
      <x:c r="T104" t="n">
        <x:v>34.8</x:v>
      </x:c>
    </x:row>
    <x:row r="105">
      <x:c r="A105" t="str">
        <x:v>SM0101</x:v>
      </x:c>
      <x:c r="B105" s="43" t="str">
        <x:v>2026-06-11</x:v>
      </x:c>
      <x:c r="C105" t="str">
        <x:v>2026-06</x:v>
      </x:c>
      <x:c r="D105" t="str">
        <x:v>TikTok</x:v>
      </x:c>
      <x:c r="E105" t="str">
        <x:v>Always On</x:v>
      </x:c>
      <x:c r="F105" t="str">
        <x:v>Article</x:v>
      </x:c>
      <x:c r="G105" t="str">
        <x:v>Promotion</x:v>
      </x:c>
      <x:c r="H105" t="n">
        <x:v>1</x:v>
      </x:c>
      <x:c r="I105" t="n">
        <x:v>17836</x:v>
      </x:c>
      <x:c r="J105" t="n">
        <x:v>13835</x:v>
      </x:c>
      <x:c r="K105" t="n">
        <x:v>1618</x:v>
      </x:c>
      <x:c r="L105" t="n">
        <x:v>201</x:v>
      </x:c>
      <x:c r="M105" t="n">
        <x:v>9</x:v>
      </x:c>
      <x:c r="N105" t="n">
        <x:v>1024.7</x:v>
      </x:c>
      <x:c r="O105" s="37" t="n">
        <x:v>703.27</x:v>
      </x:c>
      <x:c r="P105" s="37" t="n">
        <x:v>22199</x:v>
      </x:c>
      <x:c r="Q105" t="n">
        <x:v>19</x:v>
      </x:c>
      <x:c r="R105" t="n">
        <x:v>4</x:v>
      </x:c>
      <x:c r="S105" t="n">
        <x:v>22214</x:v>
      </x:c>
      <x:c r="T105" t="n">
        <x:v>49.3</x:v>
      </x:c>
    </x:row>
    <x:row r="106">
      <x:c r="A106" t="str">
        <x:v>SM0102</x:v>
      </x:c>
      <x:c r="B106" s="43" t="str">
        <x:v>2026-06-12</x:v>
      </x:c>
      <x:c r="C106" t="str">
        <x:v>2026-06</x:v>
      </x:c>
      <x:c r="D106" t="str">
        <x:v>TikTok</x:v>
      </x:c>
      <x:c r="E106" t="str">
        <x:v>Summer Launch</x:v>
      </x:c>
      <x:c r="F106" t="str">
        <x:v>Live Clip</x:v>
      </x:c>
      <x:c r="G106" t="str">
        <x:v>Product</x:v>
      </x:c>
      <x:c r="H106" t="n">
        <x:v>0</x:v>
      </x:c>
      <x:c r="I106" t="n">
        <x:v>5675</x:v>
      </x:c>
      <x:c r="J106" t="n">
        <x:v>4190</x:v>
      </x:c>
      <x:c r="K106" t="n">
        <x:v>294</x:v>
      </x:c>
      <x:c r="L106" t="n">
        <x:v>107</x:v>
      </x:c>
      <x:c r="M106" t="n">
        <x:v>9</x:v>
      </x:c>
      <x:c r="N106" t="n">
        <x:v>0</x:v>
      </x:c>
      <x:c r="O106" s="37" t="n">
        <x:v>1391.85</x:v>
      </x:c>
      <x:c r="P106" s="37" t="n">
        <x:v>22214</x:v>
      </x:c>
      <x:c r="Q106" t="n">
        <x:v>9</x:v>
      </x:c>
      <x:c r="R106" t="n">
        <x:v>3</x:v>
      </x:c>
      <x:c r="S106" t="n">
        <x:v>22220</x:v>
      </x:c>
      <x:c r="T106" t="n">
        <x:v>9.8</x:v>
      </x:c>
    </x:row>
    <x:row r="107">
      <x:c r="A107" t="str">
        <x:v>SM0103</x:v>
      </x:c>
      <x:c r="B107" s="43" t="str">
        <x:v>2026-06-13</x:v>
      </x:c>
      <x:c r="C107" t="str">
        <x:v>2026-06</x:v>
      </x:c>
      <x:c r="D107" t="str">
        <x:v>TikTok</x:v>
      </x:c>
      <x:c r="E107" t="str">
        <x:v>Lead Gen</x:v>
      </x:c>
      <x:c r="F107" t="str">
        <x:v>Short Video</x:v>
      </x:c>
      <x:c r="G107" t="str">
        <x:v>Behind the Scenes</x:v>
      </x:c>
      <x:c r="H107" t="n">
        <x:v>1</x:v>
      </x:c>
      <x:c r="I107" t="n">
        <x:v>23153</x:v>
      </x:c>
      <x:c r="J107" t="n">
        <x:v>14977</x:v>
      </x:c>
      <x:c r="K107" t="n">
        <x:v>1528</x:v>
      </x:c>
      <x:c r="L107" t="n">
        <x:v>425</x:v>
      </x:c>
      <x:c r="M107" t="n">
        <x:v>30</x:v>
      </x:c>
      <x:c r="N107" t="n">
        <x:v>395.14</x:v>
      </x:c>
      <x:c r="O107" s="37" t="n">
        <x:v>4448.91</x:v>
      </x:c>
      <x:c r="P107" s="37" t="n">
        <x:v>22220</x:v>
      </x:c>
      <x:c r="Q107" t="n">
        <x:v>33</x:v>
      </x:c>
      <x:c r="R107" t="n">
        <x:v>11</x:v>
      </x:c>
      <x:c r="S107" t="n">
        <x:v>22242</x:v>
      </x:c>
      <x:c r="T107" t="n">
        <x:v>20</x:v>
      </x:c>
    </x:row>
    <x:row r="108">
      <x:c r="A108" t="str">
        <x:v>SM0104</x:v>
      </x:c>
      <x:c r="B108" s="43" t="str">
        <x:v>2026-06-14</x:v>
      </x:c>
      <x:c r="C108" t="str">
        <x:v>2026-06</x:v>
      </x:c>
      <x:c r="D108" t="str">
        <x:v>TikTok</x:v>
      </x:c>
      <x:c r="E108" t="str">
        <x:v>Brand Trust</x:v>
      </x:c>
      <x:c r="F108" t="str">
        <x:v>Carousel</x:v>
      </x:c>
      <x:c r="G108" t="str">
        <x:v>Promotion</x:v>
      </x:c>
      <x:c r="H108" t="n">
        <x:v>1</x:v>
      </x:c>
      <x:c r="I108" t="n">
        <x:v>14359</x:v>
      </x:c>
      <x:c r="J108" t="n">
        <x:v>11313</x:v>
      </x:c>
      <x:c r="K108" t="n">
        <x:v>660</x:v>
      </x:c>
      <x:c r="L108" t="n">
        <x:v>126</x:v>
      </x:c>
      <x:c r="M108" t="n">
        <x:v>8</x:v>
      </x:c>
      <x:c r="N108" t="n">
        <x:v>407.62</x:v>
      </x:c>
      <x:c r="O108" s="37" t="n">
        <x:v>898.83</x:v>
      </x:c>
      <x:c r="P108" s="37" t="n">
        <x:v>22242</x:v>
      </x:c>
      <x:c r="Q108" t="n">
        <x:v>10</x:v>
      </x:c>
      <x:c r="R108" t="n">
        <x:v>2</x:v>
      </x:c>
      <x:c r="S108" t="n">
        <x:v>22250</x:v>
      </x:c>
      <x:c r="T108" t="n">
        <x:v>42.3</x:v>
      </x:c>
    </x:row>
    <x:row r="109">
      <x:c r="A109" t="str">
        <x:v>SM0105</x:v>
      </x:c>
      <x:c r="B109" s="43" t="str">
        <x:v>2026-06-15</x:v>
      </x:c>
      <x:c r="C109" t="str">
        <x:v>2026-06</x:v>
      </x:c>
      <x:c r="D109" t="str">
        <x:v>TikTok</x:v>
      </x:c>
      <x:c r="E109" t="str">
        <x:v>Always On</x:v>
      </x:c>
      <x:c r="F109" t="str">
        <x:v>Static Image</x:v>
      </x:c>
      <x:c r="G109" t="str">
        <x:v>Product</x:v>
      </x:c>
      <x:c r="H109" t="n">
        <x:v>0</x:v>
      </x:c>
      <x:c r="I109" t="n">
        <x:v>5117</x:v>
      </x:c>
      <x:c r="J109" t="n">
        <x:v>3297</x:v>
      </x:c>
      <x:c r="K109" t="n">
        <x:v>158</x:v>
      </x:c>
      <x:c r="L109" t="n">
        <x:v>90</x:v>
      </x:c>
      <x:c r="M109" t="n">
        <x:v>7</x:v>
      </x:c>
      <x:c r="N109" t="n">
        <x:v>0</x:v>
      </x:c>
      <x:c r="O109" s="37" t="n">
        <x:v>1054.41</x:v>
      </x:c>
      <x:c r="P109" s="37" t="n">
        <x:v>22250</x:v>
      </x:c>
      <x:c r="Q109" t="n">
        <x:v>3</x:v>
      </x:c>
      <x:c r="R109" t="n">
        <x:v>1</x:v>
      </x:c>
      <x:c r="S109" t="n">
        <x:v>22252</x:v>
      </x:c>
      <x:c r="T109" t="n">
        <x:v>35.3</x:v>
      </x:c>
    </x:row>
    <x:row r="110">
      <x:c r="A110" t="str">
        <x:v>SM0106</x:v>
      </x:c>
      <x:c r="B110" s="43" t="str">
        <x:v>2026-06-16</x:v>
      </x:c>
      <x:c r="C110" t="str">
        <x:v>2026-06</x:v>
      </x:c>
      <x:c r="D110" t="str">
        <x:v>TikTok</x:v>
      </x:c>
      <x:c r="E110" t="str">
        <x:v>Summer Launch</x:v>
      </x:c>
      <x:c r="F110" t="str">
        <x:v>Article</x:v>
      </x:c>
      <x:c r="G110" t="str">
        <x:v>Behind the Scenes</x:v>
      </x:c>
      <x:c r="H110" t="n">
        <x:v>0</x:v>
      </x:c>
      <x:c r="I110" t="n">
        <x:v>5302</x:v>
      </x:c>
      <x:c r="J110" t="n">
        <x:v>3505</x:v>
      </x:c>
      <x:c r="K110" t="n">
        <x:v>430</x:v>
      </x:c>
      <x:c r="L110" t="n">
        <x:v>52</x:v>
      </x:c>
      <x:c r="M110" t="n">
        <x:v>6</x:v>
      </x:c>
      <x:c r="N110" t="n">
        <x:v>0</x:v>
      </x:c>
      <x:c r="O110" s="37" t="n">
        <x:v>553.65</x:v>
      </x:c>
      <x:c r="P110" s="37" t="n">
        <x:v>22252</x:v>
      </x:c>
      <x:c r="Q110" t="n">
        <x:v>8</x:v>
      </x:c>
      <x:c r="R110" t="n">
        <x:v>2</x:v>
      </x:c>
      <x:c r="S110" t="n">
        <x:v>22258</x:v>
      </x:c>
      <x:c r="T110" t="n">
        <x:v>25.5</x:v>
      </x:c>
    </x:row>
    <x:row r="111">
      <x:c r="A111" t="str">
        <x:v>SM0107</x:v>
      </x:c>
      <x:c r="B111" s="43" t="str">
        <x:v>2026-06-17</x:v>
      </x:c>
      <x:c r="C111" t="str">
        <x:v>2026-06</x:v>
      </x:c>
      <x:c r="D111" t="str">
        <x:v>TikTok</x:v>
      </x:c>
      <x:c r="E111" t="str">
        <x:v>Lead Gen</x:v>
      </x:c>
      <x:c r="F111" t="str">
        <x:v>Live Clip</x:v>
      </x:c>
      <x:c r="G111" t="str">
        <x:v>Promotion</x:v>
      </x:c>
      <x:c r="H111" t="n">
        <x:v>1</x:v>
      </x:c>
      <x:c r="I111" t="n">
        <x:v>18394</x:v>
      </x:c>
      <x:c r="J111" t="n">
        <x:v>13838</x:v>
      </x:c>
      <x:c r="K111" t="n">
        <x:v>1481</x:v>
      </x:c>
      <x:c r="L111" t="n">
        <x:v>190</x:v>
      </x:c>
      <x:c r="M111" t="n">
        <x:v>17</x:v>
      </x:c>
      <x:c r="N111" t="n">
        <x:v>305.37</x:v>
      </x:c>
      <x:c r="O111" s="37" t="n">
        <x:v>1364.82</x:v>
      </x:c>
      <x:c r="P111" s="37" t="n">
        <x:v>22258</x:v>
      </x:c>
      <x:c r="Q111" t="n">
        <x:v>33</x:v>
      </x:c>
      <x:c r="R111" t="n">
        <x:v>8</x:v>
      </x:c>
      <x:c r="S111" t="n">
        <x:v>22283</x:v>
      </x:c>
      <x:c r="T111" t="n">
        <x:v>26</x:v>
      </x:c>
    </x:row>
    <x:row r="112">
      <x:c r="A112" t="str">
        <x:v>SM0108</x:v>
      </x:c>
      <x:c r="B112" s="43" t="str">
        <x:v>2026-06-18</x:v>
      </x:c>
      <x:c r="C112" t="str">
        <x:v>2026-06</x:v>
      </x:c>
      <x:c r="D112" t="str">
        <x:v>TikTok</x:v>
      </x:c>
      <x:c r="E112" t="str">
        <x:v>Brand Trust</x:v>
      </x:c>
      <x:c r="F112" t="str">
        <x:v>Short Video</x:v>
      </x:c>
      <x:c r="G112" t="str">
        <x:v>Product</x:v>
      </x:c>
      <x:c r="H112" t="n">
        <x:v>0</x:v>
      </x:c>
      <x:c r="I112" t="n">
        <x:v>22118</x:v>
      </x:c>
      <x:c r="J112" t="n">
        <x:v>17724</x:v>
      </x:c>
      <x:c r="K112" t="n">
        <x:v>1212</x:v>
      </x:c>
      <x:c r="L112" t="n">
        <x:v>215</x:v>
      </x:c>
      <x:c r="M112" t="n">
        <x:v>21</x:v>
      </x:c>
      <x:c r="N112" t="n">
        <x:v>0</x:v>
      </x:c>
      <x:c r="O112" s="37" t="n">
        <x:v>3250.66</x:v>
      </x:c>
      <x:c r="P112" s="37" t="n">
        <x:v>22283</x:v>
      </x:c>
      <x:c r="Q112" t="n">
        <x:v>33</x:v>
      </x:c>
      <x:c r="R112" t="n">
        <x:v>6</x:v>
      </x:c>
      <x:c r="S112" t="n">
        <x:v>22310</x:v>
      </x:c>
      <x:c r="T112" t="n">
        <x:v>10.7</x:v>
      </x:c>
    </x:row>
    <x:row r="113">
      <x:c r="A113" t="str">
        <x:v>SM0109</x:v>
      </x:c>
      <x:c r="B113" s="43" t="str">
        <x:v>2026-06-19</x:v>
      </x:c>
      <x:c r="C113" t="str">
        <x:v>2026-06</x:v>
      </x:c>
      <x:c r="D113" t="str">
        <x:v>TikTok</x:v>
      </x:c>
      <x:c r="E113" t="str">
        <x:v>Always On</x:v>
      </x:c>
      <x:c r="F113" t="str">
        <x:v>Carousel</x:v>
      </x:c>
      <x:c r="G113" t="str">
        <x:v>Behind the Scenes</x:v>
      </x:c>
      <x:c r="H113" t="n">
        <x:v>0</x:v>
      </x:c>
      <x:c r="I113" t="n">
        <x:v>12634</x:v>
      </x:c>
      <x:c r="J113" t="n">
        <x:v>9845</x:v>
      </x:c>
      <x:c r="K113" t="n">
        <x:v>1144</x:v>
      </x:c>
      <x:c r="L113" t="n">
        <x:v>175</x:v>
      </x:c>
      <x:c r="M113" t="n">
        <x:v>17</x:v>
      </x:c>
      <x:c r="N113" t="n">
        <x:v>0</x:v>
      </x:c>
      <x:c r="O113" s="37" t="n">
        <x:v>2090.59</x:v>
      </x:c>
      <x:c r="P113" s="37" t="n">
        <x:v>22310</x:v>
      </x:c>
      <x:c r="Q113" t="n">
        <x:v>19</x:v>
      </x:c>
      <x:c r="R113" t="n">
        <x:v>4</x:v>
      </x:c>
      <x:c r="S113" t="n">
        <x:v>22325</x:v>
      </x:c>
      <x:c r="T113" t="n">
        <x:v>6.8</x:v>
      </x:c>
    </x:row>
    <x:row r="114">
      <x:c r="A114" t="str">
        <x:v>SM0110</x:v>
      </x:c>
      <x:c r="B114" s="43" t="str">
        <x:v>2026-06-20</x:v>
      </x:c>
      <x:c r="C114" t="str">
        <x:v>2026-06</x:v>
      </x:c>
      <x:c r="D114" t="str">
        <x:v>TikTok</x:v>
      </x:c>
      <x:c r="E114" t="str">
        <x:v>Summer Launch</x:v>
      </x:c>
      <x:c r="F114" t="str">
        <x:v>Static Image</x:v>
      </x:c>
      <x:c r="G114" t="str">
        <x:v>Promotion</x:v>
      </x:c>
      <x:c r="H114" t="n">
        <x:v>1</x:v>
      </x:c>
      <x:c r="I114" t="n">
        <x:v>15651</x:v>
      </x:c>
      <x:c r="J114" t="n">
        <x:v>12067</x:v>
      </x:c>
      <x:c r="K114" t="n">
        <x:v>568</x:v>
      </x:c>
      <x:c r="L114" t="n">
        <x:v>226</x:v>
      </x:c>
      <x:c r="M114" t="n">
        <x:v>13</x:v>
      </x:c>
      <x:c r="N114" t="n">
        <x:v>495.66</x:v>
      </x:c>
      <x:c r="O114" s="37" t="n">
        <x:v>1792.82</x:v>
      </x:c>
      <x:c r="P114" s="37" t="n">
        <x:v>22325</x:v>
      </x:c>
      <x:c r="Q114" t="n">
        <x:v>23</x:v>
      </x:c>
      <x:c r="R114" t="n">
        <x:v>4</x:v>
      </x:c>
      <x:c r="S114" t="n">
        <x:v>22344</x:v>
      </x:c>
      <x:c r="T114" t="n">
        <x:v>42.2</x:v>
      </x:c>
    </x:row>
    <x:row r="115">
      <x:c r="A115" t="str">
        <x:v>SM0111</x:v>
      </x:c>
      <x:c r="B115" s="43" t="str">
        <x:v>2026-06-21</x:v>
      </x:c>
      <x:c r="C115" t="str">
        <x:v>2026-06</x:v>
      </x:c>
      <x:c r="D115" t="str">
        <x:v>TikTok</x:v>
      </x:c>
      <x:c r="E115" t="str">
        <x:v>Lead Gen</x:v>
      </x:c>
      <x:c r="F115" t="str">
        <x:v>Article</x:v>
      </x:c>
      <x:c r="G115" t="str">
        <x:v>Product</x:v>
      </x:c>
      <x:c r="H115" t="n">
        <x:v>1</x:v>
      </x:c>
      <x:c r="I115" t="n">
        <x:v>10650</x:v>
      </x:c>
      <x:c r="J115" t="n">
        <x:v>7159</x:v>
      </x:c>
      <x:c r="K115" t="n">
        <x:v>332</x:v>
      </x:c>
      <x:c r="L115" t="n">
        <x:v>148</x:v>
      </x:c>
      <x:c r="M115" t="n">
        <x:v>16</x:v>
      </x:c>
      <x:c r="N115" t="n">
        <x:v>345.36</x:v>
      </x:c>
      <x:c r="O115" s="37" t="n">
        <x:v>1467.3</x:v>
      </x:c>
      <x:c r="P115" s="37" t="n">
        <x:v>22344</x:v>
      </x:c>
      <x:c r="Q115" t="n">
        <x:v>10</x:v>
      </x:c>
      <x:c r="R115" t="n">
        <x:v>2</x:v>
      </x:c>
      <x:c r="S115" t="n">
        <x:v>22352</x:v>
      </x:c>
      <x:c r="T115" t="n">
        <x:v>46.5</x:v>
      </x:c>
    </x:row>
    <x:row r="116">
      <x:c r="A116" t="str">
        <x:v>SM0112</x:v>
      </x:c>
      <x:c r="B116" s="43" t="str">
        <x:v>2026-06-22</x:v>
      </x:c>
      <x:c r="C116" t="str">
        <x:v>2026-06</x:v>
      </x:c>
      <x:c r="D116" t="str">
        <x:v>TikTok</x:v>
      </x:c>
      <x:c r="E116" t="str">
        <x:v>Brand Trust</x:v>
      </x:c>
      <x:c r="F116" t="str">
        <x:v>Live Clip</x:v>
      </x:c>
      <x:c r="G116" t="str">
        <x:v>Behind the Scenes</x:v>
      </x:c>
      <x:c r="H116" t="n">
        <x:v>0</x:v>
      </x:c>
      <x:c r="I116" t="n">
        <x:v>4168</x:v>
      </x:c>
      <x:c r="J116" t="n">
        <x:v>2978</x:v>
      </x:c>
      <x:c r="K116" t="n">
        <x:v>261</x:v>
      </x:c>
      <x:c r="L116" t="n">
        <x:v>64</x:v>
      </x:c>
      <x:c r="M116" t="n">
        <x:v>2</x:v>
      </x:c>
      <x:c r="N116" t="n">
        <x:v>0</x:v>
      </x:c>
      <x:c r="O116" s="37" t="n">
        <x:v>163.24</x:v>
      </x:c>
      <x:c r="P116" s="37" t="n">
        <x:v>22352</x:v>
      </x:c>
      <x:c r="Q116" t="n">
        <x:v>7</x:v>
      </x:c>
      <x:c r="R116" t="n">
        <x:v>2</x:v>
      </x:c>
      <x:c r="S116" t="n">
        <x:v>22357</x:v>
      </x:c>
      <x:c r="T116" t="n">
        <x:v>25.6</x:v>
      </x:c>
    </x:row>
    <x:row r="117">
      <x:c r="A117" t="str">
        <x:v>SM0113</x:v>
      </x:c>
      <x:c r="B117" s="43" t="str">
        <x:v>2026-06-23</x:v>
      </x:c>
      <x:c r="C117" t="str">
        <x:v>2026-06</x:v>
      </x:c>
      <x:c r="D117" t="str">
        <x:v>TikTok</x:v>
      </x:c>
      <x:c r="E117" t="str">
        <x:v>Always On</x:v>
      </x:c>
      <x:c r="F117" t="str">
        <x:v>Short Video</x:v>
      </x:c>
      <x:c r="G117" t="str">
        <x:v>Promotion</x:v>
      </x:c>
      <x:c r="H117" t="n">
        <x:v>1</x:v>
      </x:c>
      <x:c r="I117" t="n">
        <x:v>22793</x:v>
      </x:c>
      <x:c r="J117" t="n">
        <x:v>17325</x:v>
      </x:c>
      <x:c r="K117" t="n">
        <x:v>1550</x:v>
      </x:c>
      <x:c r="L117" t="n">
        <x:v>392</x:v>
      </x:c>
      <x:c r="M117" t="n">
        <x:v>35</x:v>
      </x:c>
      <x:c r="N117" t="n">
        <x:v>942.38</x:v>
      </x:c>
      <x:c r="O117" s="37" t="n">
        <x:v>2826.92</x:v>
      </x:c>
      <x:c r="P117" s="37" t="n">
        <x:v>22357</x:v>
      </x:c>
      <x:c r="Q117" t="n">
        <x:v>42</x:v>
      </x:c>
      <x:c r="R117" t="n">
        <x:v>13</x:v>
      </x:c>
      <x:c r="S117" t="n">
        <x:v>22386</x:v>
      </x:c>
      <x:c r="T117" t="n">
        <x:v>29.1</x:v>
      </x:c>
    </x:row>
    <x:row r="118">
      <x:c r="A118" t="str">
        <x:v>SM0114</x:v>
      </x:c>
      <x:c r="B118" s="43" t="str">
        <x:v>2026-06-24</x:v>
      </x:c>
      <x:c r="C118" t="str">
        <x:v>2026-06</x:v>
      </x:c>
      <x:c r="D118" t="str">
        <x:v>TikTok</x:v>
      </x:c>
      <x:c r="E118" t="str">
        <x:v>Summer Launch</x:v>
      </x:c>
      <x:c r="F118" t="str">
        <x:v>Carousel</x:v>
      </x:c>
      <x:c r="G118" t="str">
        <x:v>Product</x:v>
      </x:c>
      <x:c r="H118" t="n">
        <x:v>0</x:v>
      </x:c>
      <x:c r="I118" t="n">
        <x:v>16650</x:v>
      </x:c>
      <x:c r="J118" t="n">
        <x:v>12280</x:v>
      </x:c>
      <x:c r="K118" t="n">
        <x:v>502</x:v>
      </x:c>
      <x:c r="L118" t="n">
        <x:v>127</x:v>
      </x:c>
      <x:c r="M118" t="n">
        <x:v>10</x:v>
      </x:c>
      <x:c r="N118" t="n">
        <x:v>0</x:v>
      </x:c>
      <x:c r="O118" s="37" t="n">
        <x:v>1275.85</x:v>
      </x:c>
      <x:c r="P118" s="37" t="n">
        <x:v>22386</x:v>
      </x:c>
      <x:c r="Q118" t="n">
        <x:v>28</x:v>
      </x:c>
      <x:c r="R118" t="n">
        <x:v>8</x:v>
      </x:c>
      <x:c r="S118" t="n">
        <x:v>22406</x:v>
      </x:c>
      <x:c r="T118" t="n">
        <x:v>22</x:v>
      </x:c>
    </x:row>
    <x:row r="119">
      <x:c r="A119" t="str">
        <x:v>SM0115</x:v>
      </x:c>
      <x:c r="B119" s="43" t="str">
        <x:v>2026-06-25</x:v>
      </x:c>
      <x:c r="C119" t="str">
        <x:v>2026-06</x:v>
      </x:c>
      <x:c r="D119" t="str">
        <x:v>TikTok</x:v>
      </x:c>
      <x:c r="E119" t="str">
        <x:v>Lead Gen</x:v>
      </x:c>
      <x:c r="F119" t="str">
        <x:v>Static Image</x:v>
      </x:c>
      <x:c r="G119" t="str">
        <x:v>Behind the Scenes</x:v>
      </x:c>
      <x:c r="H119" t="n">
        <x:v>1</x:v>
      </x:c>
      <x:c r="I119" t="n">
        <x:v>7917</x:v>
      </x:c>
      <x:c r="J119" t="n">
        <x:v>5346</x:v>
      </x:c>
      <x:c r="K119" t="n">
        <x:v>344</x:v>
      </x:c>
      <x:c r="L119" t="n">
        <x:v>153</x:v>
      </x:c>
      <x:c r="M119" t="n">
        <x:v>8</x:v>
      </x:c>
      <x:c r="N119" t="n">
        <x:v>344.97</x:v>
      </x:c>
      <x:c r="O119" s="37" t="n">
        <x:v>769.17</x:v>
      </x:c>
      <x:c r="P119" s="37" t="n">
        <x:v>22406</x:v>
      </x:c>
      <x:c r="Q119" t="n">
        <x:v>8</x:v>
      </x:c>
      <x:c r="R119" t="n">
        <x:v>2</x:v>
      </x:c>
      <x:c r="S119" t="n">
        <x:v>22412</x:v>
      </x:c>
      <x:c r="T119" t="n">
        <x:v>11.8</x:v>
      </x:c>
    </x:row>
    <x:row r="120">
      <x:c r="A120" t="str">
        <x:v>SM0116</x:v>
      </x:c>
      <x:c r="B120" s="43" t="str">
        <x:v>2026-06-26</x:v>
      </x:c>
      <x:c r="C120" t="str">
        <x:v>2026-06</x:v>
      </x:c>
      <x:c r="D120" t="str">
        <x:v>TikTok</x:v>
      </x:c>
      <x:c r="E120" t="str">
        <x:v>Brand Trust</x:v>
      </x:c>
      <x:c r="F120" t="str">
        <x:v>Article</x:v>
      </x:c>
      <x:c r="G120" t="str">
        <x:v>Promotion</x:v>
      </x:c>
      <x:c r="H120" t="n">
        <x:v>1</x:v>
      </x:c>
      <x:c r="I120" t="n">
        <x:v>6154</x:v>
      </x:c>
      <x:c r="J120" t="n">
        <x:v>4059</x:v>
      </x:c>
      <x:c r="K120" t="n">
        <x:v>214</x:v>
      </x:c>
      <x:c r="L120" t="n">
        <x:v>106</x:v>
      </x:c>
      <x:c r="M120" t="n">
        <x:v>10</x:v>
      </x:c>
      <x:c r="N120" t="n">
        <x:v>549.87</x:v>
      </x:c>
      <x:c r="O120" s="37" t="n">
        <x:v>1588.45</x:v>
      </x:c>
      <x:c r="P120" s="37" t="n">
        <x:v>22412</x:v>
      </x:c>
      <x:c r="Q120" t="n">
        <x:v>6</x:v>
      </x:c>
      <x:c r="R120" t="n">
        <x:v>1</x:v>
      </x:c>
      <x:c r="S120" t="n">
        <x:v>22417</x:v>
      </x:c>
      <x:c r="T120" t="n">
        <x:v>22</x:v>
      </x:c>
    </x:row>
    <x:row r="121">
      <x:c r="A121" t="str">
        <x:v>SM0117</x:v>
      </x:c>
      <x:c r="B121" s="43" t="str">
        <x:v>2026-06-27</x:v>
      </x:c>
      <x:c r="C121" t="str">
        <x:v>2026-06</x:v>
      </x:c>
      <x:c r="D121" t="str">
        <x:v>TikTok</x:v>
      </x:c>
      <x:c r="E121" t="str">
        <x:v>Always On</x:v>
      </x:c>
      <x:c r="F121" t="str">
        <x:v>Live Clip</x:v>
      </x:c>
      <x:c r="G121" t="str">
        <x:v>Product</x:v>
      </x:c>
      <x:c r="H121" t="n">
        <x:v>0</x:v>
      </x:c>
      <x:c r="I121" t="n">
        <x:v>4233</x:v>
      </x:c>
      <x:c r="J121" t="n">
        <x:v>2717</x:v>
      </x:c>
      <x:c r="K121" t="n">
        <x:v>184</x:v>
      </x:c>
      <x:c r="L121" t="n">
        <x:v>52</x:v>
      </x:c>
      <x:c r="M121" t="n">
        <x:v>5</x:v>
      </x:c>
      <x:c r="N121" t="n">
        <x:v>0</x:v>
      </x:c>
      <x:c r="O121" s="37" t="n">
        <x:v>717.27</x:v>
      </x:c>
      <x:c r="P121" s="37" t="n">
        <x:v>22417</x:v>
      </x:c>
      <x:c r="Q121" t="n">
        <x:v>4</x:v>
      </x:c>
      <x:c r="R121" t="n">
        <x:v>1</x:v>
      </x:c>
      <x:c r="S121" t="n">
        <x:v>22420</x:v>
      </x:c>
      <x:c r="T121" t="n">
        <x:v>38</x:v>
      </x:c>
    </x:row>
    <x:row r="122">
      <x:c r="A122" t="str">
        <x:v>SM0118</x:v>
      </x:c>
      <x:c r="B122" s="43" t="str">
        <x:v>2026-06-28</x:v>
      </x:c>
      <x:c r="C122" t="str">
        <x:v>2026-06</x:v>
      </x:c>
      <x:c r="D122" t="str">
        <x:v>TikTok</x:v>
      </x:c>
      <x:c r="E122" t="str">
        <x:v>Summer Launch</x:v>
      </x:c>
      <x:c r="F122" t="str">
        <x:v>Short Video</x:v>
      </x:c>
      <x:c r="G122" t="str">
        <x:v>Behind the Scenes</x:v>
      </x:c>
      <x:c r="H122" t="n">
        <x:v>0</x:v>
      </x:c>
      <x:c r="I122" t="n">
        <x:v>14814</x:v>
      </x:c>
      <x:c r="J122" t="n">
        <x:v>9799</x:v>
      </x:c>
      <x:c r="K122" t="n">
        <x:v>978</x:v>
      </x:c>
      <x:c r="L122" t="n">
        <x:v>186</x:v>
      </x:c>
      <x:c r="M122" t="n">
        <x:v>14</x:v>
      </x:c>
      <x:c r="N122" t="n">
        <x:v>0</x:v>
      </x:c>
      <x:c r="O122" s="37" t="n">
        <x:v>1489.39</x:v>
      </x:c>
      <x:c r="P122" s="37" t="n">
        <x:v>22420</x:v>
      </x:c>
      <x:c r="Q122" t="n">
        <x:v>20</x:v>
      </x:c>
      <x:c r="R122" t="n">
        <x:v>6</x:v>
      </x:c>
      <x:c r="S122" t="n">
        <x:v>22434</x:v>
      </x:c>
      <x:c r="T122" t="n">
        <x:v>38.7</x:v>
      </x:c>
    </x:row>
    <x:row r="123">
      <x:c r="A123" t="str">
        <x:v>SM0119</x:v>
      </x:c>
      <x:c r="B123" s="43" t="str">
        <x:v>2026-06-29</x:v>
      </x:c>
      <x:c r="C123" t="str">
        <x:v>2026-06</x:v>
      </x:c>
      <x:c r="D123" t="str">
        <x:v>TikTok</x:v>
      </x:c>
      <x:c r="E123" t="str">
        <x:v>Lead Gen</x:v>
      </x:c>
      <x:c r="F123" t="str">
        <x:v>Carousel</x:v>
      </x:c>
      <x:c r="G123" t="str">
        <x:v>Promotion</x:v>
      </x:c>
      <x:c r="H123" t="n">
        <x:v>1</x:v>
      </x:c>
      <x:c r="I123" t="n">
        <x:v>9182</x:v>
      </x:c>
      <x:c r="J123" t="n">
        <x:v>7417</x:v>
      </x:c>
      <x:c r="K123" t="n">
        <x:v>689</x:v>
      </x:c>
      <x:c r="L123" t="n">
        <x:v>75</x:v>
      </x:c>
      <x:c r="M123" t="n">
        <x:v>5</x:v>
      </x:c>
      <x:c r="N123" t="n">
        <x:v>457.25</x:v>
      </x:c>
      <x:c r="O123" s="37" t="n">
        <x:v>661.14</x:v>
      </x:c>
      <x:c r="P123" s="37" t="n">
        <x:v>22434</x:v>
      </x:c>
      <x:c r="Q123" t="n">
        <x:v>12</x:v>
      </x:c>
      <x:c r="R123" t="n">
        <x:v>4</x:v>
      </x:c>
      <x:c r="S123" t="n">
        <x:v>22442</x:v>
      </x:c>
      <x:c r="T123" t="n">
        <x:v>16.8</x:v>
      </x:c>
    </x:row>
    <x:row r="124">
      <x:c r="A124" t="str">
        <x:v>SM0120</x:v>
      </x:c>
      <x:c r="B124" s="43" t="str">
        <x:v>2026-06-30</x:v>
      </x:c>
      <x:c r="C124" t="str">
        <x:v>2026-06</x:v>
      </x:c>
      <x:c r="D124" t="str">
        <x:v>TikTok</x:v>
      </x:c>
      <x:c r="E124" t="str">
        <x:v>Brand Trust</x:v>
      </x:c>
      <x:c r="F124" t="str">
        <x:v>Static Image</x:v>
      </x:c>
      <x:c r="G124" t="str">
        <x:v>Product</x:v>
      </x:c>
      <x:c r="H124" t="n">
        <x:v>0</x:v>
      </x:c>
      <x:c r="I124" t="n">
        <x:v>5736</x:v>
      </x:c>
      <x:c r="J124" t="n">
        <x:v>3847</x:v>
      </x:c>
      <x:c r="K124" t="n">
        <x:v>157</x:v>
      </x:c>
      <x:c r="L124" t="n">
        <x:v>108</x:v>
      </x:c>
      <x:c r="M124" t="n">
        <x:v>11</x:v>
      </x:c>
      <x:c r="N124" t="n">
        <x:v>0</x:v>
      </x:c>
      <x:c r="O124" s="37" t="n">
        <x:v>1658.72</x:v>
      </x:c>
      <x:c r="P124" s="37" t="n">
        <x:v>22442</x:v>
      </x:c>
      <x:c r="Q124" t="n">
        <x:v>8</x:v>
      </x:c>
      <x:c r="R124" t="n">
        <x:v>1</x:v>
      </x:c>
      <x:c r="S124" t="n">
        <x:v>22449</x:v>
      </x:c>
      <x:c r="T124" t="n">
        <x:v>36.9</x:v>
      </x:c>
    </x:row>
    <x:row r="125">
      <x:c r="A125" t="str">
        <x:v>SM0121</x:v>
      </x:c>
      <x:c r="B125" s="43" t="str">
        <x:v>2026-06-01</x:v>
      </x:c>
      <x:c r="C125" t="str">
        <x:v>2026-06</x:v>
      </x:c>
      <x:c r="D125" t="str">
        <x:v>YouTube</x:v>
      </x:c>
      <x:c r="E125" t="str">
        <x:v>Always On</x:v>
      </x:c>
      <x:c r="F125" t="str">
        <x:v>Live Clip</x:v>
      </x:c>
      <x:c r="G125" t="str">
        <x:v>Industry Insight</x:v>
      </x:c>
      <x:c r="H125" t="n">
        <x:v>1</x:v>
      </x:c>
      <x:c r="I125" t="n">
        <x:v>6802</x:v>
      </x:c>
      <x:c r="J125" t="n">
        <x:v>5161</x:v>
      </x:c>
      <x:c r="K125" t="n">
        <x:v>227</x:v>
      </x:c>
      <x:c r="L125" t="n">
        <x:v>56</x:v>
      </x:c>
      <x:c r="M125" t="n">
        <x:v>3</x:v>
      </x:c>
      <x:c r="N125" t="n">
        <x:v>1077.22</x:v>
      </x:c>
      <x:c r="O125" s="37" t="n">
        <x:v>427.06</x:v>
      </x:c>
      <x:c r="P125" s="37" t="n">
        <x:v>9700</x:v>
      </x:c>
      <x:c r="Q125" t="n">
        <x:v>4</x:v>
      </x:c>
      <x:c r="R125" t="n">
        <x:v>1</x:v>
      </x:c>
      <x:c r="S125" t="n">
        <x:v>9703</x:v>
      </x:c>
      <x:c r="T125" t="n">
        <x:v>36.1</x:v>
      </x:c>
    </x:row>
    <x:row r="126">
      <x:c r="A126" t="str">
        <x:v>SM0122</x:v>
      </x:c>
      <x:c r="B126" s="43" t="str">
        <x:v>2026-06-02</x:v>
      </x:c>
      <x:c r="C126" t="str">
        <x:v>2026-06</x:v>
      </x:c>
      <x:c r="D126" t="str">
        <x:v>YouTube</x:v>
      </x:c>
      <x:c r="E126" t="str">
        <x:v>Summer Launch</x:v>
      </x:c>
      <x:c r="F126" t="str">
        <x:v>Short Video</x:v>
      </x:c>
      <x:c r="G126" t="str">
        <x:v>Education</x:v>
      </x:c>
      <x:c r="H126" t="n">
        <x:v>0</x:v>
      </x:c>
      <x:c r="I126" t="n">
        <x:v>10084</x:v>
      </x:c>
      <x:c r="J126" t="n">
        <x:v>7346</x:v>
      </x:c>
      <x:c r="K126" t="n">
        <x:v>413</x:v>
      </x:c>
      <x:c r="L126" t="n">
        <x:v>218</x:v>
      </x:c>
      <x:c r="M126" t="n">
        <x:v>13</x:v>
      </x:c>
      <x:c r="N126" t="n">
        <x:v>0</x:v>
      </x:c>
      <x:c r="O126" s="37" t="n">
        <x:v>1206.16</x:v>
      </x:c>
      <x:c r="P126" s="37" t="n">
        <x:v>9703</x:v>
      </x:c>
      <x:c r="Q126" t="n">
        <x:v>12</x:v>
      </x:c>
      <x:c r="R126" t="n">
        <x:v>3</x:v>
      </x:c>
      <x:c r="S126" t="n">
        <x:v>9712</x:v>
      </x:c>
      <x:c r="T126" t="n">
        <x:v>37</x:v>
      </x:c>
    </x:row>
    <x:row r="127">
      <x:c r="A127" t="str">
        <x:v>SM0123</x:v>
      </x:c>
      <x:c r="B127" s="43" t="str">
        <x:v>2026-06-03</x:v>
      </x:c>
      <x:c r="C127" t="str">
        <x:v>2026-06</x:v>
      </x:c>
      <x:c r="D127" t="str">
        <x:v>YouTube</x:v>
      </x:c>
      <x:c r="E127" t="str">
        <x:v>Lead Gen</x:v>
      </x:c>
      <x:c r="F127" t="str">
        <x:v>Carousel</x:v>
      </x:c>
      <x:c r="G127" t="str">
        <x:v>Customer Story</x:v>
      </x:c>
      <x:c r="H127" t="n">
        <x:v>0</x:v>
      </x:c>
      <x:c r="I127" t="n">
        <x:v>6788</x:v>
      </x:c>
      <x:c r="J127" t="n">
        <x:v>4749</x:v>
      </x:c>
      <x:c r="K127" t="n">
        <x:v>145</x:v>
      </x:c>
      <x:c r="L127" t="n">
        <x:v>137</x:v>
      </x:c>
      <x:c r="M127" t="n">
        <x:v>15</x:v>
      </x:c>
      <x:c r="N127" t="n">
        <x:v>0</x:v>
      </x:c>
      <x:c r="O127" s="37" t="n">
        <x:v>2170.98</x:v>
      </x:c>
      <x:c r="P127" s="37" t="n">
        <x:v>9712</x:v>
      </x:c>
      <x:c r="Q127" t="n">
        <x:v>4</x:v>
      </x:c>
      <x:c r="R127" t="n">
        <x:v>1</x:v>
      </x:c>
      <x:c r="S127" t="n">
        <x:v>9715</x:v>
      </x:c>
      <x:c r="T127" t="n">
        <x:v>38.9</x:v>
      </x:c>
    </x:row>
    <x:row r="128">
      <x:c r="A128" t="str">
        <x:v>SM0124</x:v>
      </x:c>
      <x:c r="B128" s="43" t="str">
        <x:v>2026-06-04</x:v>
      </x:c>
      <x:c r="C128" t="str">
        <x:v>2026-06</x:v>
      </x:c>
      <x:c r="D128" t="str">
        <x:v>YouTube</x:v>
      </x:c>
      <x:c r="E128" t="str">
        <x:v>Brand Trust</x:v>
      </x:c>
      <x:c r="F128" t="str">
        <x:v>Static Image</x:v>
      </x:c>
      <x:c r="G128" t="str">
        <x:v>Industry Insight</x:v>
      </x:c>
      <x:c r="H128" t="n">
        <x:v>0</x:v>
      </x:c>
      <x:c r="I128" t="n">
        <x:v>11526</x:v>
      </x:c>
      <x:c r="J128" t="n">
        <x:v>8516</x:v>
      </x:c>
      <x:c r="K128" t="n">
        <x:v>524</x:v>
      </x:c>
      <x:c r="L128" t="n">
        <x:v>302</x:v>
      </x:c>
      <x:c r="M128" t="n">
        <x:v>15</x:v>
      </x:c>
      <x:c r="N128" t="n">
        <x:v>0</x:v>
      </x:c>
      <x:c r="O128" s="37" t="n">
        <x:v>2676.74</x:v>
      </x:c>
      <x:c r="P128" s="37" t="n">
        <x:v>9715</x:v>
      </x:c>
      <x:c r="Q128" t="n">
        <x:v>19</x:v>
      </x:c>
      <x:c r="R128" t="n">
        <x:v>6</x:v>
      </x:c>
      <x:c r="S128" t="n">
        <x:v>9728</x:v>
      </x:c>
      <x:c r="T128" t="n">
        <x:v>28.3</x:v>
      </x:c>
    </x:row>
    <x:row r="129">
      <x:c r="A129" t="str">
        <x:v>SM0125</x:v>
      </x:c>
      <x:c r="B129" s="43" t="str">
        <x:v>2026-06-05</x:v>
      </x:c>
      <x:c r="C129" t="str">
        <x:v>2026-06</x:v>
      </x:c>
      <x:c r="D129" t="str">
        <x:v>YouTube</x:v>
      </x:c>
      <x:c r="E129" t="str">
        <x:v>Always On</x:v>
      </x:c>
      <x:c r="F129" t="str">
        <x:v>Article</x:v>
      </x:c>
      <x:c r="G129" t="str">
        <x:v>Education</x:v>
      </x:c>
      <x:c r="H129" t="n">
        <x:v>1</x:v>
      </x:c>
      <x:c r="I129" t="n">
        <x:v>3998</x:v>
      </x:c>
      <x:c r="J129" t="n">
        <x:v>3018</x:v>
      </x:c>
      <x:c r="K129" t="n">
        <x:v>95</x:v>
      </x:c>
      <x:c r="L129" t="n">
        <x:v>88</x:v>
      </x:c>
      <x:c r="M129" t="n">
        <x:v>9</x:v>
      </x:c>
      <x:c r="N129" t="n">
        <x:v>511.47</x:v>
      </x:c>
      <x:c r="O129" s="37" t="n">
        <x:v>857.63</x:v>
      </x:c>
      <x:c r="P129" s="37" t="n">
        <x:v>9728</x:v>
      </x:c>
      <x:c r="Q129" t="n">
        <x:v>3</x:v>
      </x:c>
      <x:c r="R129" t="n">
        <x:v>1</x:v>
      </x:c>
      <x:c r="S129" t="n">
        <x:v>9730</x:v>
      </x:c>
      <x:c r="T129" t="n">
        <x:v>24.4</x:v>
      </x:c>
    </x:row>
    <x:row r="130">
      <x:c r="A130" t="str">
        <x:v>SM0126</x:v>
      </x:c>
      <x:c r="B130" s="43" t="str">
        <x:v>2026-06-06</x:v>
      </x:c>
      <x:c r="C130" t="str">
        <x:v>2026-06</x:v>
      </x:c>
      <x:c r="D130" t="str">
        <x:v>YouTube</x:v>
      </x:c>
      <x:c r="E130" t="str">
        <x:v>Summer Launch</x:v>
      </x:c>
      <x:c r="F130" t="str">
        <x:v>Live Clip</x:v>
      </x:c>
      <x:c r="G130" t="str">
        <x:v>Customer Story</x:v>
      </x:c>
      <x:c r="H130" t="n">
        <x:v>0</x:v>
      </x:c>
      <x:c r="I130" t="n">
        <x:v>8261</x:v>
      </x:c>
      <x:c r="J130" t="n">
        <x:v>6588</x:v>
      </x:c>
      <x:c r="K130" t="n">
        <x:v>440</x:v>
      </x:c>
      <x:c r="L130" t="n">
        <x:v>141</x:v>
      </x:c>
      <x:c r="M130" t="n">
        <x:v>13</x:v>
      </x:c>
      <x:c r="N130" t="n">
        <x:v>0</x:v>
      </x:c>
      <x:c r="O130" s="37" t="n">
        <x:v>1037.91</x:v>
      </x:c>
      <x:c r="P130" s="37" t="n">
        <x:v>9730</x:v>
      </x:c>
      <x:c r="Q130" t="n">
        <x:v>6</x:v>
      </x:c>
      <x:c r="R130" t="n">
        <x:v>1</x:v>
      </x:c>
      <x:c r="S130" t="n">
        <x:v>9735</x:v>
      </x:c>
      <x:c r="T130" t="n">
        <x:v>31.2</x:v>
      </x:c>
    </x:row>
    <x:row r="131">
      <x:c r="A131" t="str">
        <x:v>SM0127</x:v>
      </x:c>
      <x:c r="B131" s="43" t="str">
        <x:v>2026-06-07</x:v>
      </x:c>
      <x:c r="C131" t="str">
        <x:v>2026-06</x:v>
      </x:c>
      <x:c r="D131" t="str">
        <x:v>YouTube</x:v>
      </x:c>
      <x:c r="E131" t="str">
        <x:v>Lead Gen</x:v>
      </x:c>
      <x:c r="F131" t="str">
        <x:v>Short Video</x:v>
      </x:c>
      <x:c r="G131" t="str">
        <x:v>Industry Insight</x:v>
      </x:c>
      <x:c r="H131" t="n">
        <x:v>0</x:v>
      </x:c>
      <x:c r="I131" t="n">
        <x:v>12554</x:v>
      </x:c>
      <x:c r="J131" t="n">
        <x:v>9396</x:v>
      </x:c>
      <x:c r="K131" t="n">
        <x:v>415</x:v>
      </x:c>
      <x:c r="L131" t="n">
        <x:v>347</x:v>
      </x:c>
      <x:c r="M131" t="n">
        <x:v>27</x:v>
      </x:c>
      <x:c r="N131" t="n">
        <x:v>0</x:v>
      </x:c>
      <x:c r="O131" s="37" t="n">
        <x:v>5020.81</x:v>
      </x:c>
      <x:c r="P131" s="37" t="n">
        <x:v>9735</x:v>
      </x:c>
      <x:c r="Q131" t="n">
        <x:v>10</x:v>
      </x:c>
      <x:c r="R131" t="n">
        <x:v>3</x:v>
      </x:c>
      <x:c r="S131" t="n">
        <x:v>9742</x:v>
      </x:c>
      <x:c r="T131" t="n">
        <x:v>41.9</x:v>
      </x:c>
    </x:row>
    <x:row r="132">
      <x:c r="A132" t="str">
        <x:v>SM0128</x:v>
      </x:c>
      <x:c r="B132" s="43" t="str">
        <x:v>2026-06-08</x:v>
      </x:c>
      <x:c r="C132" t="str">
        <x:v>2026-06</x:v>
      </x:c>
      <x:c r="D132" t="str">
        <x:v>YouTube</x:v>
      </x:c>
      <x:c r="E132" t="str">
        <x:v>Brand Trust</x:v>
      </x:c>
      <x:c r="F132" t="str">
        <x:v>Carousel</x:v>
      </x:c>
      <x:c r="G132" t="str">
        <x:v>Education</x:v>
      </x:c>
      <x:c r="H132" t="n">
        <x:v>0</x:v>
      </x:c>
      <x:c r="I132" t="n">
        <x:v>6135</x:v>
      </x:c>
      <x:c r="J132" t="n">
        <x:v>4841</x:v>
      </x:c>
      <x:c r="K132" t="n">
        <x:v>379</x:v>
      </x:c>
      <x:c r="L132" t="n">
        <x:v>112</x:v>
      </x:c>
      <x:c r="M132" t="n">
        <x:v>10</x:v>
      </x:c>
      <x:c r="N132" t="n">
        <x:v>0</x:v>
      </x:c>
      <x:c r="O132" s="37" t="n">
        <x:v>857.07</x:v>
      </x:c>
      <x:c r="P132" s="37" t="n">
        <x:v>9742</x:v>
      </x:c>
      <x:c r="Q132" t="n">
        <x:v>6</x:v>
      </x:c>
      <x:c r="R132" t="n">
        <x:v>1</x:v>
      </x:c>
      <x:c r="S132" t="n">
        <x:v>9747</x:v>
      </x:c>
      <x:c r="T132" t="n">
        <x:v>7.4</x:v>
      </x:c>
    </x:row>
    <x:row r="133">
      <x:c r="A133" t="str">
        <x:v>SM0129</x:v>
      </x:c>
      <x:c r="B133" s="43" t="str">
        <x:v>2026-06-09</x:v>
      </x:c>
      <x:c r="C133" t="str">
        <x:v>2026-06</x:v>
      </x:c>
      <x:c r="D133" t="str">
        <x:v>YouTube</x:v>
      </x:c>
      <x:c r="E133" t="str">
        <x:v>Always On</x:v>
      </x:c>
      <x:c r="F133" t="str">
        <x:v>Static Image</x:v>
      </x:c>
      <x:c r="G133" t="str">
        <x:v>Customer Story</x:v>
      </x:c>
      <x:c r="H133" t="n">
        <x:v>1</x:v>
      </x:c>
      <x:c r="I133" t="n">
        <x:v>9634</x:v>
      </x:c>
      <x:c r="J133" t="n">
        <x:v>7199</x:v>
      </x:c>
      <x:c r="K133" t="n">
        <x:v>399</x:v>
      </x:c>
      <x:c r="L133" t="n">
        <x:v>205</x:v>
      </x:c>
      <x:c r="M133" t="n">
        <x:v>21</x:v>
      </x:c>
      <x:c r="N133" t="n">
        <x:v>927.83</x:v>
      </x:c>
      <x:c r="O133" s="37" t="n">
        <x:v>2781</x:v>
      </x:c>
      <x:c r="P133" s="37" t="n">
        <x:v>9747</x:v>
      </x:c>
      <x:c r="Q133" t="n">
        <x:v>13</x:v>
      </x:c>
      <x:c r="R133" t="n">
        <x:v>3</x:v>
      </x:c>
      <x:c r="S133" t="n">
        <x:v>9757</x:v>
      </x:c>
      <x:c r="T133" t="n">
        <x:v>35.3</x:v>
      </x:c>
    </x:row>
    <x:row r="134">
      <x:c r="A134" t="str">
        <x:v>SM0130</x:v>
      </x:c>
      <x:c r="B134" s="43" t="str">
        <x:v>2026-06-10</x:v>
      </x:c>
      <x:c r="C134" t="str">
        <x:v>2026-06</x:v>
      </x:c>
      <x:c r="D134" t="str">
        <x:v>YouTube</x:v>
      </x:c>
      <x:c r="E134" t="str">
        <x:v>Summer Launch</x:v>
      </x:c>
      <x:c r="F134" t="str">
        <x:v>Article</x:v>
      </x:c>
      <x:c r="G134" t="str">
        <x:v>Industry Insight</x:v>
      </x:c>
      <x:c r="H134" t="n">
        <x:v>0</x:v>
      </x:c>
      <x:c r="I134" t="n">
        <x:v>5894</x:v>
      </x:c>
      <x:c r="J134" t="n">
        <x:v>4633</x:v>
      </x:c>
      <x:c r="K134" t="n">
        <x:v>294</x:v>
      </x:c>
      <x:c r="L134" t="n">
        <x:v>82</x:v>
      </x:c>
      <x:c r="M134" t="n">
        <x:v>3</x:v>
      </x:c>
      <x:c r="N134" t="n">
        <x:v>0</x:v>
      </x:c>
      <x:c r="O134" s="37" t="n">
        <x:v>346.47</x:v>
      </x:c>
      <x:c r="P134" s="37" t="n">
        <x:v>9757</x:v>
      </x:c>
      <x:c r="Q134" t="n">
        <x:v>8</x:v>
      </x:c>
      <x:c r="R134" t="n">
        <x:v>2</x:v>
      </x:c>
      <x:c r="S134" t="n">
        <x:v>9763</x:v>
      </x:c>
      <x:c r="T134" t="n">
        <x:v>29.8</x:v>
      </x:c>
    </x:row>
    <x:row r="135">
      <x:c r="A135" t="str">
        <x:v>SM0131</x:v>
      </x:c>
      <x:c r="B135" s="43" t="str">
        <x:v>2026-06-11</x:v>
      </x:c>
      <x:c r="C135" t="str">
        <x:v>2026-06</x:v>
      </x:c>
      <x:c r="D135" t="str">
        <x:v>YouTube</x:v>
      </x:c>
      <x:c r="E135" t="str">
        <x:v>Lead Gen</x:v>
      </x:c>
      <x:c r="F135" t="str">
        <x:v>Live Clip</x:v>
      </x:c>
      <x:c r="G135" t="str">
        <x:v>Education</x:v>
      </x:c>
      <x:c r="H135" t="n">
        <x:v>0</x:v>
      </x:c>
      <x:c r="I135" t="n">
        <x:v>13062</x:v>
      </x:c>
      <x:c r="J135" t="n">
        <x:v>9938</x:v>
      </x:c>
      <x:c r="K135" t="n">
        <x:v>392</x:v>
      </x:c>
      <x:c r="L135" t="n">
        <x:v>358</x:v>
      </x:c>
      <x:c r="M135" t="n">
        <x:v>31</x:v>
      </x:c>
      <x:c r="N135" t="n">
        <x:v>0</x:v>
      </x:c>
      <x:c r="O135" s="37" t="n">
        <x:v>2702.64</x:v>
      </x:c>
      <x:c r="P135" s="37" t="n">
        <x:v>9763</x:v>
      </x:c>
      <x:c r="Q135" t="n">
        <x:v>19</x:v>
      </x:c>
      <x:c r="R135" t="n">
        <x:v>4</x:v>
      </x:c>
      <x:c r="S135" t="n">
        <x:v>9778</x:v>
      </x:c>
      <x:c r="T135" t="n">
        <x:v>16.3</x:v>
      </x:c>
    </x:row>
    <x:row r="136">
      <x:c r="A136" t="str">
        <x:v>SM0132</x:v>
      </x:c>
      <x:c r="B136" s="43" t="str">
        <x:v>2026-06-12</x:v>
      </x:c>
      <x:c r="C136" t="str">
        <x:v>2026-06</x:v>
      </x:c>
      <x:c r="D136" t="str">
        <x:v>YouTube</x:v>
      </x:c>
      <x:c r="E136" t="str">
        <x:v>Brand Trust</x:v>
      </x:c>
      <x:c r="F136" t="str">
        <x:v>Short Video</x:v>
      </x:c>
      <x:c r="G136" t="str">
        <x:v>Customer Story</x:v>
      </x:c>
      <x:c r="H136" t="n">
        <x:v>0</x:v>
      </x:c>
      <x:c r="I136" t="n">
        <x:v>5556</x:v>
      </x:c>
      <x:c r="J136" t="n">
        <x:v>3991</x:v>
      </x:c>
      <x:c r="K136" t="n">
        <x:v>221</x:v>
      </x:c>
      <x:c r="L136" t="n">
        <x:v>73</x:v>
      </x:c>
      <x:c r="M136" t="n">
        <x:v>6</x:v>
      </x:c>
      <x:c r="N136" t="n">
        <x:v>0</x:v>
      </x:c>
      <x:c r="O136" s="37" t="n">
        <x:v>807.29</x:v>
      </x:c>
      <x:c r="P136" s="37" t="n">
        <x:v>9778</x:v>
      </x:c>
      <x:c r="Q136" t="n">
        <x:v>7</x:v>
      </x:c>
      <x:c r="R136" t="n">
        <x:v>1</x:v>
      </x:c>
      <x:c r="S136" t="n">
        <x:v>9784</x:v>
      </x:c>
      <x:c r="T136" t="n">
        <x:v>18.6</x:v>
      </x:c>
    </x:row>
    <x:row r="137">
      <x:c r="A137" t="str">
        <x:v>SM0133</x:v>
      </x:c>
      <x:c r="B137" s="43" t="str">
        <x:v>2026-06-13</x:v>
      </x:c>
      <x:c r="C137" t="str">
        <x:v>2026-06</x:v>
      </x:c>
      <x:c r="D137" t="str">
        <x:v>YouTube</x:v>
      </x:c>
      <x:c r="E137" t="str">
        <x:v>Always On</x:v>
      </x:c>
      <x:c r="F137" t="str">
        <x:v>Carousel</x:v>
      </x:c>
      <x:c r="G137" t="str">
        <x:v>Industry Insight</x:v>
      </x:c>
      <x:c r="H137" t="n">
        <x:v>1</x:v>
      </x:c>
      <x:c r="I137" t="n">
        <x:v>8335</x:v>
      </x:c>
      <x:c r="J137" t="n">
        <x:v>5486</x:v>
      </x:c>
      <x:c r="K137" t="n">
        <x:v>440</x:v>
      </x:c>
      <x:c r="L137" t="n">
        <x:v>237</x:v>
      </x:c>
      <x:c r="M137" t="n">
        <x:v>9</x:v>
      </x:c>
      <x:c r="N137" t="n">
        <x:v>387.57</x:v>
      </x:c>
      <x:c r="O137" s="37" t="n">
        <x:v>1593.13</x:v>
      </x:c>
      <x:c r="P137" s="37" t="n">
        <x:v>9784</x:v>
      </x:c>
      <x:c r="Q137" t="n">
        <x:v>9</x:v>
      </x:c>
      <x:c r="R137" t="n">
        <x:v>1</x:v>
      </x:c>
      <x:c r="S137" t="n">
        <x:v>9792</x:v>
      </x:c>
      <x:c r="T137" t="n">
        <x:v>33.1</x:v>
      </x:c>
    </x:row>
    <x:row r="138">
      <x:c r="A138" t="str">
        <x:v>SM0134</x:v>
      </x:c>
      <x:c r="B138" s="43" t="str">
        <x:v>2026-06-14</x:v>
      </x:c>
      <x:c r="C138" t="str">
        <x:v>2026-06</x:v>
      </x:c>
      <x:c r="D138" t="str">
        <x:v>YouTube</x:v>
      </x:c>
      <x:c r="E138" t="str">
        <x:v>Summer Launch</x:v>
      </x:c>
      <x:c r="F138" t="str">
        <x:v>Static Image</x:v>
      </x:c>
      <x:c r="G138" t="str">
        <x:v>Education</x:v>
      </x:c>
      <x:c r="H138" t="n">
        <x:v>0</x:v>
      </x:c>
      <x:c r="I138" t="n">
        <x:v>7022</x:v>
      </x:c>
      <x:c r="J138" t="n">
        <x:v>4896</x:v>
      </x:c>
      <x:c r="K138" t="n">
        <x:v>179</x:v>
      </x:c>
      <x:c r="L138" t="n">
        <x:v>63</x:v>
      </x:c>
      <x:c r="M138" t="n">
        <x:v>7</x:v>
      </x:c>
      <x:c r="N138" t="n">
        <x:v>0</x:v>
      </x:c>
      <x:c r="O138" s="37" t="n">
        <x:v>1249.8</x:v>
      </x:c>
      <x:c r="P138" s="37" t="n">
        <x:v>9792</x:v>
      </x:c>
      <x:c r="Q138" t="n">
        <x:v>7</x:v>
      </x:c>
      <x:c r="R138" t="n">
        <x:v>1</x:v>
      </x:c>
      <x:c r="S138" t="n">
        <x:v>9798</x:v>
      </x:c>
      <x:c r="T138" t="n">
        <x:v>9.7</x:v>
      </x:c>
    </x:row>
    <x:row r="139">
      <x:c r="A139" t="str">
        <x:v>SM0135</x:v>
      </x:c>
      <x:c r="B139" s="43" t="str">
        <x:v>2026-06-15</x:v>
      </x:c>
      <x:c r="C139" t="str">
        <x:v>2026-06</x:v>
      </x:c>
      <x:c r="D139" t="str">
        <x:v>YouTube</x:v>
      </x:c>
      <x:c r="E139" t="str">
        <x:v>Lead Gen</x:v>
      </x:c>
      <x:c r="F139" t="str">
        <x:v>Article</x:v>
      </x:c>
      <x:c r="G139" t="str">
        <x:v>Customer Story</x:v>
      </x:c>
      <x:c r="H139" t="n">
        <x:v>0</x:v>
      </x:c>
      <x:c r="I139" t="n">
        <x:v>6995</x:v>
      </x:c>
      <x:c r="J139" t="n">
        <x:v>5038</x:v>
      </x:c>
      <x:c r="K139" t="n">
        <x:v>266</x:v>
      </x:c>
      <x:c r="L139" t="n">
        <x:v>171</x:v>
      </x:c>
      <x:c r="M139" t="n">
        <x:v>14</x:v>
      </x:c>
      <x:c r="N139" t="n">
        <x:v>0</x:v>
      </x:c>
      <x:c r="O139" s="37" t="n">
        <x:v>2478.54</x:v>
      </x:c>
      <x:c r="P139" s="37" t="n">
        <x:v>9798</x:v>
      </x:c>
      <x:c r="Q139" t="n">
        <x:v>8</x:v>
      </x:c>
      <x:c r="R139" t="n">
        <x:v>2</x:v>
      </x:c>
      <x:c r="S139" t="n">
        <x:v>9804</x:v>
      </x:c>
      <x:c r="T139" t="n">
        <x:v>11.4</x:v>
      </x:c>
    </x:row>
    <x:row r="140">
      <x:c r="A140" t="str">
        <x:v>SM0136</x:v>
      </x:c>
      <x:c r="B140" s="43" t="str">
        <x:v>2026-06-16</x:v>
      </x:c>
      <x:c r="C140" t="str">
        <x:v>2026-06</x:v>
      </x:c>
      <x:c r="D140" t="str">
        <x:v>YouTube</x:v>
      </x:c>
      <x:c r="E140" t="str">
        <x:v>Brand Trust</x:v>
      </x:c>
      <x:c r="F140" t="str">
        <x:v>Live Clip</x:v>
      </x:c>
      <x:c r="G140" t="str">
        <x:v>Industry Insight</x:v>
      </x:c>
      <x:c r="H140" t="n">
        <x:v>0</x:v>
      </x:c>
      <x:c r="I140" t="n">
        <x:v>11483</x:v>
      </x:c>
      <x:c r="J140" t="n">
        <x:v>8185</x:v>
      </x:c>
      <x:c r="K140" t="n">
        <x:v>455</x:v>
      </x:c>
      <x:c r="L140" t="n">
        <x:v>324</x:v>
      </x:c>
      <x:c r="M140" t="n">
        <x:v>22</x:v>
      </x:c>
      <x:c r="N140" t="n">
        <x:v>0</x:v>
      </x:c>
      <x:c r="O140" s="37" t="n">
        <x:v>3661.16</x:v>
      </x:c>
      <x:c r="P140" s="37" t="n">
        <x:v>9804</x:v>
      </x:c>
      <x:c r="Q140" t="n">
        <x:v>13</x:v>
      </x:c>
      <x:c r="R140" t="n">
        <x:v>5</x:v>
      </x:c>
      <x:c r="S140" t="n">
        <x:v>9812</x:v>
      </x:c>
      <x:c r="T140" t="n">
        <x:v>42.4</x:v>
      </x:c>
    </x:row>
    <x:row r="141">
      <x:c r="A141" t="str">
        <x:v>SM0137</x:v>
      </x:c>
      <x:c r="B141" s="43" t="str">
        <x:v>2026-06-17</x:v>
      </x:c>
      <x:c r="C141" t="str">
        <x:v>2026-06</x:v>
      </x:c>
      <x:c r="D141" t="str">
        <x:v>YouTube</x:v>
      </x:c>
      <x:c r="E141" t="str">
        <x:v>Always On</x:v>
      </x:c>
      <x:c r="F141" t="str">
        <x:v>Short Video</x:v>
      </x:c>
      <x:c r="G141" t="str">
        <x:v>Education</x:v>
      </x:c>
      <x:c r="H141" t="n">
        <x:v>1</x:v>
      </x:c>
      <x:c r="I141" t="n">
        <x:v>14900</x:v>
      </x:c>
      <x:c r="J141" t="n">
        <x:v>10467</x:v>
      </x:c>
      <x:c r="K141" t="n">
        <x:v>503</x:v>
      </x:c>
      <x:c r="L141" t="n">
        <x:v>331</x:v>
      </x:c>
      <x:c r="M141" t="n">
        <x:v>33</x:v>
      </x:c>
      <x:c r="N141" t="n">
        <x:v>243.69</x:v>
      </x:c>
      <x:c r="O141" s="37" t="n">
        <x:v>5727.76</x:v>
      </x:c>
      <x:c r="P141" s="37" t="n">
        <x:v>9812</x:v>
      </x:c>
      <x:c r="Q141" t="n">
        <x:v>22</x:v>
      </x:c>
      <x:c r="R141" t="n">
        <x:v>5</x:v>
      </x:c>
      <x:c r="S141" t="n">
        <x:v>9829</x:v>
      </x:c>
      <x:c r="T141" t="n">
        <x:v>23</x:v>
      </x:c>
    </x:row>
    <x:row r="142">
      <x:c r="A142" t="str">
        <x:v>SM0138</x:v>
      </x:c>
      <x:c r="B142" s="43" t="str">
        <x:v>2026-06-18</x:v>
      </x:c>
      <x:c r="C142" t="str">
        <x:v>2026-06</x:v>
      </x:c>
      <x:c r="D142" t="str">
        <x:v>YouTube</x:v>
      </x:c>
      <x:c r="E142" t="str">
        <x:v>Summer Launch</x:v>
      </x:c>
      <x:c r="F142" t="str">
        <x:v>Carousel</x:v>
      </x:c>
      <x:c r="G142" t="str">
        <x:v>Customer Story</x:v>
      </x:c>
      <x:c r="H142" t="n">
        <x:v>0</x:v>
      </x:c>
      <x:c r="I142" t="n">
        <x:v>4978</x:v>
      </x:c>
      <x:c r="J142" t="n">
        <x:v>3840</x:v>
      </x:c>
      <x:c r="K142" t="n">
        <x:v>165</x:v>
      </x:c>
      <x:c r="L142" t="n">
        <x:v>145</x:v>
      </x:c>
      <x:c r="M142" t="n">
        <x:v>13</x:v>
      </x:c>
      <x:c r="N142" t="n">
        <x:v>0</x:v>
      </x:c>
      <x:c r="O142" s="37" t="n">
        <x:v>1785.14</x:v>
      </x:c>
      <x:c r="P142" s="37" t="n">
        <x:v>9829</x:v>
      </x:c>
      <x:c r="Q142" t="n">
        <x:v>4</x:v>
      </x:c>
      <x:c r="R142" t="n">
        <x:v>1</x:v>
      </x:c>
      <x:c r="S142" t="n">
        <x:v>9832</x:v>
      </x:c>
      <x:c r="T142" t="n">
        <x:v>26.7</x:v>
      </x:c>
    </x:row>
    <x:row r="143">
      <x:c r="A143" t="str">
        <x:v>SM0139</x:v>
      </x:c>
      <x:c r="B143" s="43" t="str">
        <x:v>2026-06-19</x:v>
      </x:c>
      <x:c r="C143" t="str">
        <x:v>2026-06</x:v>
      </x:c>
      <x:c r="D143" t="str">
        <x:v>YouTube</x:v>
      </x:c>
      <x:c r="E143" t="str">
        <x:v>Lead Gen</x:v>
      </x:c>
      <x:c r="F143" t="str">
        <x:v>Static Image</x:v>
      </x:c>
      <x:c r="G143" t="str">
        <x:v>Industry Insight</x:v>
      </x:c>
      <x:c r="H143" t="n">
        <x:v>0</x:v>
      </x:c>
      <x:c r="I143" t="n">
        <x:v>11675</x:v>
      </x:c>
      <x:c r="J143" t="n">
        <x:v>9024</x:v>
      </x:c>
      <x:c r="K143" t="n">
        <x:v>259</x:v>
      </x:c>
      <x:c r="L143" t="n">
        <x:v>132</x:v>
      </x:c>
      <x:c r="M143" t="n">
        <x:v>6</x:v>
      </x:c>
      <x:c r="N143" t="n">
        <x:v>0</x:v>
      </x:c>
      <x:c r="O143" s="37" t="n">
        <x:v>1032.17</x:v>
      </x:c>
      <x:c r="P143" s="37" t="n">
        <x:v>9832</x:v>
      </x:c>
      <x:c r="Q143" t="n">
        <x:v>20</x:v>
      </x:c>
      <x:c r="R143" t="n">
        <x:v>3</x:v>
      </x:c>
      <x:c r="S143" t="n">
        <x:v>9849</x:v>
      </x:c>
      <x:c r="T143" t="n">
        <x:v>37.6</x:v>
      </x:c>
    </x:row>
    <x:row r="144">
      <x:c r="A144" t="str">
        <x:v>SM0140</x:v>
      </x:c>
      <x:c r="B144" s="43" t="str">
        <x:v>2026-06-20</x:v>
      </x:c>
      <x:c r="C144" t="str">
        <x:v>2026-06</x:v>
      </x:c>
      <x:c r="D144" t="str">
        <x:v>YouTube</x:v>
      </x:c>
      <x:c r="E144" t="str">
        <x:v>Brand Trust</x:v>
      </x:c>
      <x:c r="F144" t="str">
        <x:v>Article</x:v>
      </x:c>
      <x:c r="G144" t="str">
        <x:v>Education</x:v>
      </x:c>
      <x:c r="H144" t="n">
        <x:v>0</x:v>
      </x:c>
      <x:c r="I144" t="n">
        <x:v>5460</x:v>
      </x:c>
      <x:c r="J144" t="n">
        <x:v>4300</x:v>
      </x:c>
      <x:c r="K144" t="n">
        <x:v>306</x:v>
      </x:c>
      <x:c r="L144" t="n">
        <x:v>52</x:v>
      </x:c>
      <x:c r="M144" t="n">
        <x:v>5</x:v>
      </x:c>
      <x:c r="N144" t="n">
        <x:v>0</x:v>
      </x:c>
      <x:c r="O144" s="37" t="n">
        <x:v>536.25</x:v>
      </x:c>
      <x:c r="P144" s="37" t="n">
        <x:v>9849</x:v>
      </x:c>
      <x:c r="Q144" t="n">
        <x:v>4</x:v>
      </x:c>
      <x:c r="R144" t="n">
        <x:v>1</x:v>
      </x:c>
      <x:c r="S144" t="n">
        <x:v>9852</x:v>
      </x:c>
      <x:c r="T144" t="n">
        <x:v>37.2</x:v>
      </x:c>
    </x:row>
    <x:row r="145">
      <x:c r="A145" t="str">
        <x:v>SM0141</x:v>
      </x:c>
      <x:c r="B145" s="43" t="str">
        <x:v>2026-06-21</x:v>
      </x:c>
      <x:c r="C145" t="str">
        <x:v>2026-06</x:v>
      </x:c>
      <x:c r="D145" t="str">
        <x:v>YouTube</x:v>
      </x:c>
      <x:c r="E145" t="str">
        <x:v>Always On</x:v>
      </x:c>
      <x:c r="F145" t="str">
        <x:v>Live Clip</x:v>
      </x:c>
      <x:c r="G145" t="str">
        <x:v>Customer Story</x:v>
      </x:c>
      <x:c r="H145" t="n">
        <x:v>1</x:v>
      </x:c>
      <x:c r="I145" t="n">
        <x:v>5746</x:v>
      </x:c>
      <x:c r="J145" t="n">
        <x:v>4512</x:v>
      </x:c>
      <x:c r="K145" t="n">
        <x:v>147</x:v>
      </x:c>
      <x:c r="L145" t="n">
        <x:v>46</x:v>
      </x:c>
      <x:c r="M145" t="n">
        <x:v>4</x:v>
      </x:c>
      <x:c r="N145" t="n">
        <x:v>229.39</x:v>
      </x:c>
      <x:c r="O145" s="37" t="n">
        <x:v>715.97</x:v>
      </x:c>
      <x:c r="P145" s="37" t="n">
        <x:v>9852</x:v>
      </x:c>
      <x:c r="Q145" t="n">
        <x:v>9</x:v>
      </x:c>
      <x:c r="R145" t="n">
        <x:v>2</x:v>
      </x:c>
      <x:c r="S145" t="n">
        <x:v>9859</x:v>
      </x:c>
      <x:c r="T145" t="n">
        <x:v>10.9</x:v>
      </x:c>
    </x:row>
    <x:row r="146">
      <x:c r="A146" t="str">
        <x:v>SM0142</x:v>
      </x:c>
      <x:c r="B146" s="43" t="str">
        <x:v>2026-06-22</x:v>
      </x:c>
      <x:c r="C146" t="str">
        <x:v>2026-06</x:v>
      </x:c>
      <x:c r="D146" t="str">
        <x:v>YouTube</x:v>
      </x:c>
      <x:c r="E146" t="str">
        <x:v>Summer Launch</x:v>
      </x:c>
      <x:c r="F146" t="str">
        <x:v>Short Video</x:v>
      </x:c>
      <x:c r="G146" t="str">
        <x:v>Industry Insight</x:v>
      </x:c>
      <x:c r="H146" t="n">
        <x:v>0</x:v>
      </x:c>
      <x:c r="I146" t="n">
        <x:v>4541</x:v>
      </x:c>
      <x:c r="J146" t="n">
        <x:v>3323</x:v>
      </x:c>
      <x:c r="K146" t="n">
        <x:v>271</x:v>
      </x:c>
      <x:c r="L146" t="n">
        <x:v>40</x:v>
      </x:c>
      <x:c r="M146" t="n">
        <x:v>2</x:v>
      </x:c>
      <x:c r="N146" t="n">
        <x:v>0</x:v>
      </x:c>
      <x:c r="O146" s="37" t="n">
        <x:v>179.95</x:v>
      </x:c>
      <x:c r="P146" s="37" t="n">
        <x:v>9859</x:v>
      </x:c>
      <x:c r="Q146" t="n">
        <x:v>3</x:v>
      </x:c>
      <x:c r="R146" t="n">
        <x:v>1</x:v>
      </x:c>
      <x:c r="S146" t="n">
        <x:v>9861</x:v>
      </x:c>
      <x:c r="T146" t="n">
        <x:v>34.5</x:v>
      </x:c>
    </x:row>
    <x:row r="147">
      <x:c r="A147" t="str">
        <x:v>SM0143</x:v>
      </x:c>
      <x:c r="B147" s="43" t="str">
        <x:v>2026-06-23</x:v>
      </x:c>
      <x:c r="C147" t="str">
        <x:v>2026-06</x:v>
      </x:c>
      <x:c r="D147" t="str">
        <x:v>YouTube</x:v>
      </x:c>
      <x:c r="E147" t="str">
        <x:v>Lead Gen</x:v>
      </x:c>
      <x:c r="F147" t="str">
        <x:v>Carousel</x:v>
      </x:c>
      <x:c r="G147" t="str">
        <x:v>Education</x:v>
      </x:c>
      <x:c r="H147" t="n">
        <x:v>0</x:v>
      </x:c>
      <x:c r="I147" t="n">
        <x:v>3720</x:v>
      </x:c>
      <x:c r="J147" t="n">
        <x:v>2810</x:v>
      </x:c>
      <x:c r="K147" t="n">
        <x:v>194</x:v>
      </x:c>
      <x:c r="L147" t="n">
        <x:v>61</x:v>
      </x:c>
      <x:c r="M147" t="n">
        <x:v>4</x:v>
      </x:c>
      <x:c r="N147" t="n">
        <x:v>0</x:v>
      </x:c>
      <x:c r="O147" s="37" t="n">
        <x:v>694.71</x:v>
      </x:c>
      <x:c r="P147" s="37" t="n">
        <x:v>9861</x:v>
      </x:c>
      <x:c r="Q147" t="n">
        <x:v>5</x:v>
      </x:c>
      <x:c r="R147" t="n">
        <x:v>2</x:v>
      </x:c>
      <x:c r="S147" t="n">
        <x:v>9864</x:v>
      </x:c>
      <x:c r="T147" t="n">
        <x:v>34.4</x:v>
      </x:c>
    </x:row>
    <x:row r="148">
      <x:c r="A148" t="str">
        <x:v>SM0144</x:v>
      </x:c>
      <x:c r="B148" s="43" t="str">
        <x:v>2026-06-24</x:v>
      </x:c>
      <x:c r="C148" t="str">
        <x:v>2026-06</x:v>
      </x:c>
      <x:c r="D148" t="str">
        <x:v>YouTube</x:v>
      </x:c>
      <x:c r="E148" t="str">
        <x:v>Brand Trust</x:v>
      </x:c>
      <x:c r="F148" t="str">
        <x:v>Static Image</x:v>
      </x:c>
      <x:c r="G148" t="str">
        <x:v>Customer Story</x:v>
      </x:c>
      <x:c r="H148" t="n">
        <x:v>0</x:v>
      </x:c>
      <x:c r="I148" t="n">
        <x:v>3032</x:v>
      </x:c>
      <x:c r="J148" t="n">
        <x:v>1982</x:v>
      </x:c>
      <x:c r="K148" t="n">
        <x:v>91</x:v>
      </x:c>
      <x:c r="L148" t="n">
        <x:v>52</x:v>
      </x:c>
      <x:c r="M148" t="n">
        <x:v>2</x:v>
      </x:c>
      <x:c r="N148" t="n">
        <x:v>0</x:v>
      </x:c>
      <x:c r="O148" s="37" t="n">
        <x:v>331.3</x:v>
      </x:c>
      <x:c r="P148" s="37" t="n">
        <x:v>9864</x:v>
      </x:c>
      <x:c r="Q148" t="n">
        <x:v>2</x:v>
      </x:c>
      <x:c r="R148" t="n">
        <x:v>1</x:v>
      </x:c>
      <x:c r="S148" t="n">
        <x:v>9865</x:v>
      </x:c>
      <x:c r="T148" t="n">
        <x:v>48</x:v>
      </x:c>
    </x:row>
    <x:row r="149">
      <x:c r="A149" t="str">
        <x:v>SM0145</x:v>
      </x:c>
      <x:c r="B149" s="43" t="str">
        <x:v>2026-06-25</x:v>
      </x:c>
      <x:c r="C149" t="str">
        <x:v>2026-06</x:v>
      </x:c>
      <x:c r="D149" t="str">
        <x:v>YouTube</x:v>
      </x:c>
      <x:c r="E149" t="str">
        <x:v>Always On</x:v>
      </x:c>
      <x:c r="F149" t="str">
        <x:v>Article</x:v>
      </x:c>
      <x:c r="G149" t="str">
        <x:v>Industry Insight</x:v>
      </x:c>
      <x:c r="H149" t="n">
        <x:v>1</x:v>
      </x:c>
      <x:c r="I149" t="n">
        <x:v>7585</x:v>
      </x:c>
      <x:c r="J149" t="n">
        <x:v>5993</x:v>
      </x:c>
      <x:c r="K149" t="n">
        <x:v>515</x:v>
      </x:c>
      <x:c r="L149" t="n">
        <x:v>89</x:v>
      </x:c>
      <x:c r="M149" t="n">
        <x:v>7</x:v>
      </x:c>
      <x:c r="N149" t="n">
        <x:v>623.24</x:v>
      </x:c>
      <x:c r="O149" s="37" t="n">
        <x:v>855.02</x:v>
      </x:c>
      <x:c r="P149" s="37" t="n">
        <x:v>9865</x:v>
      </x:c>
      <x:c r="Q149" t="n">
        <x:v>14</x:v>
      </x:c>
      <x:c r="R149" t="n">
        <x:v>2</x:v>
      </x:c>
      <x:c r="S149" t="n">
        <x:v>9877</x:v>
      </x:c>
      <x:c r="T149" t="n">
        <x:v>25.2</x:v>
      </x:c>
    </x:row>
    <x:row r="150">
      <x:c r="A150" t="str">
        <x:v>SM0146</x:v>
      </x:c>
      <x:c r="B150" s="43" t="str">
        <x:v>2026-06-26</x:v>
      </x:c>
      <x:c r="C150" t="str">
        <x:v>2026-06</x:v>
      </x:c>
      <x:c r="D150" t="str">
        <x:v>YouTube</x:v>
      </x:c>
      <x:c r="E150" t="str">
        <x:v>Summer Launch</x:v>
      </x:c>
      <x:c r="F150" t="str">
        <x:v>Live Clip</x:v>
      </x:c>
      <x:c r="G150" t="str">
        <x:v>Education</x:v>
      </x:c>
      <x:c r="H150" t="n">
        <x:v>0</x:v>
      </x:c>
      <x:c r="I150" t="n">
        <x:v>11761</x:v>
      </x:c>
      <x:c r="J150" t="n">
        <x:v>8947</x:v>
      </x:c>
      <x:c r="K150" t="n">
        <x:v>463</x:v>
      </x:c>
      <x:c r="L150" t="n">
        <x:v>301</x:v>
      </x:c>
      <x:c r="M150" t="n">
        <x:v>17</x:v>
      </x:c>
      <x:c r="N150" t="n">
        <x:v>0</x:v>
      </x:c>
      <x:c r="O150" s="37" t="n">
        <x:v>2412.63</x:v>
      </x:c>
      <x:c r="P150" s="37" t="n">
        <x:v>9877</x:v>
      </x:c>
      <x:c r="Q150" t="n">
        <x:v>16</x:v>
      </x:c>
      <x:c r="R150" t="n">
        <x:v>3</x:v>
      </x:c>
      <x:c r="S150" t="n">
        <x:v>9890</x:v>
      </x:c>
      <x:c r="T150" t="n">
        <x:v>41.8</x:v>
      </x:c>
    </x:row>
    <x:row r="151">
      <x:c r="A151" t="str">
        <x:v>SM0147</x:v>
      </x:c>
      <x:c r="B151" s="43" t="str">
        <x:v>2026-06-27</x:v>
      </x:c>
      <x:c r="C151" t="str">
        <x:v>2026-06</x:v>
      </x:c>
      <x:c r="D151" t="str">
        <x:v>YouTube</x:v>
      </x:c>
      <x:c r="E151" t="str">
        <x:v>Lead Gen</x:v>
      </x:c>
      <x:c r="F151" t="str">
        <x:v>Short Video</x:v>
      </x:c>
      <x:c r="G151" t="str">
        <x:v>Customer Story</x:v>
      </x:c>
      <x:c r="H151" t="n">
        <x:v>0</x:v>
      </x:c>
      <x:c r="I151" t="n">
        <x:v>11824</x:v>
      </x:c>
      <x:c r="J151" t="n">
        <x:v>9429</x:v>
      </x:c>
      <x:c r="K151" t="n">
        <x:v>458</x:v>
      </x:c>
      <x:c r="L151" t="n">
        <x:v>118</x:v>
      </x:c>
      <x:c r="M151" t="n">
        <x:v>11</x:v>
      </x:c>
      <x:c r="N151" t="n">
        <x:v>0</x:v>
      </x:c>
      <x:c r="O151" s="37" t="n">
        <x:v>2020.58</x:v>
      </x:c>
      <x:c r="P151" s="37" t="n">
        <x:v>9890</x:v>
      </x:c>
      <x:c r="Q151" t="n">
        <x:v>17</x:v>
      </x:c>
      <x:c r="R151" t="n">
        <x:v>6</x:v>
      </x:c>
      <x:c r="S151" t="n">
        <x:v>9901</x:v>
      </x:c>
      <x:c r="T151" t="n">
        <x:v>30.2</x:v>
      </x:c>
    </x:row>
    <x:row r="152">
      <x:c r="A152" t="str">
        <x:v>SM0148</x:v>
      </x:c>
      <x:c r="B152" s="43" t="str">
        <x:v>2026-06-28</x:v>
      </x:c>
      <x:c r="C152" t="str">
        <x:v>2026-06</x:v>
      </x:c>
      <x:c r="D152" t="str">
        <x:v>YouTube</x:v>
      </x:c>
      <x:c r="E152" t="str">
        <x:v>Brand Trust</x:v>
      </x:c>
      <x:c r="F152" t="str">
        <x:v>Carousel</x:v>
      </x:c>
      <x:c r="G152" t="str">
        <x:v>Industry Insight</x:v>
      </x:c>
      <x:c r="H152" t="n">
        <x:v>0</x:v>
      </x:c>
      <x:c r="I152" t="n">
        <x:v>9107</x:v>
      </x:c>
      <x:c r="J152" t="n">
        <x:v>6509</x:v>
      </x:c>
      <x:c r="K152" t="n">
        <x:v>379</x:v>
      </x:c>
      <x:c r="L152" t="n">
        <x:v>207</x:v>
      </x:c>
      <x:c r="M152" t="n">
        <x:v>16</x:v>
      </x:c>
      <x:c r="N152" t="n">
        <x:v>0</x:v>
      </x:c>
      <x:c r="O152" s="37" t="n">
        <x:v>2464.44</x:v>
      </x:c>
      <x:c r="P152" s="37" t="n">
        <x:v>9901</x:v>
      </x:c>
      <x:c r="Q152" t="n">
        <x:v>12</x:v>
      </x:c>
      <x:c r="R152" t="n">
        <x:v>3</x:v>
      </x:c>
      <x:c r="S152" t="n">
        <x:v>9910</x:v>
      </x:c>
      <x:c r="T152" t="n">
        <x:v>28.7</x:v>
      </x:c>
    </x:row>
    <x:row r="153">
      <x:c r="A153" t="str">
        <x:v>SM0149</x:v>
      </x:c>
      <x:c r="B153" s="43" t="str">
        <x:v>2026-06-29</x:v>
      </x:c>
      <x:c r="C153" t="str">
        <x:v>2026-06</x:v>
      </x:c>
      <x:c r="D153" t="str">
        <x:v>YouTube</x:v>
      </x:c>
      <x:c r="E153" t="str">
        <x:v>Always On</x:v>
      </x:c>
      <x:c r="F153" t="str">
        <x:v>Static Image</x:v>
      </x:c>
      <x:c r="G153" t="str">
        <x:v>Education</x:v>
      </x:c>
      <x:c r="H153" t="n">
        <x:v>1</x:v>
      </x:c>
      <x:c r="I153" t="n">
        <x:v>11687</x:v>
      </x:c>
      <x:c r="J153" t="n">
        <x:v>9328</x:v>
      </x:c>
      <x:c r="K153" t="n">
        <x:v>305</x:v>
      </x:c>
      <x:c r="L153" t="n">
        <x:v>291</x:v>
      </x:c>
      <x:c r="M153" t="n">
        <x:v>14</x:v>
      </x:c>
      <x:c r="N153" t="n">
        <x:v>958.38</x:v>
      </x:c>
      <x:c r="O153" s="37" t="n">
        <x:v>1555</x:v>
      </x:c>
      <x:c r="P153" s="37" t="n">
        <x:v>9910</x:v>
      </x:c>
      <x:c r="Q153" t="n">
        <x:v>22</x:v>
      </x:c>
      <x:c r="R153" t="n">
        <x:v>8</x:v>
      </x:c>
      <x:c r="S153" t="n">
        <x:v>9924</x:v>
      </x:c>
      <x:c r="T153" t="n">
        <x:v>16.2</x:v>
      </x:c>
    </x:row>
    <x:row r="154">
      <x:c r="A154" t="str">
        <x:v>SM0150</x:v>
      </x:c>
      <x:c r="B154" s="43" t="str">
        <x:v>2026-06-30</x:v>
      </x:c>
      <x:c r="C154" t="str">
        <x:v>2026-06</x:v>
      </x:c>
      <x:c r="D154" t="str">
        <x:v>YouTube</x:v>
      </x:c>
      <x:c r="E154" t="str">
        <x:v>Summer Launch</x:v>
      </x:c>
      <x:c r="F154" t="str">
        <x:v>Article</x:v>
      </x:c>
      <x:c r="G154" t="str">
        <x:v>Customer Story</x:v>
      </x:c>
      <x:c r="H154" t="n">
        <x:v>0</x:v>
      </x:c>
      <x:c r="I154" t="n">
        <x:v>4696</x:v>
      </x:c>
      <x:c r="J154" t="n">
        <x:v>3347</x:v>
      </x:c>
      <x:c r="K154" t="n">
        <x:v>128</x:v>
      </x:c>
      <x:c r="L154" t="n">
        <x:v>69</x:v>
      </x:c>
      <x:c r="M154" t="n">
        <x:v>7</x:v>
      </x:c>
      <x:c r="N154" t="n">
        <x:v>0</x:v>
      </x:c>
      <x:c r="O154" s="37" t="n">
        <x:v>715.07</x:v>
      </x:c>
      <x:c r="P154" s="37" t="n">
        <x:v>9924</x:v>
      </x:c>
      <x:c r="Q154" t="n">
        <x:v>5</x:v>
      </x:c>
      <x:c r="R154" t="n">
        <x:v>1</x:v>
      </x:c>
      <x:c r="S154" t="n">
        <x:v>9928</x:v>
      </x:c>
      <x:c r="T154" t="n">
        <x:v>21.7</x:v>
      </x:c>
    </x:row>
    <x:row r="155">
      <x:c r="A155" t="str">
        <x:v>SM0151</x:v>
      </x:c>
      <x:c r="B155" s="43" t="str">
        <x:v>2026-07-01</x:v>
      </x:c>
      <x:c r="C155" t="str">
        <x:v>2026-07</x:v>
      </x:c>
      <x:c r="D155" t="str">
        <x:v>Instagram</x:v>
      </x:c>
      <x:c r="E155" t="str">
        <x:v>Always On</x:v>
      </x:c>
      <x:c r="F155" t="str">
        <x:v>Short Video</x:v>
      </x:c>
      <x:c r="G155" t="str">
        <x:v>Education</x:v>
      </x:c>
      <x:c r="H155" t="n">
        <x:v>1</x:v>
      </x:c>
      <x:c r="I155" t="n">
        <x:v>13264</x:v>
      </x:c>
      <x:c r="J155" t="n">
        <x:v>9882</x:v>
      </x:c>
      <x:c r="K155" t="n">
        <x:v>639</x:v>
      </x:c>
      <x:c r="L155" t="n">
        <x:v>149</x:v>
      </x:c>
      <x:c r="M155" t="n">
        <x:v>15</x:v>
      </x:c>
      <x:c r="N155" t="n">
        <x:v>526.66</x:v>
      </x:c>
      <x:c r="O155" s="37" t="n">
        <x:v>1671.41</x:v>
      </x:c>
      <x:c r="P155" s="37" t="n">
        <x:v>28928</x:v>
      </x:c>
      <x:c r="Q155" t="n">
        <x:v>9</x:v>
      </x:c>
      <x:c r="R155" t="n">
        <x:v>1</x:v>
      </x:c>
      <x:c r="S155" t="n">
        <x:v>28936</x:v>
      </x:c>
      <x:c r="T155" t="n">
        <x:v>6.4</x:v>
      </x:c>
    </x:row>
    <x:row r="156">
      <x:c r="A156" t="str">
        <x:v>SM0152</x:v>
      </x:c>
      <x:c r="B156" s="43" t="str">
        <x:v>2026-07-02</x:v>
      </x:c>
      <x:c r="C156" t="str">
        <x:v>2026-07</x:v>
      </x:c>
      <x:c r="D156" t="str">
        <x:v>Instagram</x:v>
      </x:c>
      <x:c r="E156" t="str">
        <x:v>Summer Launch</x:v>
      </x:c>
      <x:c r="F156" t="str">
        <x:v>Carousel</x:v>
      </x:c>
      <x:c r="G156" t="str">
        <x:v>Customer Story</x:v>
      </x:c>
      <x:c r="H156" t="n">
        <x:v>0</x:v>
      </x:c>
      <x:c r="I156" t="n">
        <x:v>4543</x:v>
      </x:c>
      <x:c r="J156" t="n">
        <x:v>2915</x:v>
      </x:c>
      <x:c r="K156" t="n">
        <x:v>305</x:v>
      </x:c>
      <x:c r="L156" t="n">
        <x:v>110</x:v>
      </x:c>
      <x:c r="M156" t="n">
        <x:v>8</x:v>
      </x:c>
      <x:c r="N156" t="n">
        <x:v>0</x:v>
      </x:c>
      <x:c r="O156" s="37" t="n">
        <x:v>1208.8</x:v>
      </x:c>
      <x:c r="P156" s="37" t="n">
        <x:v>28936</x:v>
      </x:c>
      <x:c r="Q156" t="n">
        <x:v>3</x:v>
      </x:c>
      <x:c r="R156" t="n">
        <x:v>1</x:v>
      </x:c>
      <x:c r="S156" t="n">
        <x:v>28938</x:v>
      </x:c>
      <x:c r="T156" t="n">
        <x:v>9.6</x:v>
      </x:c>
    </x:row>
    <x:row r="157">
      <x:c r="A157" t="str">
        <x:v>SM0153</x:v>
      </x:c>
      <x:c r="B157" s="43" t="str">
        <x:v>2026-07-03</x:v>
      </x:c>
      <x:c r="C157" t="str">
        <x:v>2026-07</x:v>
      </x:c>
      <x:c r="D157" t="str">
        <x:v>Instagram</x:v>
      </x:c>
      <x:c r="E157" t="str">
        <x:v>Lead Gen</x:v>
      </x:c>
      <x:c r="F157" t="str">
        <x:v>Static Image</x:v>
      </x:c>
      <x:c r="G157" t="str">
        <x:v>Industry Insight</x:v>
      </x:c>
      <x:c r="H157" t="n">
        <x:v>0</x:v>
      </x:c>
      <x:c r="I157" t="n">
        <x:v>8669</x:v>
      </x:c>
      <x:c r="J157" t="n">
        <x:v>5562</x:v>
      </x:c>
      <x:c r="K157" t="n">
        <x:v>352</x:v>
      </x:c>
      <x:c r="L157" t="n">
        <x:v>144</x:v>
      </x:c>
      <x:c r="M157" t="n">
        <x:v>9</x:v>
      </x:c>
      <x:c r="N157" t="n">
        <x:v>0</x:v>
      </x:c>
      <x:c r="O157" s="37" t="n">
        <x:v>1491.83</x:v>
      </x:c>
      <x:c r="P157" s="37" t="n">
        <x:v>28938</x:v>
      </x:c>
      <x:c r="Q157" t="n">
        <x:v>5</x:v>
      </x:c>
      <x:c r="R157" t="n">
        <x:v>1</x:v>
      </x:c>
      <x:c r="S157" t="n">
        <x:v>28942</x:v>
      </x:c>
      <x:c r="T157" t="n">
        <x:v>23.5</x:v>
      </x:c>
    </x:row>
    <x:row r="158">
      <x:c r="A158" t="str">
        <x:v>SM0154</x:v>
      </x:c>
      <x:c r="B158" s="43" t="str">
        <x:v>2026-07-04</x:v>
      </x:c>
      <x:c r="C158" t="str">
        <x:v>2026-07</x:v>
      </x:c>
      <x:c r="D158" t="str">
        <x:v>Instagram</x:v>
      </x:c>
      <x:c r="E158" t="str">
        <x:v>Brand Trust</x:v>
      </x:c>
      <x:c r="F158" t="str">
        <x:v>Article</x:v>
      </x:c>
      <x:c r="G158" t="str">
        <x:v>Education</x:v>
      </x:c>
      <x:c r="H158" t="n">
        <x:v>0</x:v>
      </x:c>
      <x:c r="I158" t="n">
        <x:v>4322</x:v>
      </x:c>
      <x:c r="J158" t="n">
        <x:v>2812</x:v>
      </x:c>
      <x:c r="K158" t="n">
        <x:v>207</x:v>
      </x:c>
      <x:c r="L158" t="n">
        <x:v>46</x:v>
      </x:c>
      <x:c r="M158" t="n">
        <x:v>2</x:v>
      </x:c>
      <x:c r="N158" t="n">
        <x:v>0</x:v>
      </x:c>
      <x:c r="O158" s="37" t="n">
        <x:v>310.32</x:v>
      </x:c>
      <x:c r="P158" s="37" t="n">
        <x:v>28942</x:v>
      </x:c>
      <x:c r="Q158" t="n">
        <x:v>5</x:v>
      </x:c>
      <x:c r="R158" t="n">
        <x:v>1</x:v>
      </x:c>
      <x:c r="S158" t="n">
        <x:v>28946</x:v>
      </x:c>
      <x:c r="T158" t="n">
        <x:v>37.9</x:v>
      </x:c>
    </x:row>
    <x:row r="159">
      <x:c r="A159" t="str">
        <x:v>SM0155</x:v>
      </x:c>
      <x:c r="B159" s="43" t="str">
        <x:v>2026-07-05</x:v>
      </x:c>
      <x:c r="C159" t="str">
        <x:v>2026-07</x:v>
      </x:c>
      <x:c r="D159" t="str">
        <x:v>Instagram</x:v>
      </x:c>
      <x:c r="E159" t="str">
        <x:v>Always On</x:v>
      </x:c>
      <x:c r="F159" t="str">
        <x:v>Live Clip</x:v>
      </x:c>
      <x:c r="G159" t="str">
        <x:v>Customer Story</x:v>
      </x:c>
      <x:c r="H159" t="n">
        <x:v>1</x:v>
      </x:c>
      <x:c r="I159" t="n">
        <x:v>7701</x:v>
      </x:c>
      <x:c r="J159" t="n">
        <x:v>5880</x:v>
      </x:c>
      <x:c r="K159" t="n">
        <x:v>295</x:v>
      </x:c>
      <x:c r="L159" t="n">
        <x:v>222</x:v>
      </x:c>
      <x:c r="M159" t="n">
        <x:v>13</x:v>
      </x:c>
      <x:c r="N159" t="n">
        <x:v>879.61</x:v>
      </x:c>
      <x:c r="O159" s="37" t="n">
        <x:v>1623.61</x:v>
      </x:c>
      <x:c r="P159" s="37" t="n">
        <x:v>28946</x:v>
      </x:c>
      <x:c r="Q159" t="n">
        <x:v>8</x:v>
      </x:c>
      <x:c r="R159" t="n">
        <x:v>2</x:v>
      </x:c>
      <x:c r="S159" t="n">
        <x:v>28952</x:v>
      </x:c>
      <x:c r="T159" t="n">
        <x:v>38.5</x:v>
      </x:c>
    </x:row>
    <x:row r="160">
      <x:c r="A160" t="str">
        <x:v>SM0156</x:v>
      </x:c>
      <x:c r="B160" s="43" t="str">
        <x:v>2026-07-06</x:v>
      </x:c>
      <x:c r="C160" t="str">
        <x:v>2026-07</x:v>
      </x:c>
      <x:c r="D160" t="str">
        <x:v>Instagram</x:v>
      </x:c>
      <x:c r="E160" t="str">
        <x:v>Summer Launch</x:v>
      </x:c>
      <x:c r="F160" t="str">
        <x:v>Short Video</x:v>
      </x:c>
      <x:c r="G160" t="str">
        <x:v>Industry Insight</x:v>
      </x:c>
      <x:c r="H160" t="n">
        <x:v>0</x:v>
      </x:c>
      <x:c r="I160" t="n">
        <x:v>16179</x:v>
      </x:c>
      <x:c r="J160" t="n">
        <x:v>10758</x:v>
      </x:c>
      <x:c r="K160" t="n">
        <x:v>1076</x:v>
      </x:c>
      <x:c r="L160" t="n">
        <x:v>303</x:v>
      </x:c>
      <x:c r="M160" t="n">
        <x:v>16</x:v>
      </x:c>
      <x:c r="N160" t="n">
        <x:v>0</x:v>
      </x:c>
      <x:c r="O160" s="37" t="n">
        <x:v>2885.24</x:v>
      </x:c>
      <x:c r="P160" s="37" t="n">
        <x:v>28952</x:v>
      </x:c>
      <x:c r="Q160" t="n">
        <x:v>19</x:v>
      </x:c>
      <x:c r="R160" t="n">
        <x:v>2</x:v>
      </x:c>
      <x:c r="S160" t="n">
        <x:v>28969</x:v>
      </x:c>
      <x:c r="T160" t="n">
        <x:v>6.8</x:v>
      </x:c>
    </x:row>
    <x:row r="161">
      <x:c r="A161" t="str">
        <x:v>SM0157</x:v>
      </x:c>
      <x:c r="B161" s="43" t="str">
        <x:v>2026-07-07</x:v>
      </x:c>
      <x:c r="C161" t="str">
        <x:v>2026-07</x:v>
      </x:c>
      <x:c r="D161" t="str">
        <x:v>Instagram</x:v>
      </x:c>
      <x:c r="E161" t="str">
        <x:v>Lead Gen</x:v>
      </x:c>
      <x:c r="F161" t="str">
        <x:v>Carousel</x:v>
      </x:c>
      <x:c r="G161" t="str">
        <x:v>Education</x:v>
      </x:c>
      <x:c r="H161" t="n">
        <x:v>0</x:v>
      </x:c>
      <x:c r="I161" t="n">
        <x:v>16048</x:v>
      </x:c>
      <x:c r="J161" t="n">
        <x:v>11117</x:v>
      </x:c>
      <x:c r="K161" t="n">
        <x:v>593</x:v>
      </x:c>
      <x:c r="L161" t="n">
        <x:v>397</x:v>
      </x:c>
      <x:c r="M161" t="n">
        <x:v>44</x:v>
      </x:c>
      <x:c r="N161" t="n">
        <x:v>0</x:v>
      </x:c>
      <x:c r="O161" s="37" t="n">
        <x:v>6669.58</x:v>
      </x:c>
      <x:c r="P161" s="37" t="n">
        <x:v>28969</x:v>
      </x:c>
      <x:c r="Q161" t="n">
        <x:v>10</x:v>
      </x:c>
      <x:c r="R161" t="n">
        <x:v>2</x:v>
      </x:c>
      <x:c r="S161" t="n">
        <x:v>28977</x:v>
      </x:c>
      <x:c r="T161" t="n">
        <x:v>16.9</x:v>
      </x:c>
    </x:row>
    <x:row r="162">
      <x:c r="A162" t="str">
        <x:v>SM0158</x:v>
      </x:c>
      <x:c r="B162" s="43" t="str">
        <x:v>2026-07-08</x:v>
      </x:c>
      <x:c r="C162" t="str">
        <x:v>2026-07</x:v>
      </x:c>
      <x:c r="D162" t="str">
        <x:v>Instagram</x:v>
      </x:c>
      <x:c r="E162" t="str">
        <x:v>Brand Trust</x:v>
      </x:c>
      <x:c r="F162" t="str">
        <x:v>Static Image</x:v>
      </x:c>
      <x:c r="G162" t="str">
        <x:v>Customer Story</x:v>
      </x:c>
      <x:c r="H162" t="n">
        <x:v>0</x:v>
      </x:c>
      <x:c r="I162" t="n">
        <x:v>9312</x:v>
      </x:c>
      <x:c r="J162" t="n">
        <x:v>6917</x:v>
      </x:c>
      <x:c r="K162" t="n">
        <x:v>569</x:v>
      </x:c>
      <x:c r="L162" t="n">
        <x:v>258</x:v>
      </x:c>
      <x:c r="M162" t="n">
        <x:v>20</x:v>
      </x:c>
      <x:c r="N162" t="n">
        <x:v>0</x:v>
      </x:c>
      <x:c r="O162" s="37" t="n">
        <x:v>1683.27</x:v>
      </x:c>
      <x:c r="P162" s="37" t="n">
        <x:v>28977</x:v>
      </x:c>
      <x:c r="Q162" t="n">
        <x:v>10</x:v>
      </x:c>
      <x:c r="R162" t="n">
        <x:v>2</x:v>
      </x:c>
      <x:c r="S162" t="n">
        <x:v>28985</x:v>
      </x:c>
      <x:c r="T162" t="n">
        <x:v>45.3</x:v>
      </x:c>
    </x:row>
    <x:row r="163">
      <x:c r="A163" t="str">
        <x:v>SM0159</x:v>
      </x:c>
      <x:c r="B163" s="43" t="str">
        <x:v>2026-07-09</x:v>
      </x:c>
      <x:c r="C163" t="str">
        <x:v>2026-07</x:v>
      </x:c>
      <x:c r="D163" t="str">
        <x:v>Instagram</x:v>
      </x:c>
      <x:c r="E163" t="str">
        <x:v>Always On</x:v>
      </x:c>
      <x:c r="F163" t="str">
        <x:v>Article</x:v>
      </x:c>
      <x:c r="G163" t="str">
        <x:v>Industry Insight</x:v>
      </x:c>
      <x:c r="H163" t="n">
        <x:v>1</x:v>
      </x:c>
      <x:c r="I163" t="n">
        <x:v>14950</x:v>
      </x:c>
      <x:c r="J163" t="n">
        <x:v>10519</x:v>
      </x:c>
      <x:c r="K163" t="n">
        <x:v>467</x:v>
      </x:c>
      <x:c r="L163" t="n">
        <x:v>125</x:v>
      </x:c>
      <x:c r="M163" t="n">
        <x:v>8</x:v>
      </x:c>
      <x:c r="N163" t="n">
        <x:v>955.85</x:v>
      </x:c>
      <x:c r="O163" s="37" t="n">
        <x:v>1208.68</x:v>
      </x:c>
      <x:c r="P163" s="37" t="n">
        <x:v>28985</x:v>
      </x:c>
      <x:c r="Q163" t="n">
        <x:v>19</x:v>
      </x:c>
      <x:c r="R163" t="n">
        <x:v>3</x:v>
      </x:c>
      <x:c r="S163" t="n">
        <x:v>29001</x:v>
      </x:c>
      <x:c r="T163" t="n">
        <x:v>11.8</x:v>
      </x:c>
    </x:row>
    <x:row r="164">
      <x:c r="A164" t="str">
        <x:v>SM0160</x:v>
      </x:c>
      <x:c r="B164" s="43" t="str">
        <x:v>2026-07-10</x:v>
      </x:c>
      <x:c r="C164" t="str">
        <x:v>2026-07</x:v>
      </x:c>
      <x:c r="D164" t="str">
        <x:v>Instagram</x:v>
      </x:c>
      <x:c r="E164" t="str">
        <x:v>Summer Launch</x:v>
      </x:c>
      <x:c r="F164" t="str">
        <x:v>Live Clip</x:v>
      </x:c>
      <x:c r="G164" t="str">
        <x:v>Education</x:v>
      </x:c>
      <x:c r="H164" t="n">
        <x:v>0</x:v>
      </x:c>
      <x:c r="I164" t="n">
        <x:v>7125</x:v>
      </x:c>
      <x:c r="J164" t="n">
        <x:v>4600</x:v>
      </x:c>
      <x:c r="K164" t="n">
        <x:v>460</x:v>
      </x:c>
      <x:c r="L164" t="n">
        <x:v>106</x:v>
      </x:c>
      <x:c r="M164" t="n">
        <x:v>11</x:v>
      </x:c>
      <x:c r="N164" t="n">
        <x:v>0</x:v>
      </x:c>
      <x:c r="O164" s="37" t="n">
        <x:v>1739.55</x:v>
      </x:c>
      <x:c r="P164" s="37" t="n">
        <x:v>29001</x:v>
      </x:c>
      <x:c r="Q164" t="n">
        <x:v>10</x:v>
      </x:c>
      <x:c r="R164" t="n">
        <x:v>3</x:v>
      </x:c>
      <x:c r="S164" t="n">
        <x:v>29008</x:v>
      </x:c>
      <x:c r="T164" t="n">
        <x:v>40.8</x:v>
      </x:c>
    </x:row>
    <x:row r="165">
      <x:c r="A165" t="str">
        <x:v>SM0161</x:v>
      </x:c>
      <x:c r="B165" s="43" t="str">
        <x:v>2026-07-11</x:v>
      </x:c>
      <x:c r="C165" t="str">
        <x:v>2026-07</x:v>
      </x:c>
      <x:c r="D165" t="str">
        <x:v>Instagram</x:v>
      </x:c>
      <x:c r="E165" t="str">
        <x:v>Lead Gen</x:v>
      </x:c>
      <x:c r="F165" t="str">
        <x:v>Short Video</x:v>
      </x:c>
      <x:c r="G165" t="str">
        <x:v>Customer Story</x:v>
      </x:c>
      <x:c r="H165" t="n">
        <x:v>0</x:v>
      </x:c>
      <x:c r="I165" t="n">
        <x:v>6918</x:v>
      </x:c>
      <x:c r="J165" t="n">
        <x:v>5220</x:v>
      </x:c>
      <x:c r="K165" t="n">
        <x:v>316</x:v>
      </x:c>
      <x:c r="L165" t="n">
        <x:v>205</x:v>
      </x:c>
      <x:c r="M165" t="n">
        <x:v>17</x:v>
      </x:c>
      <x:c r="N165" t="n">
        <x:v>0</x:v>
      </x:c>
      <x:c r="O165" s="37" t="n">
        <x:v>1506.02</x:v>
      </x:c>
      <x:c r="P165" s="37" t="n">
        <x:v>29008</x:v>
      </x:c>
      <x:c r="Q165" t="n">
        <x:v>9</x:v>
      </x:c>
      <x:c r="R165" t="n">
        <x:v>2</x:v>
      </x:c>
      <x:c r="S165" t="n">
        <x:v>29015</x:v>
      </x:c>
      <x:c r="T165" t="n">
        <x:v>40.9</x:v>
      </x:c>
    </x:row>
    <x:row r="166">
      <x:c r="A166" t="str">
        <x:v>SM0162</x:v>
      </x:c>
      <x:c r="B166" s="43" t="str">
        <x:v>2026-07-12</x:v>
      </x:c>
      <x:c r="C166" t="str">
        <x:v>2026-07</x:v>
      </x:c>
      <x:c r="D166" t="str">
        <x:v>Instagram</x:v>
      </x:c>
      <x:c r="E166" t="str">
        <x:v>Brand Trust</x:v>
      </x:c>
      <x:c r="F166" t="str">
        <x:v>Carousel</x:v>
      </x:c>
      <x:c r="G166" t="str">
        <x:v>Industry Insight</x:v>
      </x:c>
      <x:c r="H166" t="n">
        <x:v>0</x:v>
      </x:c>
      <x:c r="I166" t="n">
        <x:v>8175</x:v>
      </x:c>
      <x:c r="J166" t="n">
        <x:v>5360</x:v>
      </x:c>
      <x:c r="K166" t="n">
        <x:v>401</x:v>
      </x:c>
      <x:c r="L166" t="n">
        <x:v>196</x:v>
      </x:c>
      <x:c r="M166" t="n">
        <x:v>18</x:v>
      </x:c>
      <x:c r="N166" t="n">
        <x:v>0</x:v>
      </x:c>
      <x:c r="O166" s="37" t="n">
        <x:v>1775.47</x:v>
      </x:c>
      <x:c r="P166" s="37" t="n">
        <x:v>29015</x:v>
      </x:c>
      <x:c r="Q166" t="n">
        <x:v>11</x:v>
      </x:c>
      <x:c r="R166" t="n">
        <x:v>2</x:v>
      </x:c>
      <x:c r="S166" t="n">
        <x:v>29024</x:v>
      </x:c>
      <x:c r="T166" t="n">
        <x:v>25.6</x:v>
      </x:c>
    </x:row>
    <x:row r="167">
      <x:c r="A167" t="str">
        <x:v>SM0163</x:v>
      </x:c>
      <x:c r="B167" s="43" t="str">
        <x:v>2026-07-13</x:v>
      </x:c>
      <x:c r="C167" t="str">
        <x:v>2026-07</x:v>
      </x:c>
      <x:c r="D167" t="str">
        <x:v>Instagram</x:v>
      </x:c>
      <x:c r="E167" t="str">
        <x:v>Always On</x:v>
      </x:c>
      <x:c r="F167" t="str">
        <x:v>Static Image</x:v>
      </x:c>
      <x:c r="G167" t="str">
        <x:v>Education</x:v>
      </x:c>
      <x:c r="H167" t="n">
        <x:v>1</x:v>
      </x:c>
      <x:c r="I167" t="n">
        <x:v>6612</x:v>
      </x:c>
      <x:c r="J167" t="n">
        <x:v>5332</x:v>
      </x:c>
      <x:c r="K167" t="n">
        <x:v>246</x:v>
      </x:c>
      <x:c r="L167" t="n">
        <x:v>139</x:v>
      </x:c>
      <x:c r="M167" t="n">
        <x:v>7</x:v>
      </x:c>
      <x:c r="N167" t="n">
        <x:v>607.19</x:v>
      </x:c>
      <x:c r="O167" s="37" t="n">
        <x:v>587.5</x:v>
      </x:c>
      <x:c r="P167" s="37" t="n">
        <x:v>29024</x:v>
      </x:c>
      <x:c r="Q167" t="n">
        <x:v>11</x:v>
      </x:c>
      <x:c r="R167" t="n">
        <x:v>3</x:v>
      </x:c>
      <x:c r="S167" t="n">
        <x:v>29032</x:v>
      </x:c>
      <x:c r="T167" t="n">
        <x:v>45.2</x:v>
      </x:c>
    </x:row>
    <x:row r="168">
      <x:c r="A168" t="str">
        <x:v>SM0164</x:v>
      </x:c>
      <x:c r="B168" s="43" t="str">
        <x:v>2026-07-14</x:v>
      </x:c>
      <x:c r="C168" t="str">
        <x:v>2026-07</x:v>
      </x:c>
      <x:c r="D168" t="str">
        <x:v>Instagram</x:v>
      </x:c>
      <x:c r="E168" t="str">
        <x:v>Summer Launch</x:v>
      </x:c>
      <x:c r="F168" t="str">
        <x:v>Article</x:v>
      </x:c>
      <x:c r="G168" t="str">
        <x:v>Customer Story</x:v>
      </x:c>
      <x:c r="H168" t="n">
        <x:v>0</x:v>
      </x:c>
      <x:c r="I168" t="n">
        <x:v>15891</x:v>
      </x:c>
      <x:c r="J168" t="n">
        <x:v>12323</x:v>
      </x:c>
      <x:c r="K168" t="n">
        <x:v>589</x:v>
      </x:c>
      <x:c r="L168" t="n">
        <x:v>189</x:v>
      </x:c>
      <x:c r="M168" t="n">
        <x:v>16</x:v>
      </x:c>
      <x:c r="N168" t="n">
        <x:v>0</x:v>
      </x:c>
      <x:c r="O168" s="37" t="n">
        <x:v>1431.45</x:v>
      </x:c>
      <x:c r="P168" s="37" t="n">
        <x:v>29032</x:v>
      </x:c>
      <x:c r="Q168" t="n">
        <x:v>28</x:v>
      </x:c>
      <x:c r="R168" t="n">
        <x:v>6</x:v>
      </x:c>
      <x:c r="S168" t="n">
        <x:v>29054</x:v>
      </x:c>
      <x:c r="T168" t="n">
        <x:v>32.1</x:v>
      </x:c>
    </x:row>
    <x:row r="169">
      <x:c r="A169" t="str">
        <x:v>SM0165</x:v>
      </x:c>
      <x:c r="B169" s="43" t="str">
        <x:v>2026-07-15</x:v>
      </x:c>
      <x:c r="C169" t="str">
        <x:v>2026-07</x:v>
      </x:c>
      <x:c r="D169" t="str">
        <x:v>Instagram</x:v>
      </x:c>
      <x:c r="E169" t="str">
        <x:v>Lead Gen</x:v>
      </x:c>
      <x:c r="F169" t="str">
        <x:v>Live Clip</x:v>
      </x:c>
      <x:c r="G169" t="str">
        <x:v>Industry Insight</x:v>
      </x:c>
      <x:c r="H169" t="n">
        <x:v>0</x:v>
      </x:c>
      <x:c r="I169" t="n">
        <x:v>5660</x:v>
      </x:c>
      <x:c r="J169" t="n">
        <x:v>4131</x:v>
      </x:c>
      <x:c r="K169" t="n">
        <x:v>355</x:v>
      </x:c>
      <x:c r="L169" t="n">
        <x:v>64</x:v>
      </x:c>
      <x:c r="M169" t="n">
        <x:v>3</x:v>
      </x:c>
      <x:c r="N169" t="n">
        <x:v>0</x:v>
      </x:c>
      <x:c r="O169" s="37" t="n">
        <x:v>538.84</x:v>
      </x:c>
      <x:c r="P169" s="37" t="n">
        <x:v>29054</x:v>
      </x:c>
      <x:c r="Q169" t="n">
        <x:v>10</x:v>
      </x:c>
      <x:c r="R169" t="n">
        <x:v>3</x:v>
      </x:c>
      <x:c r="S169" t="n">
        <x:v>29061</x:v>
      </x:c>
      <x:c r="T169" t="n">
        <x:v>38.6</x:v>
      </x:c>
    </x:row>
    <x:row r="170">
      <x:c r="A170" t="str">
        <x:v>SM0166</x:v>
      </x:c>
      <x:c r="B170" s="43" t="str">
        <x:v>2026-07-16</x:v>
      </x:c>
      <x:c r="C170" t="str">
        <x:v>2026-07</x:v>
      </x:c>
      <x:c r="D170" t="str">
        <x:v>Instagram</x:v>
      </x:c>
      <x:c r="E170" t="str">
        <x:v>Brand Trust</x:v>
      </x:c>
      <x:c r="F170" t="str">
        <x:v>Short Video</x:v>
      </x:c>
      <x:c r="G170" t="str">
        <x:v>Education</x:v>
      </x:c>
      <x:c r="H170" t="n">
        <x:v>0</x:v>
      </x:c>
      <x:c r="I170" t="n">
        <x:v>11955</x:v>
      </x:c>
      <x:c r="J170" t="n">
        <x:v>9251</x:v>
      </x:c>
      <x:c r="K170" t="n">
        <x:v>544</x:v>
      </x:c>
      <x:c r="L170" t="n">
        <x:v>113</x:v>
      </x:c>
      <x:c r="M170" t="n">
        <x:v>12</x:v>
      </x:c>
      <x:c r="N170" t="n">
        <x:v>0</x:v>
      </x:c>
      <x:c r="O170" s="37" t="n">
        <x:v>2019.71</x:v>
      </x:c>
      <x:c r="P170" s="37" t="n">
        <x:v>29061</x:v>
      </x:c>
      <x:c r="Q170" t="n">
        <x:v>8</x:v>
      </x:c>
      <x:c r="R170" t="n">
        <x:v>3</x:v>
      </x:c>
      <x:c r="S170" t="n">
        <x:v>29066</x:v>
      </x:c>
      <x:c r="T170" t="n">
        <x:v>26.8</x:v>
      </x:c>
    </x:row>
    <x:row r="171">
      <x:c r="A171" t="str">
        <x:v>SM0167</x:v>
      </x:c>
      <x:c r="B171" s="43" t="str">
        <x:v>2026-07-17</x:v>
      </x:c>
      <x:c r="C171" t="str">
        <x:v>2026-07</x:v>
      </x:c>
      <x:c r="D171" t="str">
        <x:v>Instagram</x:v>
      </x:c>
      <x:c r="E171" t="str">
        <x:v>Always On</x:v>
      </x:c>
      <x:c r="F171" t="str">
        <x:v>Carousel</x:v>
      </x:c>
      <x:c r="G171" t="str">
        <x:v>Customer Story</x:v>
      </x:c>
      <x:c r="H171" t="n">
        <x:v>1</x:v>
      </x:c>
      <x:c r="I171" t="n">
        <x:v>7364</x:v>
      </x:c>
      <x:c r="J171" t="n">
        <x:v>4996</x:v>
      </x:c>
      <x:c r="K171" t="n">
        <x:v>472</x:v>
      </x:c>
      <x:c r="L171" t="n">
        <x:v>53</x:v>
      </x:c>
      <x:c r="M171" t="n">
        <x:v>4</x:v>
      </x:c>
      <x:c r="N171" t="n">
        <x:v>462.45</x:v>
      </x:c>
      <x:c r="O171" s="37" t="n">
        <x:v>617.14</x:v>
      </x:c>
      <x:c r="P171" s="37" t="n">
        <x:v>29066</x:v>
      </x:c>
      <x:c r="Q171" t="n">
        <x:v>4</x:v>
      </x:c>
      <x:c r="R171" t="n">
        <x:v>1</x:v>
      </x:c>
      <x:c r="S171" t="n">
        <x:v>29069</x:v>
      </x:c>
      <x:c r="T171" t="n">
        <x:v>22.3</x:v>
      </x:c>
    </x:row>
    <x:row r="172">
      <x:c r="A172" t="str">
        <x:v>SM0168</x:v>
      </x:c>
      <x:c r="B172" s="43" t="str">
        <x:v>2026-07-18</x:v>
      </x:c>
      <x:c r="C172" t="str">
        <x:v>2026-07</x:v>
      </x:c>
      <x:c r="D172" t="str">
        <x:v>Instagram</x:v>
      </x:c>
      <x:c r="E172" t="str">
        <x:v>Summer Launch</x:v>
      </x:c>
      <x:c r="F172" t="str">
        <x:v>Static Image</x:v>
      </x:c>
      <x:c r="G172" t="str">
        <x:v>Industry Insight</x:v>
      </x:c>
      <x:c r="H172" t="n">
        <x:v>0</x:v>
      </x:c>
      <x:c r="I172" t="n">
        <x:v>9973</x:v>
      </x:c>
      <x:c r="J172" t="n">
        <x:v>7536</x:v>
      </x:c>
      <x:c r="K172" t="n">
        <x:v>354</x:v>
      </x:c>
      <x:c r="L172" t="n">
        <x:v>217</x:v>
      </x:c>
      <x:c r="M172" t="n">
        <x:v>11</x:v>
      </x:c>
      <x:c r="N172" t="n">
        <x:v>0</x:v>
      </x:c>
      <x:c r="O172" s="37" t="n">
        <x:v>2082.7</x:v>
      </x:c>
      <x:c r="P172" s="37" t="n">
        <x:v>29069</x:v>
      </x:c>
      <x:c r="Q172" t="n">
        <x:v>16</x:v>
      </x:c>
      <x:c r="R172" t="n">
        <x:v>4</x:v>
      </x:c>
      <x:c r="S172" t="n">
        <x:v>29081</x:v>
      </x:c>
      <x:c r="T172" t="n">
        <x:v>9.5</x:v>
      </x:c>
    </x:row>
    <x:row r="173">
      <x:c r="A173" t="str">
        <x:v>SM0169</x:v>
      </x:c>
      <x:c r="B173" s="43" t="str">
        <x:v>2026-07-19</x:v>
      </x:c>
      <x:c r="C173" t="str">
        <x:v>2026-07</x:v>
      </x:c>
      <x:c r="D173" t="str">
        <x:v>Instagram</x:v>
      </x:c>
      <x:c r="E173" t="str">
        <x:v>Lead Gen</x:v>
      </x:c>
      <x:c r="F173" t="str">
        <x:v>Article</x:v>
      </x:c>
      <x:c r="G173" t="str">
        <x:v>Education</x:v>
      </x:c>
      <x:c r="H173" t="n">
        <x:v>0</x:v>
      </x:c>
      <x:c r="I173" t="n">
        <x:v>9950</x:v>
      </x:c>
      <x:c r="J173" t="n">
        <x:v>6991</x:v>
      </x:c>
      <x:c r="K173" t="n">
        <x:v>711</x:v>
      </x:c>
      <x:c r="L173" t="n">
        <x:v>302</x:v>
      </x:c>
      <x:c r="M173" t="n">
        <x:v>12</x:v>
      </x:c>
      <x:c r="N173" t="n">
        <x:v>0</x:v>
      </x:c>
      <x:c r="O173" s="37" t="n">
        <x:v>2145.9</x:v>
      </x:c>
      <x:c r="P173" s="37" t="n">
        <x:v>29081</x:v>
      </x:c>
      <x:c r="Q173" t="n">
        <x:v>14</x:v>
      </x:c>
      <x:c r="R173" t="n">
        <x:v>4</x:v>
      </x:c>
      <x:c r="S173" t="n">
        <x:v>29091</x:v>
      </x:c>
      <x:c r="T173" t="n">
        <x:v>28.7</x:v>
      </x:c>
    </x:row>
    <x:row r="174">
      <x:c r="A174" t="str">
        <x:v>SM0170</x:v>
      </x:c>
      <x:c r="B174" s="43" t="str">
        <x:v>2026-07-20</x:v>
      </x:c>
      <x:c r="C174" t="str">
        <x:v>2026-07</x:v>
      </x:c>
      <x:c r="D174" t="str">
        <x:v>Instagram</x:v>
      </x:c>
      <x:c r="E174" t="str">
        <x:v>Brand Trust</x:v>
      </x:c>
      <x:c r="F174" t="str">
        <x:v>Live Clip</x:v>
      </x:c>
      <x:c r="G174" t="str">
        <x:v>Customer Story</x:v>
      </x:c>
      <x:c r="H174" t="n">
        <x:v>0</x:v>
      </x:c>
      <x:c r="I174" t="n">
        <x:v>5608</x:v>
      </x:c>
      <x:c r="J174" t="n">
        <x:v>3647</x:v>
      </x:c>
      <x:c r="K174" t="n">
        <x:v>278</x:v>
      </x:c>
      <x:c r="L174" t="n">
        <x:v>151</x:v>
      </x:c>
      <x:c r="M174" t="n">
        <x:v>9</x:v>
      </x:c>
      <x:c r="N174" t="n">
        <x:v>0</x:v>
      </x:c>
      <x:c r="O174" s="37" t="n">
        <x:v>1584.49</x:v>
      </x:c>
      <x:c r="P174" s="37" t="n">
        <x:v>29091</x:v>
      </x:c>
      <x:c r="Q174" t="n">
        <x:v>4</x:v>
      </x:c>
      <x:c r="R174" t="n">
        <x:v>1</x:v>
      </x:c>
      <x:c r="S174" t="n">
        <x:v>29094</x:v>
      </x:c>
      <x:c r="T174" t="n">
        <x:v>30.7</x:v>
      </x:c>
    </x:row>
    <x:row r="175">
      <x:c r="A175" t="str">
        <x:v>SM0171</x:v>
      </x:c>
      <x:c r="B175" s="43" t="str">
        <x:v>2026-07-21</x:v>
      </x:c>
      <x:c r="C175" t="str">
        <x:v>2026-07</x:v>
      </x:c>
      <x:c r="D175" t="str">
        <x:v>Instagram</x:v>
      </x:c>
      <x:c r="E175" t="str">
        <x:v>Always On</x:v>
      </x:c>
      <x:c r="F175" t="str">
        <x:v>Short Video</x:v>
      </x:c>
      <x:c r="G175" t="str">
        <x:v>Industry Insight</x:v>
      </x:c>
      <x:c r="H175" t="n">
        <x:v>1</x:v>
      </x:c>
      <x:c r="I175" t="n">
        <x:v>21540</x:v>
      </x:c>
      <x:c r="J175" t="n">
        <x:v>17042</x:v>
      </x:c>
      <x:c r="K175" t="n">
        <x:v>647</x:v>
      </x:c>
      <x:c r="L175" t="n">
        <x:v>378</x:v>
      </x:c>
      <x:c r="M175" t="n">
        <x:v>25</x:v>
      </x:c>
      <x:c r="N175" t="n">
        <x:v>1122.27</x:v>
      </x:c>
      <x:c r="O175" s="37" t="n">
        <x:v>3373.35</x:v>
      </x:c>
      <x:c r="P175" s="37" t="n">
        <x:v>29094</x:v>
      </x:c>
      <x:c r="Q175" t="n">
        <x:v>19</x:v>
      </x:c>
      <x:c r="R175" t="n">
        <x:v>4</x:v>
      </x:c>
      <x:c r="S175" t="n">
        <x:v>29109</x:v>
      </x:c>
      <x:c r="T175" t="n">
        <x:v>21.6</x:v>
      </x:c>
    </x:row>
    <x:row r="176">
      <x:c r="A176" t="str">
        <x:v>SM0172</x:v>
      </x:c>
      <x:c r="B176" s="43" t="str">
        <x:v>2026-07-22</x:v>
      </x:c>
      <x:c r="C176" t="str">
        <x:v>2026-07</x:v>
      </x:c>
      <x:c r="D176" t="str">
        <x:v>Instagram</x:v>
      </x:c>
      <x:c r="E176" t="str">
        <x:v>Summer Launch</x:v>
      </x:c>
      <x:c r="F176" t="str">
        <x:v>Carousel</x:v>
      </x:c>
      <x:c r="G176" t="str">
        <x:v>Education</x:v>
      </x:c>
      <x:c r="H176" t="n">
        <x:v>0</x:v>
      </x:c>
      <x:c r="I176" t="n">
        <x:v>16614</x:v>
      </x:c>
      <x:c r="J176" t="n">
        <x:v>12636</x:v>
      </x:c>
      <x:c r="K176" t="n">
        <x:v>1157</x:v>
      </x:c>
      <x:c r="L176" t="n">
        <x:v>153</x:v>
      </x:c>
      <x:c r="M176" t="n">
        <x:v>13</x:v>
      </x:c>
      <x:c r="N176" t="n">
        <x:v>0</x:v>
      </x:c>
      <x:c r="O176" s="37" t="n">
        <x:v>2007.71</x:v>
      </x:c>
      <x:c r="P176" s="37" t="n">
        <x:v>29109</x:v>
      </x:c>
      <x:c r="Q176" t="n">
        <x:v>14</x:v>
      </x:c>
      <x:c r="R176" t="n">
        <x:v>4</x:v>
      </x:c>
      <x:c r="S176" t="n">
        <x:v>29119</x:v>
      </x:c>
      <x:c r="T176" t="n">
        <x:v>29.9</x:v>
      </x:c>
    </x:row>
    <x:row r="177">
      <x:c r="A177" t="str">
        <x:v>SM0173</x:v>
      </x:c>
      <x:c r="B177" s="43" t="str">
        <x:v>2026-07-23</x:v>
      </x:c>
      <x:c r="C177" t="str">
        <x:v>2026-07</x:v>
      </x:c>
      <x:c r="D177" t="str">
        <x:v>Instagram</x:v>
      </x:c>
      <x:c r="E177" t="str">
        <x:v>Lead Gen</x:v>
      </x:c>
      <x:c r="F177" t="str">
        <x:v>Static Image</x:v>
      </x:c>
      <x:c r="G177" t="str">
        <x:v>Customer Story</x:v>
      </x:c>
      <x:c r="H177" t="n">
        <x:v>0</x:v>
      </x:c>
      <x:c r="I177" t="n">
        <x:v>14778</x:v>
      </x:c>
      <x:c r="J177" t="n">
        <x:v>11280</x:v>
      </x:c>
      <x:c r="K177" t="n">
        <x:v>391</x:v>
      </x:c>
      <x:c r="L177" t="n">
        <x:v>148</x:v>
      </x:c>
      <x:c r="M177" t="n">
        <x:v>8</x:v>
      </x:c>
      <x:c r="N177" t="n">
        <x:v>0</x:v>
      </x:c>
      <x:c r="O177" s="37" t="n">
        <x:v>927.92</x:v>
      </x:c>
      <x:c r="P177" s="37" t="n">
        <x:v>29119</x:v>
      </x:c>
      <x:c r="Q177" t="n">
        <x:v>20</x:v>
      </x:c>
      <x:c r="R177" t="n">
        <x:v>3</x:v>
      </x:c>
      <x:c r="S177" t="n">
        <x:v>29136</x:v>
      </x:c>
      <x:c r="T177" t="n">
        <x:v>35.4</x:v>
      </x:c>
    </x:row>
    <x:row r="178">
      <x:c r="A178" t="str">
        <x:v>SM0174</x:v>
      </x:c>
      <x:c r="B178" s="43" t="str">
        <x:v>2026-07-24</x:v>
      </x:c>
      <x:c r="C178" t="str">
        <x:v>2026-07</x:v>
      </x:c>
      <x:c r="D178" t="str">
        <x:v>Instagram</x:v>
      </x:c>
      <x:c r="E178" t="str">
        <x:v>Brand Trust</x:v>
      </x:c>
      <x:c r="F178" t="str">
        <x:v>Article</x:v>
      </x:c>
      <x:c r="G178" t="str">
        <x:v>Industry Insight</x:v>
      </x:c>
      <x:c r="H178" t="n">
        <x:v>0</x:v>
      </x:c>
      <x:c r="I178" t="n">
        <x:v>12437</x:v>
      </x:c>
      <x:c r="J178" t="n">
        <x:v>8785</x:v>
      </x:c>
      <x:c r="K178" t="n">
        <x:v>353</x:v>
      </x:c>
      <x:c r="L178" t="n">
        <x:v>199</x:v>
      </x:c>
      <x:c r="M178" t="n">
        <x:v>7</x:v>
      </x:c>
      <x:c r="N178" t="n">
        <x:v>0</x:v>
      </x:c>
      <x:c r="O178" s="37" t="n">
        <x:v>1171.3</x:v>
      </x:c>
      <x:c r="P178" s="37" t="n">
        <x:v>29136</x:v>
      </x:c>
      <x:c r="Q178" t="n">
        <x:v>16</x:v>
      </x:c>
      <x:c r="R178" t="n">
        <x:v>3</x:v>
      </x:c>
      <x:c r="S178" t="n">
        <x:v>29149</x:v>
      </x:c>
      <x:c r="T178" t="n">
        <x:v>6.7</x:v>
      </x:c>
    </x:row>
    <x:row r="179">
      <x:c r="A179" t="str">
        <x:v>SM0175</x:v>
      </x:c>
      <x:c r="B179" s="43" t="str">
        <x:v>2026-07-25</x:v>
      </x:c>
      <x:c r="C179" t="str">
        <x:v>2026-07</x:v>
      </x:c>
      <x:c r="D179" t="str">
        <x:v>Instagram</x:v>
      </x:c>
      <x:c r="E179" t="str">
        <x:v>Always On</x:v>
      </x:c>
      <x:c r="F179" t="str">
        <x:v>Live Clip</x:v>
      </x:c>
      <x:c r="G179" t="str">
        <x:v>Education</x:v>
      </x:c>
      <x:c r="H179" t="n">
        <x:v>1</x:v>
      </x:c>
      <x:c r="I179" t="n">
        <x:v>3833</x:v>
      </x:c>
      <x:c r="J179" t="n">
        <x:v>2832</x:v>
      </x:c>
      <x:c r="K179" t="n">
        <x:v>247</x:v>
      </x:c>
      <x:c r="L179" t="n">
        <x:v>110</x:v>
      </x:c>
      <x:c r="M179" t="n">
        <x:v>12</x:v>
      </x:c>
      <x:c r="N179" t="n">
        <x:v>593.57</x:v>
      </x:c>
      <x:c r="O179" s="37" t="n">
        <x:v>1156.8</x:v>
      </x:c>
      <x:c r="P179" s="37" t="n">
        <x:v>29149</x:v>
      </x:c>
      <x:c r="Q179" t="n">
        <x:v>7</x:v>
      </x:c>
      <x:c r="R179" t="n">
        <x:v>1</x:v>
      </x:c>
      <x:c r="S179" t="n">
        <x:v>29155</x:v>
      </x:c>
      <x:c r="T179" t="n">
        <x:v>26.1</x:v>
      </x:c>
    </x:row>
    <x:row r="180">
      <x:c r="A180" t="str">
        <x:v>SM0176</x:v>
      </x:c>
      <x:c r="B180" s="43" t="str">
        <x:v>2026-07-26</x:v>
      </x:c>
      <x:c r="C180" t="str">
        <x:v>2026-07</x:v>
      </x:c>
      <x:c r="D180" t="str">
        <x:v>Instagram</x:v>
      </x:c>
      <x:c r="E180" t="str">
        <x:v>Summer Launch</x:v>
      </x:c>
      <x:c r="F180" t="str">
        <x:v>Short Video</x:v>
      </x:c>
      <x:c r="G180" t="str">
        <x:v>Customer Story</x:v>
      </x:c>
      <x:c r="H180" t="n">
        <x:v>0</x:v>
      </x:c>
      <x:c r="I180" t="n">
        <x:v>12340</x:v>
      </x:c>
      <x:c r="J180" t="n">
        <x:v>8714</x:v>
      </x:c>
      <x:c r="K180" t="n">
        <x:v>737</x:v>
      </x:c>
      <x:c r="L180" t="n">
        <x:v>263</x:v>
      </x:c>
      <x:c r="M180" t="n">
        <x:v>16</x:v>
      </x:c>
      <x:c r="N180" t="n">
        <x:v>0</x:v>
      </x:c>
      <x:c r="O180" s="37" t="n">
        <x:v>2839.86</x:v>
      </x:c>
      <x:c r="P180" s="37" t="n">
        <x:v>29155</x:v>
      </x:c>
      <x:c r="Q180" t="n">
        <x:v>17</x:v>
      </x:c>
      <x:c r="R180" t="n">
        <x:v>5</x:v>
      </x:c>
      <x:c r="S180" t="n">
        <x:v>29167</x:v>
      </x:c>
      <x:c r="T180" t="n">
        <x:v>45.9</x:v>
      </x:c>
    </x:row>
    <x:row r="181">
      <x:c r="A181" t="str">
        <x:v>SM0177</x:v>
      </x:c>
      <x:c r="B181" s="43" t="str">
        <x:v>2026-07-27</x:v>
      </x:c>
      <x:c r="C181" t="str">
        <x:v>2026-07</x:v>
      </x:c>
      <x:c r="D181" t="str">
        <x:v>Instagram</x:v>
      </x:c>
      <x:c r="E181" t="str">
        <x:v>Lead Gen</x:v>
      </x:c>
      <x:c r="F181" t="str">
        <x:v>Carousel</x:v>
      </x:c>
      <x:c r="G181" t="str">
        <x:v>Industry Insight</x:v>
      </x:c>
      <x:c r="H181" t="n">
        <x:v>0</x:v>
      </x:c>
      <x:c r="I181" t="n">
        <x:v>5405</x:v>
      </x:c>
      <x:c r="J181" t="n">
        <x:v>3716</x:v>
      </x:c>
      <x:c r="K181" t="n">
        <x:v>370</x:v>
      </x:c>
      <x:c r="L181" t="n">
        <x:v>155</x:v>
      </x:c>
      <x:c r="M181" t="n">
        <x:v>15</x:v>
      </x:c>
      <x:c r="N181" t="n">
        <x:v>0</x:v>
      </x:c>
      <x:c r="O181" s="37" t="n">
        <x:v>1208.97</x:v>
      </x:c>
      <x:c r="P181" s="37" t="n">
        <x:v>29167</x:v>
      </x:c>
      <x:c r="Q181" t="n">
        <x:v>4</x:v>
      </x:c>
      <x:c r="R181" t="n">
        <x:v>1</x:v>
      </x:c>
      <x:c r="S181" t="n">
        <x:v>29170</x:v>
      </x:c>
      <x:c r="T181" t="n">
        <x:v>9.5</x:v>
      </x:c>
    </x:row>
    <x:row r="182">
      <x:c r="A182" t="str">
        <x:v>SM0178</x:v>
      </x:c>
      <x:c r="B182" s="43" t="str">
        <x:v>2026-07-28</x:v>
      </x:c>
      <x:c r="C182" t="str">
        <x:v>2026-07</x:v>
      </x:c>
      <x:c r="D182" t="str">
        <x:v>Instagram</x:v>
      </x:c>
      <x:c r="E182" t="str">
        <x:v>Brand Trust</x:v>
      </x:c>
      <x:c r="F182" t="str">
        <x:v>Static Image</x:v>
      </x:c>
      <x:c r="G182" t="str">
        <x:v>Education</x:v>
      </x:c>
      <x:c r="H182" t="n">
        <x:v>0</x:v>
      </x:c>
      <x:c r="I182" t="n">
        <x:v>13857</x:v>
      </x:c>
      <x:c r="J182" t="n">
        <x:v>9824</x:v>
      </x:c>
      <x:c r="K182" t="n">
        <x:v>705</x:v>
      </x:c>
      <x:c r="L182" t="n">
        <x:v>201</x:v>
      </x:c>
      <x:c r="M182" t="n">
        <x:v>12</x:v>
      </x:c>
      <x:c r="N182" t="n">
        <x:v>0</x:v>
      </x:c>
      <x:c r="O182" s="37" t="n">
        <x:v>2086.64</x:v>
      </x:c>
      <x:c r="P182" s="37" t="n">
        <x:v>29170</x:v>
      </x:c>
      <x:c r="Q182" t="n">
        <x:v>12</x:v>
      </x:c>
      <x:c r="R182" t="n">
        <x:v>2</x:v>
      </x:c>
      <x:c r="S182" t="n">
        <x:v>29180</x:v>
      </x:c>
      <x:c r="T182" t="n">
        <x:v>43.7</x:v>
      </x:c>
    </x:row>
    <x:row r="183">
      <x:c r="A183" t="str">
        <x:v>SM0179</x:v>
      </x:c>
      <x:c r="B183" s="43" t="str">
        <x:v>2026-07-29</x:v>
      </x:c>
      <x:c r="C183" t="str">
        <x:v>2026-07</x:v>
      </x:c>
      <x:c r="D183" t="str">
        <x:v>Instagram</x:v>
      </x:c>
      <x:c r="E183" t="str">
        <x:v>Always On</x:v>
      </x:c>
      <x:c r="F183" t="str">
        <x:v>Article</x:v>
      </x:c>
      <x:c r="G183" t="str">
        <x:v>Customer Story</x:v>
      </x:c>
      <x:c r="H183" t="n">
        <x:v>1</x:v>
      </x:c>
      <x:c r="I183" t="n">
        <x:v>6690</x:v>
      </x:c>
      <x:c r="J183" t="n">
        <x:v>4617</x:v>
      </x:c>
      <x:c r="K183" t="n">
        <x:v>247</x:v>
      </x:c>
      <x:c r="L183" t="n">
        <x:v>122</x:v>
      </x:c>
      <x:c r="M183" t="n">
        <x:v>5</x:v>
      </x:c>
      <x:c r="N183" t="n">
        <x:v>356.61</x:v>
      </x:c>
      <x:c r="O183" s="37" t="n">
        <x:v>607.83</x:v>
      </x:c>
      <x:c r="P183" s="37" t="n">
        <x:v>29180</x:v>
      </x:c>
      <x:c r="Q183" t="n">
        <x:v>6</x:v>
      </x:c>
      <x:c r="R183" t="n">
        <x:v>1</x:v>
      </x:c>
      <x:c r="S183" t="n">
        <x:v>29185</x:v>
      </x:c>
      <x:c r="T183" t="n">
        <x:v>20.5</x:v>
      </x:c>
    </x:row>
    <x:row r="184">
      <x:c r="A184" t="str">
        <x:v>SM0180</x:v>
      </x:c>
      <x:c r="B184" s="43" t="str">
        <x:v>2026-07-30</x:v>
      </x:c>
      <x:c r="C184" t="str">
        <x:v>2026-07</x:v>
      </x:c>
      <x:c r="D184" t="str">
        <x:v>Instagram</x:v>
      </x:c>
      <x:c r="E184" t="str">
        <x:v>Summer Launch</x:v>
      </x:c>
      <x:c r="F184" t="str">
        <x:v>Live Clip</x:v>
      </x:c>
      <x:c r="G184" t="str">
        <x:v>Industry Insight</x:v>
      </x:c>
      <x:c r="H184" t="n">
        <x:v>0</x:v>
      </x:c>
      <x:c r="I184" t="n">
        <x:v>11983</x:v>
      </x:c>
      <x:c r="J184" t="n">
        <x:v>9111</x:v>
      </x:c>
      <x:c r="K184" t="n">
        <x:v>630</x:v>
      </x:c>
      <x:c r="L184" t="n">
        <x:v>359</x:v>
      </x:c>
      <x:c r="M184" t="n">
        <x:v>13</x:v>
      </x:c>
      <x:c r="N184" t="n">
        <x:v>0</x:v>
      </x:c>
      <x:c r="O184" s="37" t="n">
        <x:v>1898.12</x:v>
      </x:c>
      <x:c r="P184" s="37" t="n">
        <x:v>29185</x:v>
      </x:c>
      <x:c r="Q184" t="n">
        <x:v>21</x:v>
      </x:c>
      <x:c r="R184" t="n">
        <x:v>4</x:v>
      </x:c>
      <x:c r="S184" t="n">
        <x:v>29202</x:v>
      </x:c>
      <x:c r="T184" t="n">
        <x:v>11.2</x:v>
      </x:c>
    </x:row>
    <x:row r="185">
      <x:c r="A185" t="str">
        <x:v>SM0181</x:v>
      </x:c>
      <x:c r="B185" s="43" t="str">
        <x:v>2026-07-31</x:v>
      </x:c>
      <x:c r="C185" t="str">
        <x:v>2026-07</x:v>
      </x:c>
      <x:c r="D185" t="str">
        <x:v>Instagram</x:v>
      </x:c>
      <x:c r="E185" t="str">
        <x:v>Lead Gen</x:v>
      </x:c>
      <x:c r="F185" t="str">
        <x:v>Short Video</x:v>
      </x:c>
      <x:c r="G185" t="str">
        <x:v>Education</x:v>
      </x:c>
      <x:c r="H185" t="n">
        <x:v>0</x:v>
      </x:c>
      <x:c r="I185" t="n">
        <x:v>7148</x:v>
      </x:c>
      <x:c r="J185" t="n">
        <x:v>5212</x:v>
      </x:c>
      <x:c r="K185" t="n">
        <x:v>332</x:v>
      </x:c>
      <x:c r="L185" t="n">
        <x:v>155</x:v>
      </x:c>
      <x:c r="M185" t="n">
        <x:v>17</x:v>
      </x:c>
      <x:c r="N185" t="n">
        <x:v>0</x:v>
      </x:c>
      <x:c r="O185" s="37" t="n">
        <x:v>2479.3</x:v>
      </x:c>
      <x:c r="P185" s="37" t="n">
        <x:v>29202</x:v>
      </x:c>
      <x:c r="Q185" t="n">
        <x:v>9</x:v>
      </x:c>
      <x:c r="R185" t="n">
        <x:v>2</x:v>
      </x:c>
      <x:c r="S185" t="n">
        <x:v>29209</x:v>
      </x:c>
      <x:c r="T185" t="n">
        <x:v>39.4</x:v>
      </x:c>
    </x:row>
    <x:row r="186">
      <x:c r="A186" t="str">
        <x:v>SM0182</x:v>
      </x:c>
      <x:c r="B186" s="43" t="str">
        <x:v>2026-07-01</x:v>
      </x:c>
      <x:c r="C186" t="str">
        <x:v>2026-07</x:v>
      </x:c>
      <x:c r="D186" t="str">
        <x:v>Instagram</x:v>
      </x:c>
      <x:c r="E186" t="str">
        <x:v>Brand Trust</x:v>
      </x:c>
      <x:c r="F186" t="str">
        <x:v>Carousel</x:v>
      </x:c>
      <x:c r="G186" t="str">
        <x:v>Customer Story</x:v>
      </x:c>
      <x:c r="H186" t="n">
        <x:v>0</x:v>
      </x:c>
      <x:c r="I186" t="n">
        <x:v>15250</x:v>
      </x:c>
      <x:c r="J186" t="n">
        <x:v>11708</x:v>
      </x:c>
      <x:c r="K186" t="n">
        <x:v>487</x:v>
      </x:c>
      <x:c r="L186" t="n">
        <x:v>272</x:v>
      </x:c>
      <x:c r="M186" t="n">
        <x:v>14</x:v>
      </x:c>
      <x:c r="N186" t="n">
        <x:v>0</x:v>
      </x:c>
      <x:c r="O186" s="37" t="n">
        <x:v>2540.73</x:v>
      </x:c>
      <x:c r="P186" s="37" t="n">
        <x:v>29209</x:v>
      </x:c>
      <x:c r="Q186" t="n">
        <x:v>17</x:v>
      </x:c>
      <x:c r="R186" t="n">
        <x:v>4</x:v>
      </x:c>
      <x:c r="S186" t="n">
        <x:v>29222</x:v>
      </x:c>
      <x:c r="T186" t="n">
        <x:v>35.3</x:v>
      </x:c>
    </x:row>
    <x:row r="187">
      <x:c r="A187" t="str">
        <x:v>SM0183</x:v>
      </x:c>
      <x:c r="B187" s="43" t="str">
        <x:v>2026-07-02</x:v>
      </x:c>
      <x:c r="C187" t="str">
        <x:v>2026-07</x:v>
      </x:c>
      <x:c r="D187" t="str">
        <x:v>Instagram</x:v>
      </x:c>
      <x:c r="E187" t="str">
        <x:v>Always On</x:v>
      </x:c>
      <x:c r="F187" t="str">
        <x:v>Static Image</x:v>
      </x:c>
      <x:c r="G187" t="str">
        <x:v>Industry Insight</x:v>
      </x:c>
      <x:c r="H187" t="n">
        <x:v>1</x:v>
      </x:c>
      <x:c r="I187" t="n">
        <x:v>4208</x:v>
      </x:c>
      <x:c r="J187" t="n">
        <x:v>3229</x:v>
      </x:c>
      <x:c r="K187" t="n">
        <x:v>252</x:v>
      </x:c>
      <x:c r="L187" t="n">
        <x:v>85</x:v>
      </x:c>
      <x:c r="M187" t="n">
        <x:v>8</x:v>
      </x:c>
      <x:c r="N187" t="n">
        <x:v>552.73</x:v>
      </x:c>
      <x:c r="O187" s="37" t="n">
        <x:v>949.24</x:v>
      </x:c>
      <x:c r="P187" s="37" t="n">
        <x:v>29222</x:v>
      </x:c>
      <x:c r="Q187" t="n">
        <x:v>7</x:v>
      </x:c>
      <x:c r="R187" t="n">
        <x:v>2</x:v>
      </x:c>
      <x:c r="S187" t="n">
        <x:v>29227</x:v>
      </x:c>
      <x:c r="T187" t="n">
        <x:v>44.9</x:v>
      </x:c>
    </x:row>
    <x:row r="188">
      <x:c r="A188" t="str">
        <x:v>SM0184</x:v>
      </x:c>
      <x:c r="B188" s="43" t="str">
        <x:v>2026-07-03</x:v>
      </x:c>
      <x:c r="C188" t="str">
        <x:v>2026-07</x:v>
      </x:c>
      <x:c r="D188" t="str">
        <x:v>Instagram</x:v>
      </x:c>
      <x:c r="E188" t="str">
        <x:v>Summer Launch</x:v>
      </x:c>
      <x:c r="F188" t="str">
        <x:v>Article</x:v>
      </x:c>
      <x:c r="G188" t="str">
        <x:v>Education</x:v>
      </x:c>
      <x:c r="H188" t="n">
        <x:v>0</x:v>
      </x:c>
      <x:c r="I188" t="n">
        <x:v>14680</x:v>
      </x:c>
      <x:c r="J188" t="n">
        <x:v>10666</x:v>
      </x:c>
      <x:c r="K188" t="n">
        <x:v>746</x:v>
      </x:c>
      <x:c r="L188" t="n">
        <x:v>413</x:v>
      </x:c>
      <x:c r="M188" t="n">
        <x:v>32</x:v>
      </x:c>
      <x:c r="N188" t="n">
        <x:v>0</x:v>
      </x:c>
      <x:c r="O188" s="37" t="n">
        <x:v>3385.92</x:v>
      </x:c>
      <x:c r="P188" s="37" t="n">
        <x:v>29227</x:v>
      </x:c>
      <x:c r="Q188" t="n">
        <x:v>21</x:v>
      </x:c>
      <x:c r="R188" t="n">
        <x:v>7</x:v>
      </x:c>
      <x:c r="S188" t="n">
        <x:v>29241</x:v>
      </x:c>
      <x:c r="T188" t="n">
        <x:v>41</x:v>
      </x:c>
    </x:row>
    <x:row r="189">
      <x:c r="A189" t="str">
        <x:v>SM0185</x:v>
      </x:c>
      <x:c r="B189" s="43" t="str">
        <x:v>2026-07-01</x:v>
      </x:c>
      <x:c r="C189" t="str">
        <x:v>2026-07</x:v>
      </x:c>
      <x:c r="D189" t="str">
        <x:v>Facebook</x:v>
      </x:c>
      <x:c r="E189" t="str">
        <x:v>Lead Gen</x:v>
      </x:c>
      <x:c r="F189" t="str">
        <x:v>Carousel</x:v>
      </x:c>
      <x:c r="G189" t="str">
        <x:v>Product</x:v>
      </x:c>
      <x:c r="H189" t="n">
        <x:v>1</x:v>
      </x:c>
      <x:c r="I189" t="n">
        <x:v>7954</x:v>
      </x:c>
      <x:c r="J189" t="n">
        <x:v>5828</x:v>
      </x:c>
      <x:c r="K189" t="n">
        <x:v>352</x:v>
      </x:c>
      <x:c r="L189" t="n">
        <x:v>93</x:v>
      </x:c>
      <x:c r="M189" t="n">
        <x:v>8</x:v>
      </x:c>
      <x:c r="N189" t="n">
        <x:v>576.69</x:v>
      </x:c>
      <x:c r="O189" s="37" t="n">
        <x:v>642.64</x:v>
      </x:c>
      <x:c r="P189" s="37" t="n">
        <x:v>20128</x:v>
      </x:c>
      <x:c r="Q189" t="n">
        <x:v>9</x:v>
      </x:c>
      <x:c r="R189" t="n">
        <x:v>1</x:v>
      </x:c>
      <x:c r="S189" t="n">
        <x:v>20136</x:v>
      </x:c>
      <x:c r="T189" t="n">
        <x:v>19</x:v>
      </x:c>
    </x:row>
    <x:row r="190">
      <x:c r="A190" t="str">
        <x:v>SM0186</x:v>
      </x:c>
      <x:c r="B190" s="43" t="str">
        <x:v>2026-07-02</x:v>
      </x:c>
      <x:c r="C190" t="str">
        <x:v>2026-07</x:v>
      </x:c>
      <x:c r="D190" t="str">
        <x:v>Facebook</x:v>
      </x:c>
      <x:c r="E190" t="str">
        <x:v>Brand Trust</x:v>
      </x:c>
      <x:c r="F190" t="str">
        <x:v>Static Image</x:v>
      </x:c>
      <x:c r="G190" t="str">
        <x:v>Behind the Scenes</x:v>
      </x:c>
      <x:c r="H190" t="n">
        <x:v>0</x:v>
      </x:c>
      <x:c r="I190" t="n">
        <x:v>8468</x:v>
      </x:c>
      <x:c r="J190" t="n">
        <x:v>5706</x:v>
      </x:c>
      <x:c r="K190" t="n">
        <x:v>310</x:v>
      </x:c>
      <x:c r="L190" t="n">
        <x:v>86</x:v>
      </x:c>
      <x:c r="M190" t="n">
        <x:v>9</x:v>
      </x:c>
      <x:c r="N190" t="n">
        <x:v>0</x:v>
      </x:c>
      <x:c r="O190" s="37" t="n">
        <x:v>1067.3</x:v>
      </x:c>
      <x:c r="P190" s="37" t="n">
        <x:v>20136</x:v>
      </x:c>
      <x:c r="Q190" t="n">
        <x:v>14</x:v>
      </x:c>
      <x:c r="R190" t="n">
        <x:v>4</x:v>
      </x:c>
      <x:c r="S190" t="n">
        <x:v>20146</x:v>
      </x:c>
      <x:c r="T190" t="n">
        <x:v>32.1</x:v>
      </x:c>
    </x:row>
    <x:row r="191">
      <x:c r="A191" t="str">
        <x:v>SM0187</x:v>
      </x:c>
      <x:c r="B191" s="43" t="str">
        <x:v>2026-07-03</x:v>
      </x:c>
      <x:c r="C191" t="str">
        <x:v>2026-07</x:v>
      </x:c>
      <x:c r="D191" t="str">
        <x:v>Facebook</x:v>
      </x:c>
      <x:c r="E191" t="str">
        <x:v>Always On</x:v>
      </x:c>
      <x:c r="F191" t="str">
        <x:v>Article</x:v>
      </x:c>
      <x:c r="G191" t="str">
        <x:v>Promotion</x:v>
      </x:c>
      <x:c r="H191" t="n">
        <x:v>1</x:v>
      </x:c>
      <x:c r="I191" t="n">
        <x:v>2688</x:v>
      </x:c>
      <x:c r="J191" t="n">
        <x:v>1927</x:v>
      </x:c>
      <x:c r="K191" t="n">
        <x:v>118</x:v>
      </x:c>
      <x:c r="L191" t="n">
        <x:v>56</x:v>
      </x:c>
      <x:c r="M191" t="n">
        <x:v>5</x:v>
      </x:c>
      <x:c r="N191" t="n">
        <x:v>366.18</x:v>
      </x:c>
      <x:c r="O191" s="37" t="n">
        <x:v>409.04</x:v>
      </x:c>
      <x:c r="P191" s="37" t="n">
        <x:v>20146</x:v>
      </x:c>
      <x:c r="Q191" t="n">
        <x:v>4</x:v>
      </x:c>
      <x:c r="R191" t="n">
        <x:v>1</x:v>
      </x:c>
      <x:c r="S191" t="n">
        <x:v>20149</x:v>
      </x:c>
      <x:c r="T191" t="n">
        <x:v>31.6</x:v>
      </x:c>
    </x:row>
    <x:row r="192">
      <x:c r="A192" t="str">
        <x:v>SM0188</x:v>
      </x:c>
      <x:c r="B192" s="43" t="str">
        <x:v>2026-07-04</x:v>
      </x:c>
      <x:c r="C192" t="str">
        <x:v>2026-07</x:v>
      </x:c>
      <x:c r="D192" t="str">
        <x:v>Facebook</x:v>
      </x:c>
      <x:c r="E192" t="str">
        <x:v>Summer Launch</x:v>
      </x:c>
      <x:c r="F192" t="str">
        <x:v>Live Clip</x:v>
      </x:c>
      <x:c r="G192" t="str">
        <x:v>Product</x:v>
      </x:c>
      <x:c r="H192" t="n">
        <x:v>0</x:v>
      </x:c>
      <x:c r="I192" t="n">
        <x:v>10304</x:v>
      </x:c>
      <x:c r="J192" t="n">
        <x:v>8003</x:v>
      </x:c>
      <x:c r="K192" t="n">
        <x:v>286</x:v>
      </x:c>
      <x:c r="L192" t="n">
        <x:v>146</x:v>
      </x:c>
      <x:c r="M192" t="n">
        <x:v>15</x:v>
      </x:c>
      <x:c r="N192" t="n">
        <x:v>0</x:v>
      </x:c>
      <x:c r="O192" s="37" t="n">
        <x:v>2184.22</x:v>
      </x:c>
      <x:c r="P192" s="37" t="n">
        <x:v>20149</x:v>
      </x:c>
      <x:c r="Q192" t="n">
        <x:v>11</x:v>
      </x:c>
      <x:c r="R192" t="n">
        <x:v>2</x:v>
      </x:c>
      <x:c r="S192" t="n">
        <x:v>20158</x:v>
      </x:c>
      <x:c r="T192" t="n">
        <x:v>35</x:v>
      </x:c>
    </x:row>
    <x:row r="193">
      <x:c r="A193" t="str">
        <x:v>SM0189</x:v>
      </x:c>
      <x:c r="B193" s="43" t="str">
        <x:v>2026-07-05</x:v>
      </x:c>
      <x:c r="C193" t="str">
        <x:v>2026-07</x:v>
      </x:c>
      <x:c r="D193" t="str">
        <x:v>Facebook</x:v>
      </x:c>
      <x:c r="E193" t="str">
        <x:v>Lead Gen</x:v>
      </x:c>
      <x:c r="F193" t="str">
        <x:v>Short Video</x:v>
      </x:c>
      <x:c r="G193" t="str">
        <x:v>Behind the Scenes</x:v>
      </x:c>
      <x:c r="H193" t="n">
        <x:v>1</x:v>
      </x:c>
      <x:c r="I193" t="n">
        <x:v>3945</x:v>
      </x:c>
      <x:c r="J193" t="n">
        <x:v>2674</x:v>
      </x:c>
      <x:c r="K193" t="n">
        <x:v>82</x:v>
      </x:c>
      <x:c r="L193" t="n">
        <x:v>47</x:v>
      </x:c>
      <x:c r="M193" t="n">
        <x:v>5</x:v>
      </x:c>
      <x:c r="N193" t="n">
        <x:v>365.74</x:v>
      </x:c>
      <x:c r="O193" s="37" t="n">
        <x:v>867.15</x:v>
      </x:c>
      <x:c r="P193" s="37" t="n">
        <x:v>20158</x:v>
      </x:c>
      <x:c r="Q193" t="n">
        <x:v>5</x:v>
      </x:c>
      <x:c r="R193" t="n">
        <x:v>2</x:v>
      </x:c>
      <x:c r="S193" t="n">
        <x:v>20161</x:v>
      </x:c>
      <x:c r="T193" t="n">
        <x:v>31.6</x:v>
      </x:c>
    </x:row>
    <x:row r="194">
      <x:c r="A194" t="str">
        <x:v>SM0190</x:v>
      </x:c>
      <x:c r="B194" s="43" t="str">
        <x:v>2026-07-06</x:v>
      </x:c>
      <x:c r="C194" t="str">
        <x:v>2026-07</x:v>
      </x:c>
      <x:c r="D194" t="str">
        <x:v>Facebook</x:v>
      </x:c>
      <x:c r="E194" t="str">
        <x:v>Brand Trust</x:v>
      </x:c>
      <x:c r="F194" t="str">
        <x:v>Carousel</x:v>
      </x:c>
      <x:c r="G194" t="str">
        <x:v>Promotion</x:v>
      </x:c>
      <x:c r="H194" t="n">
        <x:v>1</x:v>
      </x:c>
      <x:c r="I194" t="n">
        <x:v>10569</x:v>
      </x:c>
      <x:c r="J194" t="n">
        <x:v>7316</x:v>
      </x:c>
      <x:c r="K194" t="n">
        <x:v>427</x:v>
      </x:c>
      <x:c r="L194" t="n">
        <x:v>124</x:v>
      </x:c>
      <x:c r="M194" t="n">
        <x:v>11</x:v>
      </x:c>
      <x:c r="N194" t="n">
        <x:v>583.36</x:v>
      </x:c>
      <x:c r="O194" s="37" t="n">
        <x:v>1190.32</x:v>
      </x:c>
      <x:c r="P194" s="37" t="n">
        <x:v>20161</x:v>
      </x:c>
      <x:c r="Q194" t="n">
        <x:v>9</x:v>
      </x:c>
      <x:c r="R194" t="n">
        <x:v>1</x:v>
      </x:c>
      <x:c r="S194" t="n">
        <x:v>20169</x:v>
      </x:c>
      <x:c r="T194" t="n">
        <x:v>43.3</x:v>
      </x:c>
    </x:row>
    <x:row r="195">
      <x:c r="A195" t="str">
        <x:v>SM0191</x:v>
      </x:c>
      <x:c r="B195" s="43" t="str">
        <x:v>2026-07-07</x:v>
      </x:c>
      <x:c r="C195" t="str">
        <x:v>2026-07</x:v>
      </x:c>
      <x:c r="D195" t="str">
        <x:v>Facebook</x:v>
      </x:c>
      <x:c r="E195" t="str">
        <x:v>Always On</x:v>
      </x:c>
      <x:c r="F195" t="str">
        <x:v>Static Image</x:v>
      </x:c>
      <x:c r="G195" t="str">
        <x:v>Product</x:v>
      </x:c>
      <x:c r="H195" t="n">
        <x:v>0</x:v>
      </x:c>
      <x:c r="I195" t="n">
        <x:v>5898</x:v>
      </x:c>
      <x:c r="J195" t="n">
        <x:v>3764</x:v>
      </x:c>
      <x:c r="K195" t="n">
        <x:v>225</x:v>
      </x:c>
      <x:c r="L195" t="n">
        <x:v>108</x:v>
      </x:c>
      <x:c r="M195" t="n">
        <x:v>6</x:v>
      </x:c>
      <x:c r="N195" t="n">
        <x:v>0</x:v>
      </x:c>
      <x:c r="O195" s="37" t="n">
        <x:v>975.06</x:v>
      </x:c>
      <x:c r="P195" s="37" t="n">
        <x:v>20169</x:v>
      </x:c>
      <x:c r="Q195" t="n">
        <x:v>5</x:v>
      </x:c>
      <x:c r="R195" t="n">
        <x:v>2</x:v>
      </x:c>
      <x:c r="S195" t="n">
        <x:v>20172</x:v>
      </x:c>
      <x:c r="T195" t="n">
        <x:v>48.8</x:v>
      </x:c>
    </x:row>
    <x:row r="196">
      <x:c r="A196" t="str">
        <x:v>SM0192</x:v>
      </x:c>
      <x:c r="B196" s="43" t="str">
        <x:v>2026-07-08</x:v>
      </x:c>
      <x:c r="C196" t="str">
        <x:v>2026-07</x:v>
      </x:c>
      <x:c r="D196" t="str">
        <x:v>Facebook</x:v>
      </x:c>
      <x:c r="E196" t="str">
        <x:v>Summer Launch</x:v>
      </x:c>
      <x:c r="F196" t="str">
        <x:v>Article</x:v>
      </x:c>
      <x:c r="G196" t="str">
        <x:v>Behind the Scenes</x:v>
      </x:c>
      <x:c r="H196" t="n">
        <x:v>0</x:v>
      </x:c>
      <x:c r="I196" t="n">
        <x:v>4312</x:v>
      </x:c>
      <x:c r="J196" t="n">
        <x:v>2948</x:v>
      </x:c>
      <x:c r="K196" t="n">
        <x:v>126</x:v>
      </x:c>
      <x:c r="L196" t="n">
        <x:v>68</x:v>
      </x:c>
      <x:c r="M196" t="n">
        <x:v>5</x:v>
      </x:c>
      <x:c r="N196" t="n">
        <x:v>0</x:v>
      </x:c>
      <x:c r="O196" s="37" t="n">
        <x:v>519.06</x:v>
      </x:c>
      <x:c r="P196" s="37" t="n">
        <x:v>20172</x:v>
      </x:c>
      <x:c r="Q196" t="n">
        <x:v>5</x:v>
      </x:c>
      <x:c r="R196" t="n">
        <x:v>1</x:v>
      </x:c>
      <x:c r="S196" t="n">
        <x:v>20176</x:v>
      </x:c>
      <x:c r="T196" t="n">
        <x:v>32.8</x:v>
      </x:c>
    </x:row>
    <x:row r="197">
      <x:c r="A197" t="str">
        <x:v>SM0193</x:v>
      </x:c>
      <x:c r="B197" s="43" t="str">
        <x:v>2026-07-09</x:v>
      </x:c>
      <x:c r="C197" t="str">
        <x:v>2026-07</x:v>
      </x:c>
      <x:c r="D197" t="str">
        <x:v>Facebook</x:v>
      </x:c>
      <x:c r="E197" t="str">
        <x:v>Lead Gen</x:v>
      </x:c>
      <x:c r="F197" t="str">
        <x:v>Live Clip</x:v>
      </x:c>
      <x:c r="G197" t="str">
        <x:v>Promotion</x:v>
      </x:c>
      <x:c r="H197" t="n">
        <x:v>1</x:v>
      </x:c>
      <x:c r="I197" t="n">
        <x:v>8054</x:v>
      </x:c>
      <x:c r="J197" t="n">
        <x:v>5423</x:v>
      </x:c>
      <x:c r="K197" t="n">
        <x:v>257</x:v>
      </x:c>
      <x:c r="L197" t="n">
        <x:v>56</x:v>
      </x:c>
      <x:c r="M197" t="n">
        <x:v>3</x:v>
      </x:c>
      <x:c r="N197" t="n">
        <x:v>936.72</x:v>
      </x:c>
      <x:c r="O197" s="37" t="n">
        <x:v>429.92</x:v>
      </x:c>
      <x:c r="P197" s="37" t="n">
        <x:v>20176</x:v>
      </x:c>
      <x:c r="Q197" t="n">
        <x:v>5</x:v>
      </x:c>
      <x:c r="R197" t="n">
        <x:v>2</x:v>
      </x:c>
      <x:c r="S197" t="n">
        <x:v>20179</x:v>
      </x:c>
      <x:c r="T197" t="n">
        <x:v>26.6</x:v>
      </x:c>
    </x:row>
    <x:row r="198">
      <x:c r="A198" t="str">
        <x:v>SM0194</x:v>
      </x:c>
      <x:c r="B198" s="43" t="str">
        <x:v>2026-07-10</x:v>
      </x:c>
      <x:c r="C198" t="str">
        <x:v>2026-07</x:v>
      </x:c>
      <x:c r="D198" t="str">
        <x:v>Facebook</x:v>
      </x:c>
      <x:c r="E198" t="str">
        <x:v>Brand Trust</x:v>
      </x:c>
      <x:c r="F198" t="str">
        <x:v>Short Video</x:v>
      </x:c>
      <x:c r="G198" t="str">
        <x:v>Product</x:v>
      </x:c>
      <x:c r="H198" t="n">
        <x:v>0</x:v>
      </x:c>
      <x:c r="I198" t="n">
        <x:v>12103</x:v>
      </x:c>
      <x:c r="J198" t="n">
        <x:v>8859</x:v>
      </x:c>
      <x:c r="K198" t="n">
        <x:v>282</x:v>
      </x:c>
      <x:c r="L198" t="n">
        <x:v>155</x:v>
      </x:c>
      <x:c r="M198" t="n">
        <x:v>9</x:v>
      </x:c>
      <x:c r="N198" t="n">
        <x:v>0</x:v>
      </x:c>
      <x:c r="O198" s="37" t="n">
        <x:v>978.01</x:v>
      </x:c>
      <x:c r="P198" s="37" t="n">
        <x:v>20179</x:v>
      </x:c>
      <x:c r="Q198" t="n">
        <x:v>17</x:v>
      </x:c>
      <x:c r="R198" t="n">
        <x:v>4</x:v>
      </x:c>
      <x:c r="S198" t="n">
        <x:v>20192</x:v>
      </x:c>
      <x:c r="T198" t="n">
        <x:v>37</x:v>
      </x:c>
    </x:row>
    <x:row r="199">
      <x:c r="A199" t="str">
        <x:v>SM0195</x:v>
      </x:c>
      <x:c r="B199" s="43" t="str">
        <x:v>2026-07-11</x:v>
      </x:c>
      <x:c r="C199" t="str">
        <x:v>2026-07</x:v>
      </x:c>
      <x:c r="D199" t="str">
        <x:v>Facebook</x:v>
      </x:c>
      <x:c r="E199" t="str">
        <x:v>Always On</x:v>
      </x:c>
      <x:c r="F199" t="str">
        <x:v>Carousel</x:v>
      </x:c>
      <x:c r="G199" t="str">
        <x:v>Behind the Scenes</x:v>
      </x:c>
      <x:c r="H199" t="n">
        <x:v>0</x:v>
      </x:c>
      <x:c r="I199" t="n">
        <x:v>3629</x:v>
      </x:c>
      <x:c r="J199" t="n">
        <x:v>2908</x:v>
      </x:c>
      <x:c r="K199" t="n">
        <x:v>71</x:v>
      </x:c>
      <x:c r="L199" t="n">
        <x:v>34</x:v>
      </x:c>
      <x:c r="M199" t="n">
        <x:v>3</x:v>
      </x:c>
      <x:c r="N199" t="n">
        <x:v>0</x:v>
      </x:c>
      <x:c r="O199" s="37" t="n">
        <x:v>410.53</x:v>
      </x:c>
      <x:c r="P199" s="37" t="n">
        <x:v>20192</x:v>
      </x:c>
      <x:c r="Q199" t="n">
        <x:v>2</x:v>
      </x:c>
      <x:c r="R199" t="n">
        <x:v>1</x:v>
      </x:c>
      <x:c r="S199" t="n">
        <x:v>20193</x:v>
      </x:c>
      <x:c r="T199" t="n">
        <x:v>10.7</x:v>
      </x:c>
    </x:row>
    <x:row r="200">
      <x:c r="A200" t="str">
        <x:v>SM0196</x:v>
      </x:c>
      <x:c r="B200" s="43" t="str">
        <x:v>2026-07-12</x:v>
      </x:c>
      <x:c r="C200" t="str">
        <x:v>2026-07</x:v>
      </x:c>
      <x:c r="D200" t="str">
        <x:v>Facebook</x:v>
      </x:c>
      <x:c r="E200" t="str">
        <x:v>Summer Launch</x:v>
      </x:c>
      <x:c r="F200" t="str">
        <x:v>Static Image</x:v>
      </x:c>
      <x:c r="G200" t="str">
        <x:v>Promotion</x:v>
      </x:c>
      <x:c r="H200" t="n">
        <x:v>1</x:v>
      </x:c>
      <x:c r="I200" t="n">
        <x:v>6006</x:v>
      </x:c>
      <x:c r="J200" t="n">
        <x:v>3886</x:v>
      </x:c>
      <x:c r="K200" t="n">
        <x:v>100</x:v>
      </x:c>
      <x:c r="L200" t="n">
        <x:v>104</x:v>
      </x:c>
      <x:c r="M200" t="n">
        <x:v>4</x:v>
      </x:c>
      <x:c r="N200" t="n">
        <x:v>566.14</x:v>
      </x:c>
      <x:c r="O200" s="37" t="n">
        <x:v>661.85</x:v>
      </x:c>
      <x:c r="P200" s="37" t="n">
        <x:v>20193</x:v>
      </x:c>
      <x:c r="Q200" t="n">
        <x:v>8</x:v>
      </x:c>
      <x:c r="R200" t="n">
        <x:v>1</x:v>
      </x:c>
      <x:c r="S200" t="n">
        <x:v>20200</x:v>
      </x:c>
      <x:c r="T200" t="n">
        <x:v>16.6</x:v>
      </x:c>
    </x:row>
    <x:row r="201">
      <x:c r="A201" t="str">
        <x:v>SM0197</x:v>
      </x:c>
      <x:c r="B201" s="43" t="str">
        <x:v>2026-07-13</x:v>
      </x:c>
      <x:c r="C201" t="str">
        <x:v>2026-07</x:v>
      </x:c>
      <x:c r="D201" t="str">
        <x:v>Facebook</x:v>
      </x:c>
      <x:c r="E201" t="str">
        <x:v>Lead Gen</x:v>
      </x:c>
      <x:c r="F201" t="str">
        <x:v>Article</x:v>
      </x:c>
      <x:c r="G201" t="str">
        <x:v>Product</x:v>
      </x:c>
      <x:c r="H201" t="n">
        <x:v>1</x:v>
      </x:c>
      <x:c r="I201" t="n">
        <x:v>5547</x:v>
      </x:c>
      <x:c r="J201" t="n">
        <x:v>3795</x:v>
      </x:c>
      <x:c r="K201" t="n">
        <x:v>105</x:v>
      </x:c>
      <x:c r="L201" t="n">
        <x:v>110</x:v>
      </x:c>
      <x:c r="M201" t="n">
        <x:v>8</x:v>
      </x:c>
      <x:c r="N201" t="n">
        <x:v>659.83</x:v>
      </x:c>
      <x:c r="O201" s="37" t="n">
        <x:v>1437.47</x:v>
      </x:c>
      <x:c r="P201" s="37" t="n">
        <x:v>20200</x:v>
      </x:c>
      <x:c r="Q201" t="n">
        <x:v>8</x:v>
      </x:c>
      <x:c r="R201" t="n">
        <x:v>3</x:v>
      </x:c>
      <x:c r="S201" t="n">
        <x:v>20205</x:v>
      </x:c>
      <x:c r="T201" t="n">
        <x:v>12.6</x:v>
      </x:c>
    </x:row>
    <x:row r="202">
      <x:c r="A202" t="str">
        <x:v>SM0198</x:v>
      </x:c>
      <x:c r="B202" s="43" t="str">
        <x:v>2026-07-14</x:v>
      </x:c>
      <x:c r="C202" t="str">
        <x:v>2026-07</x:v>
      </x:c>
      <x:c r="D202" t="str">
        <x:v>Facebook</x:v>
      </x:c>
      <x:c r="E202" t="str">
        <x:v>Brand Trust</x:v>
      </x:c>
      <x:c r="F202" t="str">
        <x:v>Live Clip</x:v>
      </x:c>
      <x:c r="G202" t="str">
        <x:v>Behind the Scenes</x:v>
      </x:c>
      <x:c r="H202" t="n">
        <x:v>0</x:v>
      </x:c>
      <x:c r="I202" t="n">
        <x:v>7280</x:v>
      </x:c>
      <x:c r="J202" t="n">
        <x:v>5101</x:v>
      </x:c>
      <x:c r="K202" t="n">
        <x:v>211</x:v>
      </x:c>
      <x:c r="L202" t="n">
        <x:v>117</x:v>
      </x:c>
      <x:c r="M202" t="n">
        <x:v>7</x:v>
      </x:c>
      <x:c r="N202" t="n">
        <x:v>0</x:v>
      </x:c>
      <x:c r="O202" s="37" t="n">
        <x:v>566.57</x:v>
      </x:c>
      <x:c r="P202" s="37" t="n">
        <x:v>20205</x:v>
      </x:c>
      <x:c r="Q202" t="n">
        <x:v>10</x:v>
      </x:c>
      <x:c r="R202" t="n">
        <x:v>3</x:v>
      </x:c>
      <x:c r="S202" t="n">
        <x:v>20212</x:v>
      </x:c>
      <x:c r="T202" t="n">
        <x:v>44.9</x:v>
      </x:c>
    </x:row>
    <x:row r="203">
      <x:c r="A203" t="str">
        <x:v>SM0199</x:v>
      </x:c>
      <x:c r="B203" s="43" t="str">
        <x:v>2026-07-15</x:v>
      </x:c>
      <x:c r="C203" t="str">
        <x:v>2026-07</x:v>
      </x:c>
      <x:c r="D203" t="str">
        <x:v>Facebook</x:v>
      </x:c>
      <x:c r="E203" t="str">
        <x:v>Always On</x:v>
      </x:c>
      <x:c r="F203" t="str">
        <x:v>Short Video</x:v>
      </x:c>
      <x:c r="G203" t="str">
        <x:v>Promotion</x:v>
      </x:c>
      <x:c r="H203" t="n">
        <x:v>1</x:v>
      </x:c>
      <x:c r="I203" t="n">
        <x:v>13063</x:v>
      </x:c>
      <x:c r="J203" t="n">
        <x:v>8443</x:v>
      </x:c>
      <x:c r="K203" t="n">
        <x:v>530</x:v>
      </x:c>
      <x:c r="L203" t="n">
        <x:v>73</x:v>
      </x:c>
      <x:c r="M203" t="n">
        <x:v>5</x:v>
      </x:c>
      <x:c r="N203" t="n">
        <x:v>410.07</x:v>
      </x:c>
      <x:c r="O203" s="37" t="n">
        <x:v>375.59</x:v>
      </x:c>
      <x:c r="P203" s="37" t="n">
        <x:v>20212</x:v>
      </x:c>
      <x:c r="Q203" t="n">
        <x:v>21</x:v>
      </x:c>
      <x:c r="R203" t="n">
        <x:v>5</x:v>
      </x:c>
      <x:c r="S203" t="n">
        <x:v>20228</x:v>
      </x:c>
      <x:c r="T203" t="n">
        <x:v>43.3</x:v>
      </x:c>
    </x:row>
    <x:row r="204">
      <x:c r="A204" t="str">
        <x:v>SM0200</x:v>
      </x:c>
      <x:c r="B204" s="43" t="str">
        <x:v>2026-07-16</x:v>
      </x:c>
      <x:c r="C204" t="str">
        <x:v>2026-07</x:v>
      </x:c>
      <x:c r="D204" t="str">
        <x:v>Facebook</x:v>
      </x:c>
      <x:c r="E204" t="str">
        <x:v>Summer Launch</x:v>
      </x:c>
      <x:c r="F204" t="str">
        <x:v>Carousel</x:v>
      </x:c>
      <x:c r="G204" t="str">
        <x:v>Product</x:v>
      </x:c>
      <x:c r="H204" t="n">
        <x:v>0</x:v>
      </x:c>
      <x:c r="I204" t="n">
        <x:v>4700</x:v>
      </x:c>
      <x:c r="J204" t="n">
        <x:v>3773</x:v>
      </x:c>
      <x:c r="K204" t="n">
        <x:v>108</x:v>
      </x:c>
      <x:c r="L204" t="n">
        <x:v>90</x:v>
      </x:c>
      <x:c r="M204" t="n">
        <x:v>4</x:v>
      </x:c>
      <x:c r="N204" t="n">
        <x:v>0</x:v>
      </x:c>
      <x:c r="O204" s="37" t="n">
        <x:v>425.38</x:v>
      </x:c>
      <x:c r="P204" s="37" t="n">
        <x:v>20228</x:v>
      </x:c>
      <x:c r="Q204" t="n">
        <x:v>4</x:v>
      </x:c>
      <x:c r="R204" t="n">
        <x:v>1</x:v>
      </x:c>
      <x:c r="S204" t="n">
        <x:v>20231</x:v>
      </x:c>
      <x:c r="T204" t="n">
        <x:v>31.7</x:v>
      </x:c>
    </x:row>
    <x:row r="205">
      <x:c r="A205" t="str">
        <x:v>SM0201</x:v>
      </x:c>
      <x:c r="B205" s="43" t="str">
        <x:v>2026-07-17</x:v>
      </x:c>
      <x:c r="C205" t="str">
        <x:v>2026-07</x:v>
      </x:c>
      <x:c r="D205" t="str">
        <x:v>Facebook</x:v>
      </x:c>
      <x:c r="E205" t="str">
        <x:v>Lead Gen</x:v>
      </x:c>
      <x:c r="F205" t="str">
        <x:v>Static Image</x:v>
      </x:c>
      <x:c r="G205" t="str">
        <x:v>Behind the Scenes</x:v>
      </x:c>
      <x:c r="H205" t="n">
        <x:v>1</x:v>
      </x:c>
      <x:c r="I205" t="n">
        <x:v>10032</x:v>
      </x:c>
      <x:c r="J205" t="n">
        <x:v>7839</x:v>
      </x:c>
      <x:c r="K205" t="n">
        <x:v>228</x:v>
      </x:c>
      <x:c r="L205" t="n">
        <x:v>229</x:v>
      </x:c>
      <x:c r="M205" t="n">
        <x:v>16</x:v>
      </x:c>
      <x:c r="N205" t="n">
        <x:v>857.16</x:v>
      </x:c>
      <x:c r="O205" s="37" t="n">
        <x:v>2293.13</x:v>
      </x:c>
      <x:c r="P205" s="37" t="n">
        <x:v>20231</x:v>
      </x:c>
      <x:c r="Q205" t="n">
        <x:v>6</x:v>
      </x:c>
      <x:c r="R205" t="n">
        <x:v>1</x:v>
      </x:c>
      <x:c r="S205" t="n">
        <x:v>20236</x:v>
      </x:c>
      <x:c r="T205" t="n">
        <x:v>24.5</x:v>
      </x:c>
    </x:row>
    <x:row r="206">
      <x:c r="A206" t="str">
        <x:v>SM0202</x:v>
      </x:c>
      <x:c r="B206" s="43" t="str">
        <x:v>2026-07-18</x:v>
      </x:c>
      <x:c r="C206" t="str">
        <x:v>2026-07</x:v>
      </x:c>
      <x:c r="D206" t="str">
        <x:v>Facebook</x:v>
      </x:c>
      <x:c r="E206" t="str">
        <x:v>Brand Trust</x:v>
      </x:c>
      <x:c r="F206" t="str">
        <x:v>Article</x:v>
      </x:c>
      <x:c r="G206" t="str">
        <x:v>Promotion</x:v>
      </x:c>
      <x:c r="H206" t="n">
        <x:v>1</x:v>
      </x:c>
      <x:c r="I206" t="n">
        <x:v>7098</x:v>
      </x:c>
      <x:c r="J206" t="n">
        <x:v>5649</x:v>
      </x:c>
      <x:c r="K206" t="n">
        <x:v>302</x:v>
      </x:c>
      <x:c r="L206" t="n">
        <x:v>164</x:v>
      </x:c>
      <x:c r="M206" t="n">
        <x:v>6</x:v>
      </x:c>
      <x:c r="N206" t="n">
        <x:v>1141.5</x:v>
      </x:c>
      <x:c r="O206" s="37" t="n">
        <x:v>522.09</x:v>
      </x:c>
      <x:c r="P206" s="37" t="n">
        <x:v>20236</x:v>
      </x:c>
      <x:c r="Q206" t="n">
        <x:v>4</x:v>
      </x:c>
      <x:c r="R206" t="n">
        <x:v>1</x:v>
      </x:c>
      <x:c r="S206" t="n">
        <x:v>20239</x:v>
      </x:c>
      <x:c r="T206" t="n">
        <x:v>10.6</x:v>
      </x:c>
    </x:row>
    <x:row r="207">
      <x:c r="A207" t="str">
        <x:v>SM0203</x:v>
      </x:c>
      <x:c r="B207" s="43" t="str">
        <x:v>2026-07-19</x:v>
      </x:c>
      <x:c r="C207" t="str">
        <x:v>2026-07</x:v>
      </x:c>
      <x:c r="D207" t="str">
        <x:v>Facebook</x:v>
      </x:c>
      <x:c r="E207" t="str">
        <x:v>Always On</x:v>
      </x:c>
      <x:c r="F207" t="str">
        <x:v>Live Clip</x:v>
      </x:c>
      <x:c r="G207" t="str">
        <x:v>Product</x:v>
      </x:c>
      <x:c r="H207" t="n">
        <x:v>0</x:v>
      </x:c>
      <x:c r="I207" t="n">
        <x:v>6814</x:v>
      </x:c>
      <x:c r="J207" t="n">
        <x:v>5488</x:v>
      </x:c>
      <x:c r="K207" t="n">
        <x:v>353</x:v>
      </x:c>
      <x:c r="L207" t="n">
        <x:v>95</x:v>
      </x:c>
      <x:c r="M207" t="n">
        <x:v>8</x:v>
      </x:c>
      <x:c r="N207" t="n">
        <x:v>0</x:v>
      </x:c>
      <x:c r="O207" s="37" t="n">
        <x:v>601.2</x:v>
      </x:c>
      <x:c r="P207" s="37" t="n">
        <x:v>20239</x:v>
      </x:c>
      <x:c r="Q207" t="n">
        <x:v>6</x:v>
      </x:c>
      <x:c r="R207" t="n">
        <x:v>1</x:v>
      </x:c>
      <x:c r="S207" t="n">
        <x:v>20244</x:v>
      </x:c>
      <x:c r="T207" t="n">
        <x:v>9.6</x:v>
      </x:c>
    </x:row>
    <x:row r="208">
      <x:c r="A208" t="str">
        <x:v>SM0204</x:v>
      </x:c>
      <x:c r="B208" s="43" t="str">
        <x:v>2026-07-20</x:v>
      </x:c>
      <x:c r="C208" t="str">
        <x:v>2026-07</x:v>
      </x:c>
      <x:c r="D208" t="str">
        <x:v>Facebook</x:v>
      </x:c>
      <x:c r="E208" t="str">
        <x:v>Summer Launch</x:v>
      </x:c>
      <x:c r="F208" t="str">
        <x:v>Short Video</x:v>
      </x:c>
      <x:c r="G208" t="str">
        <x:v>Behind the Scenes</x:v>
      </x:c>
      <x:c r="H208" t="n">
        <x:v>0</x:v>
      </x:c>
      <x:c r="I208" t="n">
        <x:v>4803</x:v>
      </x:c>
      <x:c r="J208" t="n">
        <x:v>3820</x:v>
      </x:c>
      <x:c r="K208" t="n">
        <x:v>246</x:v>
      </x:c>
      <x:c r="L208" t="n">
        <x:v>30</x:v>
      </x:c>
      <x:c r="M208" t="n">
        <x:v>3</x:v>
      </x:c>
      <x:c r="N208" t="n">
        <x:v>0</x:v>
      </x:c>
      <x:c r="O208" s="37" t="n">
        <x:v>344.17</x:v>
      </x:c>
      <x:c r="P208" s="37" t="n">
        <x:v>20244</x:v>
      </x:c>
      <x:c r="Q208" t="n">
        <x:v>8</x:v>
      </x:c>
      <x:c r="R208" t="n">
        <x:v>1</x:v>
      </x:c>
      <x:c r="S208" t="n">
        <x:v>20251</x:v>
      </x:c>
      <x:c r="T208" t="n">
        <x:v>13.1</x:v>
      </x:c>
    </x:row>
    <x:row r="209">
      <x:c r="A209" t="str">
        <x:v>SM0205</x:v>
      </x:c>
      <x:c r="B209" s="43" t="str">
        <x:v>2026-07-21</x:v>
      </x:c>
      <x:c r="C209" t="str">
        <x:v>2026-07</x:v>
      </x:c>
      <x:c r="D209" t="str">
        <x:v>Facebook</x:v>
      </x:c>
      <x:c r="E209" t="str">
        <x:v>Lead Gen</x:v>
      </x:c>
      <x:c r="F209" t="str">
        <x:v>Carousel</x:v>
      </x:c>
      <x:c r="G209" t="str">
        <x:v>Promotion</x:v>
      </x:c>
      <x:c r="H209" t="n">
        <x:v>1</x:v>
      </x:c>
      <x:c r="I209" t="n">
        <x:v>10166</x:v>
      </x:c>
      <x:c r="J209" t="n">
        <x:v>7262</x:v>
      </x:c>
      <x:c r="K209" t="n">
        <x:v>398</x:v>
      </x:c>
      <x:c r="L209" t="n">
        <x:v>225</x:v>
      </x:c>
      <x:c r="M209" t="n">
        <x:v>12</x:v>
      </x:c>
      <x:c r="N209" t="n">
        <x:v>280.84</x:v>
      </x:c>
      <x:c r="O209" s="37" t="n">
        <x:v>1066.13</x:v>
      </x:c>
      <x:c r="P209" s="37" t="n">
        <x:v>20251</x:v>
      </x:c>
      <x:c r="Q209" t="n">
        <x:v>9</x:v>
      </x:c>
      <x:c r="R209" t="n">
        <x:v>1</x:v>
      </x:c>
      <x:c r="S209" t="n">
        <x:v>20259</x:v>
      </x:c>
      <x:c r="T209" t="n">
        <x:v>35.9</x:v>
      </x:c>
    </x:row>
    <x:row r="210">
      <x:c r="A210" t="str">
        <x:v>SM0206</x:v>
      </x:c>
      <x:c r="B210" s="43" t="str">
        <x:v>2026-07-22</x:v>
      </x:c>
      <x:c r="C210" t="str">
        <x:v>2026-07</x:v>
      </x:c>
      <x:c r="D210" t="str">
        <x:v>Facebook</x:v>
      </x:c>
      <x:c r="E210" t="str">
        <x:v>Brand Trust</x:v>
      </x:c>
      <x:c r="F210" t="str">
        <x:v>Static Image</x:v>
      </x:c>
      <x:c r="G210" t="str">
        <x:v>Product</x:v>
      </x:c>
      <x:c r="H210" t="n">
        <x:v>0</x:v>
      </x:c>
      <x:c r="I210" t="n">
        <x:v>8350</x:v>
      </x:c>
      <x:c r="J210" t="n">
        <x:v>5929</x:v>
      </x:c>
      <x:c r="K210" t="n">
        <x:v>309</x:v>
      </x:c>
      <x:c r="L210" t="n">
        <x:v>60</x:v>
      </x:c>
      <x:c r="M210" t="n">
        <x:v>2</x:v>
      </x:c>
      <x:c r="N210" t="n">
        <x:v>0</x:v>
      </x:c>
      <x:c r="O210" s="37" t="n">
        <x:v>333.5</x:v>
      </x:c>
      <x:c r="P210" s="37" t="n">
        <x:v>20259</x:v>
      </x:c>
      <x:c r="Q210" t="n">
        <x:v>5</x:v>
      </x:c>
      <x:c r="R210" t="n">
        <x:v>2</x:v>
      </x:c>
      <x:c r="S210" t="n">
        <x:v>20262</x:v>
      </x:c>
      <x:c r="T210" t="n">
        <x:v>28.2</x:v>
      </x:c>
    </x:row>
    <x:row r="211">
      <x:c r="A211" t="str">
        <x:v>SM0207</x:v>
      </x:c>
      <x:c r="B211" s="43" t="str">
        <x:v>2026-07-23</x:v>
      </x:c>
      <x:c r="C211" t="str">
        <x:v>2026-07</x:v>
      </x:c>
      <x:c r="D211" t="str">
        <x:v>Facebook</x:v>
      </x:c>
      <x:c r="E211" t="str">
        <x:v>Always On</x:v>
      </x:c>
      <x:c r="F211" t="str">
        <x:v>Article</x:v>
      </x:c>
      <x:c r="G211" t="str">
        <x:v>Behind the Scenes</x:v>
      </x:c>
      <x:c r="H211" t="n">
        <x:v>0</x:v>
      </x:c>
      <x:c r="I211" t="n">
        <x:v>4063</x:v>
      </x:c>
      <x:c r="J211" t="n">
        <x:v>2892</x:v>
      </x:c>
      <x:c r="K211" t="n">
        <x:v>182</x:v>
      </x:c>
      <x:c r="L211" t="n">
        <x:v>36</x:v>
      </x:c>
      <x:c r="M211" t="n">
        <x:v>2</x:v>
      </x:c>
      <x:c r="N211" t="n">
        <x:v>0</x:v>
      </x:c>
      <x:c r="O211" s="37" t="n">
        <x:v>350.72</x:v>
      </x:c>
      <x:c r="P211" s="37" t="n">
        <x:v>20262</x:v>
      </x:c>
      <x:c r="Q211" t="n">
        <x:v>3</x:v>
      </x:c>
      <x:c r="R211" t="n">
        <x:v>0</x:v>
      </x:c>
      <x:c r="S211" t="n">
        <x:v>20265</x:v>
      </x:c>
      <x:c r="T211" t="n">
        <x:v>13.2</x:v>
      </x:c>
    </x:row>
    <x:row r="212">
      <x:c r="A212" t="str">
        <x:v>SM0208</x:v>
      </x:c>
      <x:c r="B212" s="43" t="str">
        <x:v>2026-07-24</x:v>
      </x:c>
      <x:c r="C212" t="str">
        <x:v>2026-07</x:v>
      </x:c>
      <x:c r="D212" t="str">
        <x:v>Facebook</x:v>
      </x:c>
      <x:c r="E212" t="str">
        <x:v>Summer Launch</x:v>
      </x:c>
      <x:c r="F212" t="str">
        <x:v>Live Clip</x:v>
      </x:c>
      <x:c r="G212" t="str">
        <x:v>Promotion</x:v>
      </x:c>
      <x:c r="H212" t="n">
        <x:v>1</x:v>
      </x:c>
      <x:c r="I212" t="n">
        <x:v>5133</x:v>
      </x:c>
      <x:c r="J212" t="n">
        <x:v>3463</x:v>
      </x:c>
      <x:c r="K212" t="n">
        <x:v>73</x:v>
      </x:c>
      <x:c r="L212" t="n">
        <x:v>87</x:v>
      </x:c>
      <x:c r="M212" t="n">
        <x:v>3</x:v>
      </x:c>
      <x:c r="N212" t="n">
        <x:v>978.46</x:v>
      </x:c>
      <x:c r="O212" s="37" t="n">
        <x:v>523.31</x:v>
      </x:c>
      <x:c r="P212" s="37" t="n">
        <x:v>20265</x:v>
      </x:c>
      <x:c r="Q212" t="n">
        <x:v>4</x:v>
      </x:c>
      <x:c r="R212" t="n">
        <x:v>1</x:v>
      </x:c>
      <x:c r="S212" t="n">
        <x:v>20268</x:v>
      </x:c>
      <x:c r="T212" t="n">
        <x:v>26.3</x:v>
      </x:c>
    </x:row>
    <x:row r="213">
      <x:c r="A213" t="str">
        <x:v>SM0209</x:v>
      </x:c>
      <x:c r="B213" s="43" t="str">
        <x:v>2026-07-25</x:v>
      </x:c>
      <x:c r="C213" t="str">
        <x:v>2026-07</x:v>
      </x:c>
      <x:c r="D213" t="str">
        <x:v>Facebook</x:v>
      </x:c>
      <x:c r="E213" t="str">
        <x:v>Lead Gen</x:v>
      </x:c>
      <x:c r="F213" t="str">
        <x:v>Short Video</x:v>
      </x:c>
      <x:c r="G213" t="str">
        <x:v>Product</x:v>
      </x:c>
      <x:c r="H213" t="n">
        <x:v>1</x:v>
      </x:c>
      <x:c r="I213" t="n">
        <x:v>10631</x:v>
      </x:c>
      <x:c r="J213" t="n">
        <x:v>7549</x:v>
      </x:c>
      <x:c r="K213" t="n">
        <x:v>460</x:v>
      </x:c>
      <x:c r="L213" t="n">
        <x:v>67</x:v>
      </x:c>
      <x:c r="M213" t="n">
        <x:v>6</x:v>
      </x:c>
      <x:c r="N213" t="n">
        <x:v>406.75</x:v>
      </x:c>
      <x:c r="O213" s="37" t="n">
        <x:v>725.31</x:v>
      </x:c>
      <x:c r="P213" s="37" t="n">
        <x:v>20268</x:v>
      </x:c>
      <x:c r="Q213" t="n">
        <x:v>17</x:v>
      </x:c>
      <x:c r="R213" t="n">
        <x:v>6</x:v>
      </x:c>
      <x:c r="S213" t="n">
        <x:v>20279</x:v>
      </x:c>
      <x:c r="T213" t="n">
        <x:v>45.5</x:v>
      </x:c>
    </x:row>
    <x:row r="214">
      <x:c r="A214" t="str">
        <x:v>SM0210</x:v>
      </x:c>
      <x:c r="B214" s="43" t="str">
        <x:v>2026-07-26</x:v>
      </x:c>
      <x:c r="C214" t="str">
        <x:v>2026-07</x:v>
      </x:c>
      <x:c r="D214" t="str">
        <x:v>Facebook</x:v>
      </x:c>
      <x:c r="E214" t="str">
        <x:v>Brand Trust</x:v>
      </x:c>
      <x:c r="F214" t="str">
        <x:v>Carousel</x:v>
      </x:c>
      <x:c r="G214" t="str">
        <x:v>Behind the Scenes</x:v>
      </x:c>
      <x:c r="H214" t="n">
        <x:v>0</x:v>
      </x:c>
      <x:c r="I214" t="n">
        <x:v>2473</x:v>
      </x:c>
      <x:c r="J214" t="n">
        <x:v>1746</x:v>
      </x:c>
      <x:c r="K214" t="n">
        <x:v>54</x:v>
      </x:c>
      <x:c r="L214" t="n">
        <x:v>31</x:v>
      </x:c>
      <x:c r="M214" t="n">
        <x:v>3</x:v>
      </x:c>
      <x:c r="N214" t="n">
        <x:v>0</x:v>
      </x:c>
      <x:c r="O214" s="37" t="n">
        <x:v>313.96</x:v>
      </x:c>
      <x:c r="P214" s="37" t="n">
        <x:v>20279</x:v>
      </x:c>
      <x:c r="Q214" t="n">
        <x:v>4</x:v>
      </x:c>
      <x:c r="R214" t="n">
        <x:v>1</x:v>
      </x:c>
      <x:c r="S214" t="n">
        <x:v>20282</x:v>
      </x:c>
      <x:c r="T214" t="n">
        <x:v>15.2</x:v>
      </x:c>
    </x:row>
    <x:row r="215">
      <x:c r="A215" t="str">
        <x:v>SM0211</x:v>
      </x:c>
      <x:c r="B215" s="43" t="str">
        <x:v>2026-07-27</x:v>
      </x:c>
      <x:c r="C215" t="str">
        <x:v>2026-07</x:v>
      </x:c>
      <x:c r="D215" t="str">
        <x:v>Facebook</x:v>
      </x:c>
      <x:c r="E215" t="str">
        <x:v>Always On</x:v>
      </x:c>
      <x:c r="F215" t="str">
        <x:v>Static Image</x:v>
      </x:c>
      <x:c r="G215" t="str">
        <x:v>Promotion</x:v>
      </x:c>
      <x:c r="H215" t="n">
        <x:v>1</x:v>
      </x:c>
      <x:c r="I215" t="n">
        <x:v>10121</x:v>
      </x:c>
      <x:c r="J215" t="n">
        <x:v>7331</x:v>
      </x:c>
      <x:c r="K215" t="n">
        <x:v>399</x:v>
      </x:c>
      <x:c r="L215" t="n">
        <x:v>159</x:v>
      </x:c>
      <x:c r="M215" t="n">
        <x:v>17</x:v>
      </x:c>
      <x:c r="N215" t="n">
        <x:v>1142.73</x:v>
      </x:c>
      <x:c r="O215" s="37" t="n">
        <x:v>2527.05</x:v>
      </x:c>
      <x:c r="P215" s="37" t="n">
        <x:v>20282</x:v>
      </x:c>
      <x:c r="Q215" t="n">
        <x:v>9</x:v>
      </x:c>
      <x:c r="R215" t="n">
        <x:v>3</x:v>
      </x:c>
      <x:c r="S215" t="n">
        <x:v>20288</x:v>
      </x:c>
      <x:c r="T215" t="n">
        <x:v>47.4</x:v>
      </x:c>
    </x:row>
    <x:row r="216">
      <x:c r="A216" t="str">
        <x:v>SM0212</x:v>
      </x:c>
      <x:c r="B216" s="43" t="str">
        <x:v>2026-07-28</x:v>
      </x:c>
      <x:c r="C216" t="str">
        <x:v>2026-07</x:v>
      </x:c>
      <x:c r="D216" t="str">
        <x:v>Facebook</x:v>
      </x:c>
      <x:c r="E216" t="str">
        <x:v>Summer Launch</x:v>
      </x:c>
      <x:c r="F216" t="str">
        <x:v>Article</x:v>
      </x:c>
      <x:c r="G216" t="str">
        <x:v>Product</x:v>
      </x:c>
      <x:c r="H216" t="n">
        <x:v>0</x:v>
      </x:c>
      <x:c r="I216" t="n">
        <x:v>6961</x:v>
      </x:c>
      <x:c r="J216" t="n">
        <x:v>4863</x:v>
      </x:c>
      <x:c r="K216" t="n">
        <x:v>274</x:v>
      </x:c>
      <x:c r="L216" t="n">
        <x:v>150</x:v>
      </x:c>
      <x:c r="M216" t="n">
        <x:v>8</x:v>
      </x:c>
      <x:c r="N216" t="n">
        <x:v>0</x:v>
      </x:c>
      <x:c r="O216" s="37" t="n">
        <x:v>873.28</x:v>
      </x:c>
      <x:c r="P216" s="37" t="n">
        <x:v>20288</x:v>
      </x:c>
      <x:c r="Q216" t="n">
        <x:v>8</x:v>
      </x:c>
      <x:c r="R216" t="n">
        <x:v>3</x:v>
      </x:c>
      <x:c r="S216" t="n">
        <x:v>20293</x:v>
      </x:c>
      <x:c r="T216" t="n">
        <x:v>15.3</x:v>
      </x:c>
    </x:row>
    <x:row r="217">
      <x:c r="A217" t="str">
        <x:v>SM0213</x:v>
      </x:c>
      <x:c r="B217" s="43" t="str">
        <x:v>2026-07-29</x:v>
      </x:c>
      <x:c r="C217" t="str">
        <x:v>2026-07</x:v>
      </x:c>
      <x:c r="D217" t="str">
        <x:v>Facebook</x:v>
      </x:c>
      <x:c r="E217" t="str">
        <x:v>Lead Gen</x:v>
      </x:c>
      <x:c r="F217" t="str">
        <x:v>Live Clip</x:v>
      </x:c>
      <x:c r="G217" t="str">
        <x:v>Behind the Scenes</x:v>
      </x:c>
      <x:c r="H217" t="n">
        <x:v>1</x:v>
      </x:c>
      <x:c r="I217" t="n">
        <x:v>3185</x:v>
      </x:c>
      <x:c r="J217" t="n">
        <x:v>2491</x:v>
      </x:c>
      <x:c r="K217" t="n">
        <x:v>105</x:v>
      </x:c>
      <x:c r="L217" t="n">
        <x:v>17</x:v>
      </x:c>
      <x:c r="M217" t="n">
        <x:v>1</x:v>
      </x:c>
      <x:c r="N217" t="n">
        <x:v>615.39</x:v>
      </x:c>
      <x:c r="O217" s="37" t="n">
        <x:v>176.59</x:v>
      </x:c>
      <x:c r="P217" s="37" t="n">
        <x:v>20293</x:v>
      </x:c>
      <x:c r="Q217" t="n">
        <x:v>3</x:v>
      </x:c>
      <x:c r="R217" t="n">
        <x:v>1</x:v>
      </x:c>
      <x:c r="S217" t="n">
        <x:v>20295</x:v>
      </x:c>
      <x:c r="T217" t="n">
        <x:v>13.9</x:v>
      </x:c>
    </x:row>
    <x:row r="218">
      <x:c r="A218" t="str">
        <x:v>SM0214</x:v>
      </x:c>
      <x:c r="B218" s="43" t="str">
        <x:v>2026-07-30</x:v>
      </x:c>
      <x:c r="C218" t="str">
        <x:v>2026-07</x:v>
      </x:c>
      <x:c r="D218" t="str">
        <x:v>Facebook</x:v>
      </x:c>
      <x:c r="E218" t="str">
        <x:v>Brand Trust</x:v>
      </x:c>
      <x:c r="F218" t="str">
        <x:v>Short Video</x:v>
      </x:c>
      <x:c r="G218" t="str">
        <x:v>Promotion</x:v>
      </x:c>
      <x:c r="H218" t="n">
        <x:v>1</x:v>
      </x:c>
      <x:c r="I218" t="n">
        <x:v>12939</x:v>
      </x:c>
      <x:c r="J218" t="n">
        <x:v>8584</x:v>
      </x:c>
      <x:c r="K218" t="n">
        <x:v>243</x:v>
      </x:c>
      <x:c r="L218" t="n">
        <x:v>259</x:v>
      </x:c>
      <x:c r="M218" t="n">
        <x:v>27</x:v>
      </x:c>
      <x:c r="N218" t="n">
        <x:v>630.72</x:v>
      </x:c>
      <x:c r="O218" s="37" t="n">
        <x:v>4992.18</x:v>
      </x:c>
      <x:c r="P218" s="37" t="n">
        <x:v>20295</x:v>
      </x:c>
      <x:c r="Q218" t="n">
        <x:v>20</x:v>
      </x:c>
      <x:c r="R218" t="n">
        <x:v>5</x:v>
      </x:c>
      <x:c r="S218" t="n">
        <x:v>20310</x:v>
      </x:c>
      <x:c r="T218" t="n">
        <x:v>32</x:v>
      </x:c>
    </x:row>
    <x:row r="219">
      <x:c r="A219" t="str">
        <x:v>SM0215</x:v>
      </x:c>
      <x:c r="B219" s="43" t="str">
        <x:v>2026-07-31</x:v>
      </x:c>
      <x:c r="C219" t="str">
        <x:v>2026-07</x:v>
      </x:c>
      <x:c r="D219" t="str">
        <x:v>Facebook</x:v>
      </x:c>
      <x:c r="E219" t="str">
        <x:v>Always On</x:v>
      </x:c>
      <x:c r="F219" t="str">
        <x:v>Carousel</x:v>
      </x:c>
      <x:c r="G219" t="str">
        <x:v>Product</x:v>
      </x:c>
      <x:c r="H219" t="n">
        <x:v>0</x:v>
      </x:c>
      <x:c r="I219" t="n">
        <x:v>9732</x:v>
      </x:c>
      <x:c r="J219" t="n">
        <x:v>7003</x:v>
      </x:c>
      <x:c r="K219" t="n">
        <x:v>148</x:v>
      </x:c>
      <x:c r="L219" t="n">
        <x:v>146</x:v>
      </x:c>
      <x:c r="M219" t="n">
        <x:v>11</x:v>
      </x:c>
      <x:c r="N219" t="n">
        <x:v>0</x:v>
      </x:c>
      <x:c r="O219" s="37" t="n">
        <x:v>2036.56</x:v>
      </x:c>
      <x:c r="P219" s="37" t="n">
        <x:v>20310</x:v>
      </x:c>
      <x:c r="Q219" t="n">
        <x:v>12</x:v>
      </x:c>
      <x:c r="R219" t="n">
        <x:v>4</x:v>
      </x:c>
      <x:c r="S219" t="n">
        <x:v>20318</x:v>
      </x:c>
      <x:c r="T219" t="n">
        <x:v>24.6</x:v>
      </x:c>
    </x:row>
    <x:row r="220">
      <x:c r="A220" t="str">
        <x:v>SM0216</x:v>
      </x:c>
      <x:c r="B220" s="43" t="str">
        <x:v>2026-07-01</x:v>
      </x:c>
      <x:c r="C220" t="str">
        <x:v>2026-07</x:v>
      </x:c>
      <x:c r="D220" t="str">
        <x:v>Facebook</x:v>
      </x:c>
      <x:c r="E220" t="str">
        <x:v>Summer Launch</x:v>
      </x:c>
      <x:c r="F220" t="str">
        <x:v>Static Image</x:v>
      </x:c>
      <x:c r="G220" t="str">
        <x:v>Behind the Scenes</x:v>
      </x:c>
      <x:c r="H220" t="n">
        <x:v>0</x:v>
      </x:c>
      <x:c r="I220" t="n">
        <x:v>9710</x:v>
      </x:c>
      <x:c r="J220" t="n">
        <x:v>6277</x:v>
      </x:c>
      <x:c r="K220" t="n">
        <x:v>139</x:v>
      </x:c>
      <x:c r="L220" t="n">
        <x:v>187</x:v>
      </x:c>
      <x:c r="M220" t="n">
        <x:v>12</x:v>
      </x:c>
      <x:c r="N220" t="n">
        <x:v>0</x:v>
      </x:c>
      <x:c r="O220" s="37" t="n">
        <x:v>1840.29</x:v>
      </x:c>
      <x:c r="P220" s="37" t="n">
        <x:v>20318</x:v>
      </x:c>
      <x:c r="Q220" t="n">
        <x:v>12</x:v>
      </x:c>
      <x:c r="R220" t="n">
        <x:v>4</x:v>
      </x:c>
      <x:c r="S220" t="n">
        <x:v>20326</x:v>
      </x:c>
      <x:c r="T220" t="n">
        <x:v>27.1</x:v>
      </x:c>
    </x:row>
    <x:row r="221">
      <x:c r="A221" t="str">
        <x:v>SM0217</x:v>
      </x:c>
      <x:c r="B221" s="43" t="str">
        <x:v>2026-07-02</x:v>
      </x:c>
      <x:c r="C221" t="str">
        <x:v>2026-07</x:v>
      </x:c>
      <x:c r="D221" t="str">
        <x:v>Facebook</x:v>
      </x:c>
      <x:c r="E221" t="str">
        <x:v>Lead Gen</x:v>
      </x:c>
      <x:c r="F221" t="str">
        <x:v>Article</x:v>
      </x:c>
      <x:c r="G221" t="str">
        <x:v>Promotion</x:v>
      </x:c>
      <x:c r="H221" t="n">
        <x:v>1</x:v>
      </x:c>
      <x:c r="I221" t="n">
        <x:v>10323</x:v>
      </x:c>
      <x:c r="J221" t="n">
        <x:v>7346</x:v>
      </x:c>
      <x:c r="K221" t="n">
        <x:v>236</x:v>
      </x:c>
      <x:c r="L221" t="n">
        <x:v>235</x:v>
      </x:c>
      <x:c r="M221" t="n">
        <x:v>8</x:v>
      </x:c>
      <x:c r="N221" t="n">
        <x:v>331.12</x:v>
      </x:c>
      <x:c r="O221" s="37" t="n">
        <x:v>853.25</x:v>
      </x:c>
      <x:c r="P221" s="37" t="n">
        <x:v>20326</x:v>
      </x:c>
      <x:c r="Q221" t="n">
        <x:v>13</x:v>
      </x:c>
      <x:c r="R221" t="n">
        <x:v>4</x:v>
      </x:c>
      <x:c r="S221" t="n">
        <x:v>20335</x:v>
      </x:c>
      <x:c r="T221" t="n">
        <x:v>39.9</x:v>
      </x:c>
    </x:row>
    <x:row r="222">
      <x:c r="A222" t="str">
        <x:v>SM0218</x:v>
      </x:c>
      <x:c r="B222" s="43" t="str">
        <x:v>2026-07-03</x:v>
      </x:c>
      <x:c r="C222" t="str">
        <x:v>2026-07</x:v>
      </x:c>
      <x:c r="D222" t="str">
        <x:v>Facebook</x:v>
      </x:c>
      <x:c r="E222" t="str">
        <x:v>Brand Trust</x:v>
      </x:c>
      <x:c r="F222" t="str">
        <x:v>Live Clip</x:v>
      </x:c>
      <x:c r="G222" t="str">
        <x:v>Product</x:v>
      </x:c>
      <x:c r="H222" t="n">
        <x:v>0</x:v>
      </x:c>
      <x:c r="I222" t="n">
        <x:v>10315</x:v>
      </x:c>
      <x:c r="J222" t="n">
        <x:v>6683</x:v>
      </x:c>
      <x:c r="K222" t="n">
        <x:v>150</x:v>
      </x:c>
      <x:c r="L222" t="n">
        <x:v>189</x:v>
      </x:c>
      <x:c r="M222" t="n">
        <x:v>15</x:v>
      </x:c>
      <x:c r="N222" t="n">
        <x:v>0</x:v>
      </x:c>
      <x:c r="O222" s="37" t="n">
        <x:v>1927.78</x:v>
      </x:c>
      <x:c r="P222" s="37" t="n">
        <x:v>20335</x:v>
      </x:c>
      <x:c r="Q222" t="n">
        <x:v>11</x:v>
      </x:c>
      <x:c r="R222" t="n">
        <x:v>2</x:v>
      </x:c>
      <x:c r="S222" t="n">
        <x:v>20344</x:v>
      </x:c>
      <x:c r="T222" t="n">
        <x:v>42.5</x:v>
      </x:c>
    </x:row>
    <x:row r="223">
      <x:c r="A223" t="str">
        <x:v>SM0219</x:v>
      </x:c>
      <x:c r="B223" s="43" t="str">
        <x:v>2026-07-01</x:v>
      </x:c>
      <x:c r="C223" t="str">
        <x:v>2026-07</x:v>
      </x:c>
      <x:c r="D223" t="str">
        <x:v>LinkedIn</x:v>
      </x:c>
      <x:c r="E223" t="str">
        <x:v>Always On</x:v>
      </x:c>
      <x:c r="F223" t="str">
        <x:v>Static Image</x:v>
      </x:c>
      <x:c r="G223" t="str">
        <x:v>Customer Story</x:v>
      </x:c>
      <x:c r="H223" t="n">
        <x:v>1</x:v>
      </x:c>
      <x:c r="I223" t="n">
        <x:v>2165</x:v>
      </x:c>
      <x:c r="J223" t="n">
        <x:v>1470</x:v>
      </x:c>
      <x:c r="K223" t="n">
        <x:v>80</x:v>
      </x:c>
      <x:c r="L223" t="n">
        <x:v>53</x:v>
      </x:c>
      <x:c r="M223" t="n">
        <x:v>5</x:v>
      </x:c>
      <x:c r="N223" t="n">
        <x:v>867.38</x:v>
      </x:c>
      <x:c r="O223" s="37" t="n">
        <x:v>823.25</x:v>
      </x:c>
      <x:c r="P223" s="37" t="n">
        <x:v>12880</x:v>
      </x:c>
      <x:c r="Q223" t="n">
        <x:v>3</x:v>
      </x:c>
      <x:c r="R223" t="n">
        <x:v>1</x:v>
      </x:c>
      <x:c r="S223" t="n">
        <x:v>12882</x:v>
      </x:c>
      <x:c r="T223" t="n">
        <x:v>17</x:v>
      </x:c>
    </x:row>
    <x:row r="224">
      <x:c r="A224" t="str">
        <x:v>SM0220</x:v>
      </x:c>
      <x:c r="B224" s="43" t="str">
        <x:v>2026-07-02</x:v>
      </x:c>
      <x:c r="C224" t="str">
        <x:v>2026-07</x:v>
      </x:c>
      <x:c r="D224" t="str">
        <x:v>LinkedIn</x:v>
      </x:c>
      <x:c r="E224" t="str">
        <x:v>Summer Launch</x:v>
      </x:c>
      <x:c r="F224" t="str">
        <x:v>Article</x:v>
      </x:c>
      <x:c r="G224" t="str">
        <x:v>Industry Insight</x:v>
      </x:c>
      <x:c r="H224" t="n">
        <x:v>0</x:v>
      </x:c>
      <x:c r="I224" t="n">
        <x:v>4512</x:v>
      </x:c>
      <x:c r="J224" t="n">
        <x:v>3652</x:v>
      </x:c>
      <x:c r="K224" t="n">
        <x:v>81</x:v>
      </x:c>
      <x:c r="L224" t="n">
        <x:v>63</x:v>
      </x:c>
      <x:c r="M224" t="n">
        <x:v>8</x:v>
      </x:c>
      <x:c r="N224" t="n">
        <x:v>0</x:v>
      </x:c>
      <x:c r="O224" s="37" t="n">
        <x:v>892.87</x:v>
      </x:c>
      <x:c r="P224" s="37" t="n">
        <x:v>12882</x:v>
      </x:c>
      <x:c r="Q224" t="n">
        <x:v>9</x:v>
      </x:c>
      <x:c r="R224" t="n">
        <x:v>2</x:v>
      </x:c>
      <x:c r="S224" t="n">
        <x:v>12889</x:v>
      </x:c>
      <x:c r="T224" t="n">
        <x:v>39.2</x:v>
      </x:c>
    </x:row>
    <x:row r="225">
      <x:c r="A225" t="str">
        <x:v>SM0221</x:v>
      </x:c>
      <x:c r="B225" s="43" t="str">
        <x:v>2026-07-03</x:v>
      </x:c>
      <x:c r="C225" t="str">
        <x:v>2026-07</x:v>
      </x:c>
      <x:c r="D225" t="str">
        <x:v>LinkedIn</x:v>
      </x:c>
      <x:c r="E225" t="str">
        <x:v>Lead Gen</x:v>
      </x:c>
      <x:c r="F225" t="str">
        <x:v>Live Clip</x:v>
      </x:c>
      <x:c r="G225" t="str">
        <x:v>Education</x:v>
      </x:c>
      <x:c r="H225" t="n">
        <x:v>0</x:v>
      </x:c>
      <x:c r="I225" t="n">
        <x:v>4086</x:v>
      </x:c>
      <x:c r="J225" t="n">
        <x:v>3004</x:v>
      </x:c>
      <x:c r="K225" t="n">
        <x:v>159</x:v>
      </x:c>
      <x:c r="L225" t="n">
        <x:v>128</x:v>
      </x:c>
      <x:c r="M225" t="n">
        <x:v>12</x:v>
      </x:c>
      <x:c r="N225" t="n">
        <x:v>0</x:v>
      </x:c>
      <x:c r="O225" s="37" t="n">
        <x:v>2270.46</x:v>
      </x:c>
      <x:c r="P225" s="37" t="n">
        <x:v>12889</x:v>
      </x:c>
      <x:c r="Q225" t="n">
        <x:v>4</x:v>
      </x:c>
      <x:c r="R225" t="n">
        <x:v>1</x:v>
      </x:c>
      <x:c r="S225" t="n">
        <x:v>12892</x:v>
      </x:c>
      <x:c r="T225" t="n">
        <x:v>12.1</x:v>
      </x:c>
    </x:row>
    <x:row r="226">
      <x:c r="A226" t="str">
        <x:v>SM0222</x:v>
      </x:c>
      <x:c r="B226" s="43" t="str">
        <x:v>2026-07-04</x:v>
      </x:c>
      <x:c r="C226" t="str">
        <x:v>2026-07</x:v>
      </x:c>
      <x:c r="D226" t="str">
        <x:v>LinkedIn</x:v>
      </x:c>
      <x:c r="E226" t="str">
        <x:v>Brand Trust</x:v>
      </x:c>
      <x:c r="F226" t="str">
        <x:v>Short Video</x:v>
      </x:c>
      <x:c r="G226" t="str">
        <x:v>Customer Story</x:v>
      </x:c>
      <x:c r="H226" t="n">
        <x:v>0</x:v>
      </x:c>
      <x:c r="I226" t="n">
        <x:v>6838</x:v>
      </x:c>
      <x:c r="J226" t="n">
        <x:v>4525</x:v>
      </x:c>
      <x:c r="K226" t="n">
        <x:v>247</x:v>
      </x:c>
      <x:c r="L226" t="n">
        <x:v>183</x:v>
      </x:c>
      <x:c r="M226" t="n">
        <x:v>14</x:v>
      </x:c>
      <x:c r="N226" t="n">
        <x:v>0</x:v>
      </x:c>
      <x:c r="O226" s="37" t="n">
        <x:v>1633.75</x:v>
      </x:c>
      <x:c r="P226" s="37" t="n">
        <x:v>12892</x:v>
      </x:c>
      <x:c r="Q226" t="n">
        <x:v>4</x:v>
      </x:c>
      <x:c r="R226" t="n">
        <x:v>1</x:v>
      </x:c>
      <x:c r="S226" t="n">
        <x:v>12895</x:v>
      </x:c>
      <x:c r="T226" t="n">
        <x:v>12.2</x:v>
      </x:c>
    </x:row>
    <x:row r="227">
      <x:c r="A227" t="str">
        <x:v>SM0223</x:v>
      </x:c>
      <x:c r="B227" s="43" t="str">
        <x:v>2026-07-05</x:v>
      </x:c>
      <x:c r="C227" t="str">
        <x:v>2026-07</x:v>
      </x:c>
      <x:c r="D227" t="str">
        <x:v>LinkedIn</x:v>
      </x:c>
      <x:c r="E227" t="str">
        <x:v>Always On</x:v>
      </x:c>
      <x:c r="F227" t="str">
        <x:v>Carousel</x:v>
      </x:c>
      <x:c r="G227" t="str">
        <x:v>Industry Insight</x:v>
      </x:c>
      <x:c r="H227" t="n">
        <x:v>1</x:v>
      </x:c>
      <x:c r="I227" t="n">
        <x:v>3239</x:v>
      </x:c>
      <x:c r="J227" t="n">
        <x:v>2122</x:v>
      </x:c>
      <x:c r="K227" t="n">
        <x:v>50</x:v>
      </x:c>
      <x:c r="L227" t="n">
        <x:v>72</x:v>
      </x:c>
      <x:c r="M227" t="n">
        <x:v>4</x:v>
      </x:c>
      <x:c r="N227" t="n">
        <x:v>406.36</x:v>
      </x:c>
      <x:c r="O227" s="37" t="n">
        <x:v>524.1</x:v>
      </x:c>
      <x:c r="P227" s="37" t="n">
        <x:v>12895</x:v>
      </x:c>
      <x:c r="Q227" t="n">
        <x:v>4</x:v>
      </x:c>
      <x:c r="R227" t="n">
        <x:v>1</x:v>
      </x:c>
      <x:c r="S227" t="n">
        <x:v>12898</x:v>
      </x:c>
      <x:c r="T227" t="n">
        <x:v>25.2</x:v>
      </x:c>
    </x:row>
    <x:row r="228">
      <x:c r="A228" t="str">
        <x:v>SM0224</x:v>
      </x:c>
      <x:c r="B228" s="43" t="str">
        <x:v>2026-07-06</x:v>
      </x:c>
      <x:c r="C228" t="str">
        <x:v>2026-07</x:v>
      </x:c>
      <x:c r="D228" t="str">
        <x:v>LinkedIn</x:v>
      </x:c>
      <x:c r="E228" t="str">
        <x:v>Summer Launch</x:v>
      </x:c>
      <x:c r="F228" t="str">
        <x:v>Static Image</x:v>
      </x:c>
      <x:c r="G228" t="str">
        <x:v>Education</x:v>
      </x:c>
      <x:c r="H228" t="n">
        <x:v>0</x:v>
      </x:c>
      <x:c r="I228" t="n">
        <x:v>3253</x:v>
      </x:c>
      <x:c r="J228" t="n">
        <x:v>2622</x:v>
      </x:c>
      <x:c r="K228" t="n">
        <x:v>84</x:v>
      </x:c>
      <x:c r="L228" t="n">
        <x:v>52</x:v>
      </x:c>
      <x:c r="M228" t="n">
        <x:v>4</x:v>
      </x:c>
      <x:c r="N228" t="n">
        <x:v>0</x:v>
      </x:c>
      <x:c r="O228" s="37" t="n">
        <x:v>544.73</x:v>
      </x:c>
      <x:c r="P228" s="37" t="n">
        <x:v>12898</x:v>
      </x:c>
      <x:c r="Q228" t="n">
        <x:v>6</x:v>
      </x:c>
      <x:c r="R228" t="n">
        <x:v>2</x:v>
      </x:c>
      <x:c r="S228" t="n">
        <x:v>12902</x:v>
      </x:c>
      <x:c r="T228" t="n">
        <x:v>6.8</x:v>
      </x:c>
    </x:row>
    <x:row r="229">
      <x:c r="A229" t="str">
        <x:v>SM0225</x:v>
      </x:c>
      <x:c r="B229" s="43" t="str">
        <x:v>2026-07-07</x:v>
      </x:c>
      <x:c r="C229" t="str">
        <x:v>2026-07</x:v>
      </x:c>
      <x:c r="D229" t="str">
        <x:v>LinkedIn</x:v>
      </x:c>
      <x:c r="E229" t="str">
        <x:v>Lead Gen</x:v>
      </x:c>
      <x:c r="F229" t="str">
        <x:v>Article</x:v>
      </x:c>
      <x:c r="G229" t="str">
        <x:v>Customer Story</x:v>
      </x:c>
      <x:c r="H229" t="n">
        <x:v>0</x:v>
      </x:c>
      <x:c r="I229" t="n">
        <x:v>8278</x:v>
      </x:c>
      <x:c r="J229" t="n">
        <x:v>5346</x:v>
      </x:c>
      <x:c r="K229" t="n">
        <x:v>195</x:v>
      </x:c>
      <x:c r="L229" t="n">
        <x:v>258</x:v>
      </x:c>
      <x:c r="M229" t="n">
        <x:v>18</x:v>
      </x:c>
      <x:c r="N229" t="n">
        <x:v>0</x:v>
      </x:c>
      <x:c r="O229" s="37" t="n">
        <x:v>1892.85</x:v>
      </x:c>
      <x:c r="P229" s="37" t="n">
        <x:v>12902</x:v>
      </x:c>
      <x:c r="Q229" t="n">
        <x:v>11</x:v>
      </x:c>
      <x:c r="R229" t="n">
        <x:v>3</x:v>
      </x:c>
      <x:c r="S229" t="n">
        <x:v>12910</x:v>
      </x:c>
      <x:c r="T229" t="n">
        <x:v>19.2</x:v>
      </x:c>
    </x:row>
    <x:row r="230">
      <x:c r="A230" t="str">
        <x:v>SM0226</x:v>
      </x:c>
      <x:c r="B230" s="43" t="str">
        <x:v>2026-07-08</x:v>
      </x:c>
      <x:c r="C230" t="str">
        <x:v>2026-07</x:v>
      </x:c>
      <x:c r="D230" t="str">
        <x:v>LinkedIn</x:v>
      </x:c>
      <x:c r="E230" t="str">
        <x:v>Brand Trust</x:v>
      </x:c>
      <x:c r="F230" t="str">
        <x:v>Live Clip</x:v>
      </x:c>
      <x:c r="G230" t="str">
        <x:v>Industry Insight</x:v>
      </x:c>
      <x:c r="H230" t="n">
        <x:v>0</x:v>
      </x:c>
      <x:c r="I230" t="n">
        <x:v>6864</x:v>
      </x:c>
      <x:c r="J230" t="n">
        <x:v>5087</x:v>
      </x:c>
      <x:c r="K230" t="n">
        <x:v>172</x:v>
      </x:c>
      <x:c r="L230" t="n">
        <x:v>56</x:v>
      </x:c>
      <x:c r="M230" t="n">
        <x:v>8</x:v>
      </x:c>
      <x:c r="N230" t="n">
        <x:v>0</x:v>
      </x:c>
      <x:c r="O230" s="37" t="n">
        <x:v>954.87</x:v>
      </x:c>
      <x:c r="P230" s="37" t="n">
        <x:v>12910</x:v>
      </x:c>
      <x:c r="Q230" t="n">
        <x:v>7</x:v>
      </x:c>
      <x:c r="R230" t="n">
        <x:v>1</x:v>
      </x:c>
      <x:c r="S230" t="n">
        <x:v>12916</x:v>
      </x:c>
      <x:c r="T230" t="n">
        <x:v>27.3</x:v>
      </x:c>
    </x:row>
    <x:row r="231">
      <x:c r="A231" t="str">
        <x:v>SM0227</x:v>
      </x:c>
      <x:c r="B231" s="43" t="str">
        <x:v>2026-07-09</x:v>
      </x:c>
      <x:c r="C231" t="str">
        <x:v>2026-07</x:v>
      </x:c>
      <x:c r="D231" t="str">
        <x:v>LinkedIn</x:v>
      </x:c>
      <x:c r="E231" t="str">
        <x:v>Always On</x:v>
      </x:c>
      <x:c r="F231" t="str">
        <x:v>Short Video</x:v>
      </x:c>
      <x:c r="G231" t="str">
        <x:v>Education</x:v>
      </x:c>
      <x:c r="H231" t="n">
        <x:v>1</x:v>
      </x:c>
      <x:c r="I231" t="n">
        <x:v>4858</x:v>
      </x:c>
      <x:c r="J231" t="n">
        <x:v>3801</x:v>
      </x:c>
      <x:c r="K231" t="n">
        <x:v>192</x:v>
      </x:c>
      <x:c r="L231" t="n">
        <x:v>41</x:v>
      </x:c>
      <x:c r="M231" t="n">
        <x:v>2</x:v>
      </x:c>
      <x:c r="N231" t="n">
        <x:v>711.94</x:v>
      </x:c>
      <x:c r="O231" s="37" t="n">
        <x:v>318.93</x:v>
      </x:c>
      <x:c r="P231" s="37" t="n">
        <x:v>12916</x:v>
      </x:c>
      <x:c r="Q231" t="n">
        <x:v>9</x:v>
      </x:c>
      <x:c r="R231" t="n">
        <x:v>2</x:v>
      </x:c>
      <x:c r="S231" t="n">
        <x:v>12923</x:v>
      </x:c>
      <x:c r="T231" t="n">
        <x:v>29.1</x:v>
      </x:c>
    </x:row>
    <x:row r="232">
      <x:c r="A232" t="str">
        <x:v>SM0228</x:v>
      </x:c>
      <x:c r="B232" s="43" t="str">
        <x:v>2026-07-10</x:v>
      </x:c>
      <x:c r="C232" t="str">
        <x:v>2026-07</x:v>
      </x:c>
      <x:c r="D232" t="str">
        <x:v>LinkedIn</x:v>
      </x:c>
      <x:c r="E232" t="str">
        <x:v>Summer Launch</x:v>
      </x:c>
      <x:c r="F232" t="str">
        <x:v>Carousel</x:v>
      </x:c>
      <x:c r="G232" t="str">
        <x:v>Customer Story</x:v>
      </x:c>
      <x:c r="H232" t="n">
        <x:v>0</x:v>
      </x:c>
      <x:c r="I232" t="n">
        <x:v>6546</x:v>
      </x:c>
      <x:c r="J232" t="n">
        <x:v>5020</x:v>
      </x:c>
      <x:c r="K232" t="n">
        <x:v>133</x:v>
      </x:c>
      <x:c r="L232" t="n">
        <x:v>142</x:v>
      </x:c>
      <x:c r="M232" t="n">
        <x:v>16</x:v>
      </x:c>
      <x:c r="N232" t="n">
        <x:v>0</x:v>
      </x:c>
      <x:c r="O232" s="37" t="n">
        <x:v>1695.42</x:v>
      </x:c>
      <x:c r="P232" s="37" t="n">
        <x:v>12923</x:v>
      </x:c>
      <x:c r="Q232" t="n">
        <x:v>10</x:v>
      </x:c>
      <x:c r="R232" t="n">
        <x:v>2</x:v>
      </x:c>
      <x:c r="S232" t="n">
        <x:v>12931</x:v>
      </x:c>
      <x:c r="T232" t="n">
        <x:v>20.3</x:v>
      </x:c>
    </x:row>
    <x:row r="233">
      <x:c r="A233" t="str">
        <x:v>SM0229</x:v>
      </x:c>
      <x:c r="B233" s="43" t="str">
        <x:v>2026-07-11</x:v>
      </x:c>
      <x:c r="C233" t="str">
        <x:v>2026-07</x:v>
      </x:c>
      <x:c r="D233" t="str">
        <x:v>LinkedIn</x:v>
      </x:c>
      <x:c r="E233" t="str">
        <x:v>Lead Gen</x:v>
      </x:c>
      <x:c r="F233" t="str">
        <x:v>Static Image</x:v>
      </x:c>
      <x:c r="G233" t="str">
        <x:v>Industry Insight</x:v>
      </x:c>
      <x:c r="H233" t="n">
        <x:v>0</x:v>
      </x:c>
      <x:c r="I233" t="n">
        <x:v>4351</x:v>
      </x:c>
      <x:c r="J233" t="n">
        <x:v>3408</x:v>
      </x:c>
      <x:c r="K233" t="n">
        <x:v>67</x:v>
      </x:c>
      <x:c r="L233" t="n">
        <x:v>108</x:v>
      </x:c>
      <x:c r="M233" t="n">
        <x:v>13</x:v>
      </x:c>
      <x:c r="N233" t="n">
        <x:v>0</x:v>
      </x:c>
      <x:c r="O233" s="37" t="n">
        <x:v>2324.59</x:v>
      </x:c>
      <x:c r="P233" s="37" t="n">
        <x:v>12931</x:v>
      </x:c>
      <x:c r="Q233" t="n">
        <x:v>3</x:v>
      </x:c>
      <x:c r="R233" t="n">
        <x:v>1</x:v>
      </x:c>
      <x:c r="S233" t="n">
        <x:v>12933</x:v>
      </x:c>
      <x:c r="T233" t="n">
        <x:v>17.4</x:v>
      </x:c>
    </x:row>
    <x:row r="234">
      <x:c r="A234" t="str">
        <x:v>SM0230</x:v>
      </x:c>
      <x:c r="B234" s="43" t="str">
        <x:v>2026-07-12</x:v>
      </x:c>
      <x:c r="C234" t="str">
        <x:v>2026-07</x:v>
      </x:c>
      <x:c r="D234" t="str">
        <x:v>LinkedIn</x:v>
      </x:c>
      <x:c r="E234" t="str">
        <x:v>Brand Trust</x:v>
      </x:c>
      <x:c r="F234" t="str">
        <x:v>Article</x:v>
      </x:c>
      <x:c r="G234" t="str">
        <x:v>Education</x:v>
      </x:c>
      <x:c r="H234" t="n">
        <x:v>0</x:v>
      </x:c>
      <x:c r="I234" t="n">
        <x:v>4631</x:v>
      </x:c>
      <x:c r="J234" t="n">
        <x:v>3192</x:v>
      </x:c>
      <x:c r="K234" t="n">
        <x:v>115</x:v>
      </x:c>
      <x:c r="L234" t="n">
        <x:v>93</x:v>
      </x:c>
      <x:c r="M234" t="n">
        <x:v>8</x:v>
      </x:c>
      <x:c r="N234" t="n">
        <x:v>0</x:v>
      </x:c>
      <x:c r="O234" s="37" t="n">
        <x:v>966.01</x:v>
      </x:c>
      <x:c r="P234" s="37" t="n">
        <x:v>12933</x:v>
      </x:c>
      <x:c r="Q234" t="n">
        <x:v>6</x:v>
      </x:c>
      <x:c r="R234" t="n">
        <x:v>1</x:v>
      </x:c>
      <x:c r="S234" t="n">
        <x:v>12938</x:v>
      </x:c>
      <x:c r="T234" t="n">
        <x:v>44.1</x:v>
      </x:c>
    </x:row>
    <x:row r="235">
      <x:c r="A235" t="str">
        <x:v>SM0231</x:v>
      </x:c>
      <x:c r="B235" s="43" t="str">
        <x:v>2026-07-13</x:v>
      </x:c>
      <x:c r="C235" t="str">
        <x:v>2026-07</x:v>
      </x:c>
      <x:c r="D235" t="str">
        <x:v>LinkedIn</x:v>
      </x:c>
      <x:c r="E235" t="str">
        <x:v>Always On</x:v>
      </x:c>
      <x:c r="F235" t="str">
        <x:v>Live Clip</x:v>
      </x:c>
      <x:c r="G235" t="str">
        <x:v>Customer Story</x:v>
      </x:c>
      <x:c r="H235" t="n">
        <x:v>1</x:v>
      </x:c>
      <x:c r="I235" t="n">
        <x:v>9187</x:v>
      </x:c>
      <x:c r="J235" t="n">
        <x:v>6315</x:v>
      </x:c>
      <x:c r="K235" t="n">
        <x:v>112</x:v>
      </x:c>
      <x:c r="L235" t="n">
        <x:v>293</x:v>
      </x:c>
      <x:c r="M235" t="n">
        <x:v>31</x:v>
      </x:c>
      <x:c r="N235" t="n">
        <x:v>736.48</x:v>
      </x:c>
      <x:c r="O235" s="37" t="n">
        <x:v>3384.72</x:v>
      </x:c>
      <x:c r="P235" s="37" t="n">
        <x:v>12938</x:v>
      </x:c>
      <x:c r="Q235" t="n">
        <x:v>11</x:v>
      </x:c>
      <x:c r="R235" t="n">
        <x:v>3</x:v>
      </x:c>
      <x:c r="S235" t="n">
        <x:v>12946</x:v>
      </x:c>
      <x:c r="T235" t="n">
        <x:v>10.8</x:v>
      </x:c>
    </x:row>
    <x:row r="236">
      <x:c r="A236" t="str">
        <x:v>SM0232</x:v>
      </x:c>
      <x:c r="B236" s="43" t="str">
        <x:v>2026-07-14</x:v>
      </x:c>
      <x:c r="C236" t="str">
        <x:v>2026-07</x:v>
      </x:c>
      <x:c r="D236" t="str">
        <x:v>LinkedIn</x:v>
      </x:c>
      <x:c r="E236" t="str">
        <x:v>Summer Launch</x:v>
      </x:c>
      <x:c r="F236" t="str">
        <x:v>Short Video</x:v>
      </x:c>
      <x:c r="G236" t="str">
        <x:v>Industry Insight</x:v>
      </x:c>
      <x:c r="H236" t="n">
        <x:v>0</x:v>
      </x:c>
      <x:c r="I236" t="n">
        <x:v>10920</x:v>
      </x:c>
      <x:c r="J236" t="n">
        <x:v>7627</x:v>
      </x:c>
      <x:c r="K236" t="n">
        <x:v>360</x:v>
      </x:c>
      <x:c r="L236" t="n">
        <x:v>179</x:v>
      </x:c>
      <x:c r="M236" t="n">
        <x:v>14</x:v>
      </x:c>
      <x:c r="N236" t="n">
        <x:v>0</x:v>
      </x:c>
      <x:c r="O236" s="37" t="n">
        <x:v>2152.39</x:v>
      </x:c>
      <x:c r="P236" s="37" t="n">
        <x:v>12946</x:v>
      </x:c>
      <x:c r="Q236" t="n">
        <x:v>9</x:v>
      </x:c>
      <x:c r="R236" t="n">
        <x:v>2</x:v>
      </x:c>
      <x:c r="S236" t="n">
        <x:v>12953</x:v>
      </x:c>
      <x:c r="T236" t="n">
        <x:v>36.9</x:v>
      </x:c>
    </x:row>
    <x:row r="237">
      <x:c r="A237" t="str">
        <x:v>SM0233</x:v>
      </x:c>
      <x:c r="B237" s="43" t="str">
        <x:v>2026-07-15</x:v>
      </x:c>
      <x:c r="C237" t="str">
        <x:v>2026-07</x:v>
      </x:c>
      <x:c r="D237" t="str">
        <x:v>LinkedIn</x:v>
      </x:c>
      <x:c r="E237" t="str">
        <x:v>Lead Gen</x:v>
      </x:c>
      <x:c r="F237" t="str">
        <x:v>Carousel</x:v>
      </x:c>
      <x:c r="G237" t="str">
        <x:v>Education</x:v>
      </x:c>
      <x:c r="H237" t="n">
        <x:v>0</x:v>
      </x:c>
      <x:c r="I237" t="n">
        <x:v>7733</x:v>
      </x:c>
      <x:c r="J237" t="n">
        <x:v>4923</x:v>
      </x:c>
      <x:c r="K237" t="n">
        <x:v>222</x:v>
      </x:c>
      <x:c r="L237" t="n">
        <x:v>98</x:v>
      </x:c>
      <x:c r="M237" t="n">
        <x:v>9</x:v>
      </x:c>
      <x:c r="N237" t="n">
        <x:v>0</x:v>
      </x:c>
      <x:c r="O237" s="37" t="n">
        <x:v>1329.12</x:v>
      </x:c>
      <x:c r="P237" s="37" t="n">
        <x:v>12953</x:v>
      </x:c>
      <x:c r="Q237" t="n">
        <x:v>4</x:v>
      </x:c>
      <x:c r="R237" t="n">
        <x:v>1</x:v>
      </x:c>
      <x:c r="S237" t="n">
        <x:v>12956</x:v>
      </x:c>
      <x:c r="T237" t="n">
        <x:v>25.7</x:v>
      </x:c>
    </x:row>
    <x:row r="238">
      <x:c r="A238" t="str">
        <x:v>SM0234</x:v>
      </x:c>
      <x:c r="B238" s="43" t="str">
        <x:v>2026-07-16</x:v>
      </x:c>
      <x:c r="C238" t="str">
        <x:v>2026-07</x:v>
      </x:c>
      <x:c r="D238" t="str">
        <x:v>LinkedIn</x:v>
      </x:c>
      <x:c r="E238" t="str">
        <x:v>Brand Trust</x:v>
      </x:c>
      <x:c r="F238" t="str">
        <x:v>Static Image</x:v>
      </x:c>
      <x:c r="G238" t="str">
        <x:v>Customer Story</x:v>
      </x:c>
      <x:c r="H238" t="n">
        <x:v>0</x:v>
      </x:c>
      <x:c r="I238" t="n">
        <x:v>3569</x:v>
      </x:c>
      <x:c r="J238" t="n">
        <x:v>2661</x:v>
      </x:c>
      <x:c r="K238" t="n">
        <x:v>140</x:v>
      </x:c>
      <x:c r="L238" t="n">
        <x:v>112</x:v>
      </x:c>
      <x:c r="M238" t="n">
        <x:v>9</x:v>
      </x:c>
      <x:c r="N238" t="n">
        <x:v>0</x:v>
      </x:c>
      <x:c r="O238" s="37" t="n">
        <x:v>1693.03</x:v>
      </x:c>
      <x:c r="P238" s="37" t="n">
        <x:v>12956</x:v>
      </x:c>
      <x:c r="Q238" t="n">
        <x:v>3</x:v>
      </x:c>
      <x:c r="R238" t="n">
        <x:v>0</x:v>
      </x:c>
      <x:c r="S238" t="n">
        <x:v>12959</x:v>
      </x:c>
      <x:c r="T238" t="n">
        <x:v>23.3</x:v>
      </x:c>
    </x:row>
    <x:row r="239">
      <x:c r="A239" t="str">
        <x:v>SM0235</x:v>
      </x:c>
      <x:c r="B239" s="43" t="str">
        <x:v>2026-07-17</x:v>
      </x:c>
      <x:c r="C239" t="str">
        <x:v>2026-07</x:v>
      </x:c>
      <x:c r="D239" t="str">
        <x:v>LinkedIn</x:v>
      </x:c>
      <x:c r="E239" t="str">
        <x:v>Always On</x:v>
      </x:c>
      <x:c r="F239" t="str">
        <x:v>Article</x:v>
      </x:c>
      <x:c r="G239" t="str">
        <x:v>Industry Insight</x:v>
      </x:c>
      <x:c r="H239" t="n">
        <x:v>1</x:v>
      </x:c>
      <x:c r="I239" t="n">
        <x:v>4544</x:v>
      </x:c>
      <x:c r="J239" t="n">
        <x:v>3180</x:v>
      </x:c>
      <x:c r="K239" t="n">
        <x:v>71</x:v>
      </x:c>
      <x:c r="L239" t="n">
        <x:v>49</x:v>
      </x:c>
      <x:c r="M239" t="n">
        <x:v>5</x:v>
      </x:c>
      <x:c r="N239" t="n">
        <x:v>488.23</x:v>
      </x:c>
      <x:c r="O239" s="37" t="n">
        <x:v>793.06</x:v>
      </x:c>
      <x:c r="P239" s="37" t="n">
        <x:v>12959</x:v>
      </x:c>
      <x:c r="Q239" t="n">
        <x:v>5</x:v>
      </x:c>
      <x:c r="R239" t="n">
        <x:v>2</x:v>
      </x:c>
      <x:c r="S239" t="n">
        <x:v>12962</x:v>
      </x:c>
      <x:c r="T239" t="n">
        <x:v>37.1</x:v>
      </x:c>
    </x:row>
    <x:row r="240">
      <x:c r="A240" t="str">
        <x:v>SM0236</x:v>
      </x:c>
      <x:c r="B240" s="43" t="str">
        <x:v>2026-07-18</x:v>
      </x:c>
      <x:c r="C240" t="str">
        <x:v>2026-07</x:v>
      </x:c>
      <x:c r="D240" t="str">
        <x:v>LinkedIn</x:v>
      </x:c>
      <x:c r="E240" t="str">
        <x:v>Summer Launch</x:v>
      </x:c>
      <x:c r="F240" t="str">
        <x:v>Live Clip</x:v>
      </x:c>
      <x:c r="G240" t="str">
        <x:v>Education</x:v>
      </x:c>
      <x:c r="H240" t="n">
        <x:v>0</x:v>
      </x:c>
      <x:c r="I240" t="n">
        <x:v>6676</x:v>
      </x:c>
      <x:c r="J240" t="n">
        <x:v>5238</x:v>
      </x:c>
      <x:c r="K240" t="n">
        <x:v>187</x:v>
      </x:c>
      <x:c r="L240" t="n">
        <x:v>114</x:v>
      </x:c>
      <x:c r="M240" t="n">
        <x:v>10</x:v>
      </x:c>
      <x:c r="N240" t="n">
        <x:v>0</x:v>
      </x:c>
      <x:c r="O240" s="37" t="n">
        <x:v>863.18</x:v>
      </x:c>
      <x:c r="P240" s="37" t="n">
        <x:v>12962</x:v>
      </x:c>
      <x:c r="Q240" t="n">
        <x:v>6</x:v>
      </x:c>
      <x:c r="R240" t="n">
        <x:v>2</x:v>
      </x:c>
      <x:c r="S240" t="n">
        <x:v>12966</x:v>
      </x:c>
      <x:c r="T240" t="n">
        <x:v>43.1</x:v>
      </x:c>
    </x:row>
    <x:row r="241">
      <x:c r="A241" t="str">
        <x:v>SM0237</x:v>
      </x:c>
      <x:c r="B241" s="43" t="str">
        <x:v>2026-07-19</x:v>
      </x:c>
      <x:c r="C241" t="str">
        <x:v>2026-07</x:v>
      </x:c>
      <x:c r="D241" t="str">
        <x:v>LinkedIn</x:v>
      </x:c>
      <x:c r="E241" t="str">
        <x:v>Lead Gen</x:v>
      </x:c>
      <x:c r="F241" t="str">
        <x:v>Short Video</x:v>
      </x:c>
      <x:c r="G241" t="str">
        <x:v>Customer Story</x:v>
      </x:c>
      <x:c r="H241" t="n">
        <x:v>0</x:v>
      </x:c>
      <x:c r="I241" t="n">
        <x:v>4851</x:v>
      </x:c>
      <x:c r="J241" t="n">
        <x:v>3390</x:v>
      </x:c>
      <x:c r="K241" t="n">
        <x:v>92</x:v>
      </x:c>
      <x:c r="L241" t="n">
        <x:v>133</x:v>
      </x:c>
      <x:c r="M241" t="n">
        <x:v>8</x:v>
      </x:c>
      <x:c r="N241" t="n">
        <x:v>0</x:v>
      </x:c>
      <x:c r="O241" s="37" t="n">
        <x:v>1438.91</x:v>
      </x:c>
      <x:c r="P241" s="37" t="n">
        <x:v>12966</x:v>
      </x:c>
      <x:c r="Q241" t="n">
        <x:v>3</x:v>
      </x:c>
      <x:c r="R241" t="n">
        <x:v>1</x:v>
      </x:c>
      <x:c r="S241" t="n">
        <x:v>12968</x:v>
      </x:c>
      <x:c r="T241" t="n">
        <x:v>15.1</x:v>
      </x:c>
    </x:row>
    <x:row r="242">
      <x:c r="A242" t="str">
        <x:v>SM0238</x:v>
      </x:c>
      <x:c r="B242" s="43" t="str">
        <x:v>2026-07-20</x:v>
      </x:c>
      <x:c r="C242" t="str">
        <x:v>2026-07</x:v>
      </x:c>
      <x:c r="D242" t="str">
        <x:v>LinkedIn</x:v>
      </x:c>
      <x:c r="E242" t="str">
        <x:v>Brand Trust</x:v>
      </x:c>
      <x:c r="F242" t="str">
        <x:v>Carousel</x:v>
      </x:c>
      <x:c r="G242" t="str">
        <x:v>Industry Insight</x:v>
      </x:c>
      <x:c r="H242" t="n">
        <x:v>0</x:v>
      </x:c>
      <x:c r="I242" t="n">
        <x:v>3284</x:v>
      </x:c>
      <x:c r="J242" t="n">
        <x:v>2186</x:v>
      </x:c>
      <x:c r="K242" t="n">
        <x:v>75</x:v>
      </x:c>
      <x:c r="L242" t="n">
        <x:v>105</x:v>
      </x:c>
      <x:c r="M242" t="n">
        <x:v>11</x:v>
      </x:c>
      <x:c r="N242" t="n">
        <x:v>0</x:v>
      </x:c>
      <x:c r="O242" s="37" t="n">
        <x:v>1775.09</x:v>
      </x:c>
      <x:c r="P242" s="37" t="n">
        <x:v>12968</x:v>
      </x:c>
      <x:c r="Q242" t="n">
        <x:v>5</x:v>
      </x:c>
      <x:c r="R242" t="n">
        <x:v>1</x:v>
      </x:c>
      <x:c r="S242" t="n">
        <x:v>12972</x:v>
      </x:c>
      <x:c r="T242" t="n">
        <x:v>47.5</x:v>
      </x:c>
    </x:row>
    <x:row r="243">
      <x:c r="A243" t="str">
        <x:v>SM0239</x:v>
      </x:c>
      <x:c r="B243" s="43" t="str">
        <x:v>2026-07-21</x:v>
      </x:c>
      <x:c r="C243" t="str">
        <x:v>2026-07</x:v>
      </x:c>
      <x:c r="D243" t="str">
        <x:v>LinkedIn</x:v>
      </x:c>
      <x:c r="E243" t="str">
        <x:v>Always On</x:v>
      </x:c>
      <x:c r="F243" t="str">
        <x:v>Static Image</x:v>
      </x:c>
      <x:c r="G243" t="str">
        <x:v>Education</x:v>
      </x:c>
      <x:c r="H243" t="n">
        <x:v>1</x:v>
      </x:c>
      <x:c r="I243" t="n">
        <x:v>6759</x:v>
      </x:c>
      <x:c r="J243" t="n">
        <x:v>5469</x:v>
      </x:c>
      <x:c r="K243" t="n">
        <x:v>265</x:v>
      </x:c>
      <x:c r="L243" t="n">
        <x:v>99</x:v>
      </x:c>
      <x:c r="M243" t="n">
        <x:v>6</x:v>
      </x:c>
      <x:c r="N243" t="n">
        <x:v>459.09</x:v>
      </x:c>
      <x:c r="O243" s="37" t="n">
        <x:v>602.02</x:v>
      </x:c>
      <x:c r="P243" s="37" t="n">
        <x:v>12972</x:v>
      </x:c>
      <x:c r="Q243" t="n">
        <x:v>7</x:v>
      </x:c>
      <x:c r="R243" t="n">
        <x:v>1</x:v>
      </x:c>
      <x:c r="S243" t="n">
        <x:v>12978</x:v>
      </x:c>
      <x:c r="T243" t="n">
        <x:v>18</x:v>
      </x:c>
    </x:row>
    <x:row r="244">
      <x:c r="A244" t="str">
        <x:v>SM0240</x:v>
      </x:c>
      <x:c r="B244" s="43" t="str">
        <x:v>2026-07-22</x:v>
      </x:c>
      <x:c r="C244" t="str">
        <x:v>2026-07</x:v>
      </x:c>
      <x:c r="D244" t="str">
        <x:v>LinkedIn</x:v>
      </x:c>
      <x:c r="E244" t="str">
        <x:v>Summer Launch</x:v>
      </x:c>
      <x:c r="F244" t="str">
        <x:v>Article</x:v>
      </x:c>
      <x:c r="G244" t="str">
        <x:v>Customer Story</x:v>
      </x:c>
      <x:c r="H244" t="n">
        <x:v>0</x:v>
      </x:c>
      <x:c r="I244" t="n">
        <x:v>3582</x:v>
      </x:c>
      <x:c r="J244" t="n">
        <x:v>2515</x:v>
      </x:c>
      <x:c r="K244" t="n">
        <x:v>50</x:v>
      </x:c>
      <x:c r="L244" t="n">
        <x:v>111</x:v>
      </x:c>
      <x:c r="M244" t="n">
        <x:v>13</x:v>
      </x:c>
      <x:c r="N244" t="n">
        <x:v>0</x:v>
      </x:c>
      <x:c r="O244" s="37" t="n">
        <x:v>2017.9</x:v>
      </x:c>
      <x:c r="P244" s="37" t="n">
        <x:v>12978</x:v>
      </x:c>
      <x:c r="Q244" t="n">
        <x:v>3</x:v>
      </x:c>
      <x:c r="R244" t="n">
        <x:v>1</x:v>
      </x:c>
      <x:c r="S244" t="n">
        <x:v>12980</x:v>
      </x:c>
      <x:c r="T244" t="n">
        <x:v>44.7</x:v>
      </x:c>
    </x:row>
    <x:row r="245">
      <x:c r="A245" t="str">
        <x:v>SM0241</x:v>
      </x:c>
      <x:c r="B245" s="43" t="str">
        <x:v>2026-07-23</x:v>
      </x:c>
      <x:c r="C245" t="str">
        <x:v>2026-07</x:v>
      </x:c>
      <x:c r="D245" t="str">
        <x:v>LinkedIn</x:v>
      </x:c>
      <x:c r="E245" t="str">
        <x:v>Lead Gen</x:v>
      </x:c>
      <x:c r="F245" t="str">
        <x:v>Live Clip</x:v>
      </x:c>
      <x:c r="G245" t="str">
        <x:v>Industry Insight</x:v>
      </x:c>
      <x:c r="H245" t="n">
        <x:v>0</x:v>
      </x:c>
      <x:c r="I245" t="n">
        <x:v>7277</x:v>
      </x:c>
      <x:c r="J245" t="n">
        <x:v>5583</x:v>
      </x:c>
      <x:c r="K245" t="n">
        <x:v>287</x:v>
      </x:c>
      <x:c r="L245" t="n">
        <x:v>125</x:v>
      </x:c>
      <x:c r="M245" t="n">
        <x:v>13</x:v>
      </x:c>
      <x:c r="N245" t="n">
        <x:v>0</x:v>
      </x:c>
      <x:c r="O245" s="37" t="n">
        <x:v>2045.97</x:v>
      </x:c>
      <x:c r="P245" s="37" t="n">
        <x:v>12980</x:v>
      </x:c>
      <x:c r="Q245" t="n">
        <x:v>12</x:v>
      </x:c>
      <x:c r="R245" t="n">
        <x:v>3</x:v>
      </x:c>
      <x:c r="S245" t="n">
        <x:v>12989</x:v>
      </x:c>
      <x:c r="T245" t="n">
        <x:v>25</x:v>
      </x:c>
    </x:row>
    <x:row r="246">
      <x:c r="A246" t="str">
        <x:v>SM0242</x:v>
      </x:c>
      <x:c r="B246" s="43" t="str">
        <x:v>2026-07-24</x:v>
      </x:c>
      <x:c r="C246" t="str">
        <x:v>2026-07</x:v>
      </x:c>
      <x:c r="D246" t="str">
        <x:v>LinkedIn</x:v>
      </x:c>
      <x:c r="E246" t="str">
        <x:v>Brand Trust</x:v>
      </x:c>
      <x:c r="F246" t="str">
        <x:v>Short Video</x:v>
      </x:c>
      <x:c r="G246" t="str">
        <x:v>Education</x:v>
      </x:c>
      <x:c r="H246" t="n">
        <x:v>0</x:v>
      </x:c>
      <x:c r="I246" t="n">
        <x:v>11534</x:v>
      </x:c>
      <x:c r="J246" t="n">
        <x:v>8661</x:v>
      </x:c>
      <x:c r="K246" t="n">
        <x:v>278</x:v>
      </x:c>
      <x:c r="L246" t="n">
        <x:v>143</x:v>
      </x:c>
      <x:c r="M246" t="n">
        <x:v>14</x:v>
      </x:c>
      <x:c r="N246" t="n">
        <x:v>0</x:v>
      </x:c>
      <x:c r="O246" s="37" t="n">
        <x:v>1384.56</x:v>
      </x:c>
      <x:c r="P246" s="37" t="n">
        <x:v>12989</x:v>
      </x:c>
      <x:c r="Q246" t="n">
        <x:v>21</x:v>
      </x:c>
      <x:c r="R246" t="n">
        <x:v>3</x:v>
      </x:c>
      <x:c r="S246" t="n">
        <x:v>13007</x:v>
      </x:c>
      <x:c r="T246" t="n">
        <x:v>40.3</x:v>
      </x:c>
    </x:row>
    <x:row r="247">
      <x:c r="A247" t="str">
        <x:v>SM0243</x:v>
      </x:c>
      <x:c r="B247" s="43" t="str">
        <x:v>2026-07-25</x:v>
      </x:c>
      <x:c r="C247" t="str">
        <x:v>2026-07</x:v>
      </x:c>
      <x:c r="D247" t="str">
        <x:v>LinkedIn</x:v>
      </x:c>
      <x:c r="E247" t="str">
        <x:v>Always On</x:v>
      </x:c>
      <x:c r="F247" t="str">
        <x:v>Carousel</x:v>
      </x:c>
      <x:c r="G247" t="str">
        <x:v>Customer Story</x:v>
      </x:c>
      <x:c r="H247" t="n">
        <x:v>1</x:v>
      </x:c>
      <x:c r="I247" t="n">
        <x:v>2393</x:v>
      </x:c>
      <x:c r="J247" t="n">
        <x:v>1880</x:v>
      </x:c>
      <x:c r="K247" t="n">
        <x:v>57</x:v>
      </x:c>
      <x:c r="L247" t="n">
        <x:v>36</x:v>
      </x:c>
      <x:c r="M247" t="n">
        <x:v>2</x:v>
      </x:c>
      <x:c r="N247" t="n">
        <x:v>867.79</x:v>
      </x:c>
      <x:c r="O247" s="37" t="n">
        <x:v>321.03</x:v>
      </x:c>
      <x:c r="P247" s="37" t="n">
        <x:v>13007</x:v>
      </x:c>
      <x:c r="Q247" t="n">
        <x:v>4</x:v>
      </x:c>
      <x:c r="R247" t="n">
        <x:v>1</x:v>
      </x:c>
      <x:c r="S247" t="n">
        <x:v>13010</x:v>
      </x:c>
      <x:c r="T247" t="n">
        <x:v>14.9</x:v>
      </x:c>
    </x:row>
    <x:row r="248">
      <x:c r="A248" t="str">
        <x:v>SM0244</x:v>
      </x:c>
      <x:c r="B248" s="43" t="str">
        <x:v>2026-07-26</x:v>
      </x:c>
      <x:c r="C248" t="str">
        <x:v>2026-07</x:v>
      </x:c>
      <x:c r="D248" t="str">
        <x:v>LinkedIn</x:v>
      </x:c>
      <x:c r="E248" t="str">
        <x:v>Summer Launch</x:v>
      </x:c>
      <x:c r="F248" t="str">
        <x:v>Static Image</x:v>
      </x:c>
      <x:c r="G248" t="str">
        <x:v>Industry Insight</x:v>
      </x:c>
      <x:c r="H248" t="n">
        <x:v>0</x:v>
      </x:c>
      <x:c r="I248" t="n">
        <x:v>8168</x:v>
      </x:c>
      <x:c r="J248" t="n">
        <x:v>5412</x:v>
      </x:c>
      <x:c r="K248" t="n">
        <x:v>255</x:v>
      </x:c>
      <x:c r="L248" t="n">
        <x:v>208</x:v>
      </x:c>
      <x:c r="M248" t="n">
        <x:v>15</x:v>
      </x:c>
      <x:c r="N248" t="n">
        <x:v>0</x:v>
      </x:c>
      <x:c r="O248" s="37" t="n">
        <x:v>2301.4</x:v>
      </x:c>
      <x:c r="P248" s="37" t="n">
        <x:v>13010</x:v>
      </x:c>
      <x:c r="Q248" t="n">
        <x:v>8</x:v>
      </x:c>
      <x:c r="R248" t="n">
        <x:v>2</x:v>
      </x:c>
      <x:c r="S248" t="n">
        <x:v>13016</x:v>
      </x:c>
      <x:c r="T248" t="n">
        <x:v>7.9</x:v>
      </x:c>
    </x:row>
    <x:row r="249">
      <x:c r="A249" t="str">
        <x:v>SM0245</x:v>
      </x:c>
      <x:c r="B249" s="43" t="str">
        <x:v>2026-07-27</x:v>
      </x:c>
      <x:c r="C249" t="str">
        <x:v>2026-07</x:v>
      </x:c>
      <x:c r="D249" t="str">
        <x:v>LinkedIn</x:v>
      </x:c>
      <x:c r="E249" t="str">
        <x:v>Lead Gen</x:v>
      </x:c>
      <x:c r="F249" t="str">
        <x:v>Article</x:v>
      </x:c>
      <x:c r="G249" t="str">
        <x:v>Education</x:v>
      </x:c>
      <x:c r="H249" t="n">
        <x:v>0</x:v>
      </x:c>
      <x:c r="I249" t="n">
        <x:v>5656</x:v>
      </x:c>
      <x:c r="J249" t="n">
        <x:v>4077</x:v>
      </x:c>
      <x:c r="K249" t="n">
        <x:v>103</x:v>
      </x:c>
      <x:c r="L249" t="n">
        <x:v>66</x:v>
      </x:c>
      <x:c r="M249" t="n">
        <x:v>7</x:v>
      </x:c>
      <x:c r="N249" t="n">
        <x:v>0</x:v>
      </x:c>
      <x:c r="O249" s="37" t="n">
        <x:v>912.63</x:v>
      </x:c>
      <x:c r="P249" s="37" t="n">
        <x:v>13016</x:v>
      </x:c>
      <x:c r="Q249" t="n">
        <x:v>8</x:v>
      </x:c>
      <x:c r="R249" t="n">
        <x:v>2</x:v>
      </x:c>
      <x:c r="S249" t="n">
        <x:v>13022</x:v>
      </x:c>
      <x:c r="T249" t="n">
        <x:v>33</x:v>
      </x:c>
    </x:row>
    <x:row r="250">
      <x:c r="A250" t="str">
        <x:v>SM0246</x:v>
      </x:c>
      <x:c r="B250" s="43" t="str">
        <x:v>2026-07-28</x:v>
      </x:c>
      <x:c r="C250" t="str">
        <x:v>2026-07</x:v>
      </x:c>
      <x:c r="D250" t="str">
        <x:v>LinkedIn</x:v>
      </x:c>
      <x:c r="E250" t="str">
        <x:v>Brand Trust</x:v>
      </x:c>
      <x:c r="F250" t="str">
        <x:v>Live Clip</x:v>
      </x:c>
      <x:c r="G250" t="str">
        <x:v>Customer Story</x:v>
      </x:c>
      <x:c r="H250" t="n">
        <x:v>0</x:v>
      </x:c>
      <x:c r="I250" t="n">
        <x:v>3520</x:v>
      </x:c>
      <x:c r="J250" t="n">
        <x:v>2831</x:v>
      </x:c>
      <x:c r="K250" t="n">
        <x:v>130</x:v>
      </x:c>
      <x:c r="L250" t="n">
        <x:v>42</x:v>
      </x:c>
      <x:c r="M250" t="n">
        <x:v>5</x:v>
      </x:c>
      <x:c r="N250" t="n">
        <x:v>0</x:v>
      </x:c>
      <x:c r="O250" s="37" t="n">
        <x:v>544.93</x:v>
      </x:c>
      <x:c r="P250" s="37" t="n">
        <x:v>13022</x:v>
      </x:c>
      <x:c r="Q250" t="n">
        <x:v>4</x:v>
      </x:c>
      <x:c r="R250" t="n">
        <x:v>1</x:v>
      </x:c>
      <x:c r="S250" t="n">
        <x:v>13025</x:v>
      </x:c>
      <x:c r="T250" t="n">
        <x:v>9.9</x:v>
      </x:c>
    </x:row>
    <x:row r="251">
      <x:c r="A251" t="str">
        <x:v>SM0247</x:v>
      </x:c>
      <x:c r="B251" s="43" t="str">
        <x:v>2026-07-29</x:v>
      </x:c>
      <x:c r="C251" t="str">
        <x:v>2026-07</x:v>
      </x:c>
      <x:c r="D251" t="str">
        <x:v>LinkedIn</x:v>
      </x:c>
      <x:c r="E251" t="str">
        <x:v>Always On</x:v>
      </x:c>
      <x:c r="F251" t="str">
        <x:v>Short Video</x:v>
      </x:c>
      <x:c r="G251" t="str">
        <x:v>Industry Insight</x:v>
      </x:c>
      <x:c r="H251" t="n">
        <x:v>1</x:v>
      </x:c>
      <x:c r="I251" t="n">
        <x:v>11210</x:v>
      </x:c>
      <x:c r="J251" t="n">
        <x:v>7453</x:v>
      </x:c>
      <x:c r="K251" t="n">
        <x:v>242</x:v>
      </x:c>
      <x:c r="L251" t="n">
        <x:v>249</x:v>
      </x:c>
      <x:c r="M251" t="n">
        <x:v>14</x:v>
      </x:c>
      <x:c r="N251" t="n">
        <x:v>630.84</x:v>
      </x:c>
      <x:c r="O251" s="37" t="n">
        <x:v>1364.08</x:v>
      </x:c>
      <x:c r="P251" s="37" t="n">
        <x:v>13025</x:v>
      </x:c>
      <x:c r="Q251" t="n">
        <x:v>13</x:v>
      </x:c>
      <x:c r="R251" t="n">
        <x:v>4</x:v>
      </x:c>
      <x:c r="S251" t="n">
        <x:v>13034</x:v>
      </x:c>
      <x:c r="T251" t="n">
        <x:v>34.1</x:v>
      </x:c>
    </x:row>
    <x:row r="252">
      <x:c r="A252" t="str">
        <x:v>SM0248</x:v>
      </x:c>
      <x:c r="B252" s="43" t="str">
        <x:v>2026-07-30</x:v>
      </x:c>
      <x:c r="C252" t="str">
        <x:v>2026-07</x:v>
      </x:c>
      <x:c r="D252" t="str">
        <x:v>LinkedIn</x:v>
      </x:c>
      <x:c r="E252" t="str">
        <x:v>Summer Launch</x:v>
      </x:c>
      <x:c r="F252" t="str">
        <x:v>Carousel</x:v>
      </x:c>
      <x:c r="G252" t="str">
        <x:v>Education</x:v>
      </x:c>
      <x:c r="H252" t="n">
        <x:v>0</x:v>
      </x:c>
      <x:c r="I252" t="n">
        <x:v>7591</x:v>
      </x:c>
      <x:c r="J252" t="n">
        <x:v>5514</x:v>
      </x:c>
      <x:c r="K252" t="n">
        <x:v>222</x:v>
      </x:c>
      <x:c r="L252" t="n">
        <x:v>178</x:v>
      </x:c>
      <x:c r="M252" t="n">
        <x:v>23</x:v>
      </x:c>
      <x:c r="N252" t="n">
        <x:v>0</x:v>
      </x:c>
      <x:c r="O252" s="37" t="n">
        <x:v>4321.99</x:v>
      </x:c>
      <x:c r="P252" s="37" t="n">
        <x:v>13034</x:v>
      </x:c>
      <x:c r="Q252" t="n">
        <x:v>8</x:v>
      </x:c>
      <x:c r="R252" t="n">
        <x:v>3</x:v>
      </x:c>
      <x:c r="S252" t="n">
        <x:v>13039</x:v>
      </x:c>
      <x:c r="T252" t="n">
        <x:v>7.7</x:v>
      </x:c>
    </x:row>
    <x:row r="253">
      <x:c r="A253" t="str">
        <x:v>SM0249</x:v>
      </x:c>
      <x:c r="B253" s="43" t="str">
        <x:v>2026-07-31</x:v>
      </x:c>
      <x:c r="C253" t="str">
        <x:v>2026-07</x:v>
      </x:c>
      <x:c r="D253" t="str">
        <x:v>LinkedIn</x:v>
      </x:c>
      <x:c r="E253" t="str">
        <x:v>Lead Gen</x:v>
      </x:c>
      <x:c r="F253" t="str">
        <x:v>Static Image</x:v>
      </x:c>
      <x:c r="G253" t="str">
        <x:v>Customer Story</x:v>
      </x:c>
      <x:c r="H253" t="n">
        <x:v>0</x:v>
      </x:c>
      <x:c r="I253" t="n">
        <x:v>3124</x:v>
      </x:c>
      <x:c r="J253" t="n">
        <x:v>2369</x:v>
      </x:c>
      <x:c r="K253" t="n">
        <x:v>111</x:v>
      </x:c>
      <x:c r="L253" t="n">
        <x:v>69</x:v>
      </x:c>
      <x:c r="M253" t="n">
        <x:v>8</x:v>
      </x:c>
      <x:c r="N253" t="n">
        <x:v>0</x:v>
      </x:c>
      <x:c r="O253" s="37" t="n">
        <x:v>1167.7</x:v>
      </x:c>
      <x:c r="P253" s="37" t="n">
        <x:v>13039</x:v>
      </x:c>
      <x:c r="Q253" t="n">
        <x:v>4</x:v>
      </x:c>
      <x:c r="R253" t="n">
        <x:v>1</x:v>
      </x:c>
      <x:c r="S253" t="n">
        <x:v>13042</x:v>
      </x:c>
      <x:c r="T253" t="n">
        <x:v>8.3</x:v>
      </x:c>
    </x:row>
    <x:row r="254">
      <x:c r="A254" t="str">
        <x:v>SM0250</x:v>
      </x:c>
      <x:c r="B254" s="43" t="str">
        <x:v>2026-07-01</x:v>
      </x:c>
      <x:c r="C254" t="str">
        <x:v>2026-07</x:v>
      </x:c>
      <x:c r="D254" t="str">
        <x:v>LinkedIn</x:v>
      </x:c>
      <x:c r="E254" t="str">
        <x:v>Brand Trust</x:v>
      </x:c>
      <x:c r="F254" t="str">
        <x:v>Article</x:v>
      </x:c>
      <x:c r="G254" t="str">
        <x:v>Industry Insight</x:v>
      </x:c>
      <x:c r="H254" t="n">
        <x:v>0</x:v>
      </x:c>
      <x:c r="I254" t="n">
        <x:v>2140</x:v>
      </x:c>
      <x:c r="J254" t="n">
        <x:v>1411</x:v>
      </x:c>
      <x:c r="K254" t="n">
        <x:v>65</x:v>
      </x:c>
      <x:c r="L254" t="n">
        <x:v>50</x:v>
      </x:c>
      <x:c r="M254" t="n">
        <x:v>7</x:v>
      </x:c>
      <x:c r="N254" t="n">
        <x:v>0</x:v>
      </x:c>
      <x:c r="O254" s="37" t="n">
        <x:v>642.68</x:v>
      </x:c>
      <x:c r="P254" s="37" t="n">
        <x:v>13042</x:v>
      </x:c>
      <x:c r="Q254" t="n">
        <x:v>3</x:v>
      </x:c>
      <x:c r="R254" t="n">
        <x:v>1</x:v>
      </x:c>
      <x:c r="S254" t="n">
        <x:v>13044</x:v>
      </x:c>
      <x:c r="T254" t="n">
        <x:v>33.3</x:v>
      </x:c>
    </x:row>
    <x:row r="255">
      <x:c r="A255" t="str">
        <x:v>SM0251</x:v>
      </x:c>
      <x:c r="B255" s="43" t="str">
        <x:v>2026-07-02</x:v>
      </x:c>
      <x:c r="C255" t="str">
        <x:v>2026-07</x:v>
      </x:c>
      <x:c r="D255" t="str">
        <x:v>LinkedIn</x:v>
      </x:c>
      <x:c r="E255" t="str">
        <x:v>Always On</x:v>
      </x:c>
      <x:c r="F255" t="str">
        <x:v>Live Clip</x:v>
      </x:c>
      <x:c r="G255" t="str">
        <x:v>Education</x:v>
      </x:c>
      <x:c r="H255" t="n">
        <x:v>1</x:v>
      </x:c>
      <x:c r="I255" t="n">
        <x:v>7059</x:v>
      </x:c>
      <x:c r="J255" t="n">
        <x:v>4845</x:v>
      </x:c>
      <x:c r="K255" t="n">
        <x:v>125</x:v>
      </x:c>
      <x:c r="L255" t="n">
        <x:v>72</x:v>
      </x:c>
      <x:c r="M255" t="n">
        <x:v>10</x:v>
      </x:c>
      <x:c r="N255" t="n">
        <x:v>616.04</x:v>
      </x:c>
      <x:c r="O255" s="37" t="n">
        <x:v>1671.46</x:v>
      </x:c>
      <x:c r="P255" s="37" t="n">
        <x:v>13044</x:v>
      </x:c>
      <x:c r="Q255" t="n">
        <x:v>5</x:v>
      </x:c>
      <x:c r="R255" t="n">
        <x:v>1</x:v>
      </x:c>
      <x:c r="S255" t="n">
        <x:v>13048</x:v>
      </x:c>
      <x:c r="T255" t="n">
        <x:v>38.9</x:v>
      </x:c>
    </x:row>
    <x:row r="256">
      <x:c r="A256" t="str">
        <x:v>SM0252</x:v>
      </x:c>
      <x:c r="B256" s="43" t="str">
        <x:v>2026-07-03</x:v>
      </x:c>
      <x:c r="C256" t="str">
        <x:v>2026-07</x:v>
      </x:c>
      <x:c r="D256" t="str">
        <x:v>LinkedIn</x:v>
      </x:c>
      <x:c r="E256" t="str">
        <x:v>Summer Launch</x:v>
      </x:c>
      <x:c r="F256" t="str">
        <x:v>Short Video</x:v>
      </x:c>
      <x:c r="G256" t="str">
        <x:v>Customer Story</x:v>
      </x:c>
      <x:c r="H256" t="n">
        <x:v>0</x:v>
      </x:c>
      <x:c r="I256" t="n">
        <x:v>3604</x:v>
      </x:c>
      <x:c r="J256" t="n">
        <x:v>2601</x:v>
      </x:c>
      <x:c r="K256" t="n">
        <x:v>109</x:v>
      </x:c>
      <x:c r="L256" t="n">
        <x:v>73</x:v>
      </x:c>
      <x:c r="M256" t="n">
        <x:v>4</x:v>
      </x:c>
      <x:c r="N256" t="n">
        <x:v>0</x:v>
      </x:c>
      <x:c r="O256" s="37" t="n">
        <x:v>322.64</x:v>
      </x:c>
      <x:c r="P256" s="37" t="n">
        <x:v>13048</x:v>
      </x:c>
      <x:c r="Q256" t="n">
        <x:v>2</x:v>
      </x:c>
      <x:c r="R256" t="n">
        <x:v>0</x:v>
      </x:c>
      <x:c r="S256" t="n">
        <x:v>13050</x:v>
      </x:c>
      <x:c r="T256" t="n">
        <x:v>13.9</x:v>
      </x:c>
    </x:row>
    <x:row r="257">
      <x:c r="A257" t="str">
        <x:v>SM0253</x:v>
      </x:c>
      <x:c r="B257" s="43" t="str">
        <x:v>2026-07-01</x:v>
      </x:c>
      <x:c r="C257" t="str">
        <x:v>2026-07</x:v>
      </x:c>
      <x:c r="D257" t="str">
        <x:v>TikTok</x:v>
      </x:c>
      <x:c r="E257" t="str">
        <x:v>Lead Gen</x:v>
      </x:c>
      <x:c r="F257" t="str">
        <x:v>Article</x:v>
      </x:c>
      <x:c r="G257" t="str">
        <x:v>Behind the Scenes</x:v>
      </x:c>
      <x:c r="H257" t="n">
        <x:v>1</x:v>
      </x:c>
      <x:c r="I257" t="n">
        <x:v>11561</x:v>
      </x:c>
      <x:c r="J257" t="n">
        <x:v>8617</x:v>
      </x:c>
      <x:c r="K257" t="n">
        <x:v>606</x:v>
      </x:c>
      <x:c r="L257" t="n">
        <x:v>186</x:v>
      </x:c>
      <x:c r="M257" t="n">
        <x:v>15</x:v>
      </x:c>
      <x:c r="N257" t="n">
        <x:v>1169.71</x:v>
      </x:c>
      <x:c r="O257" s="37" t="n">
        <x:v>1918.76</x:v>
      </x:c>
      <x:c r="P257" s="37" t="n">
        <x:v>22720</x:v>
      </x:c>
      <x:c r="Q257" t="n">
        <x:v>14</x:v>
      </x:c>
      <x:c r="R257" t="n">
        <x:v>3</x:v>
      </x:c>
      <x:c r="S257" t="n">
        <x:v>22731</x:v>
      </x:c>
      <x:c r="T257" t="n">
        <x:v>25.8</x:v>
      </x:c>
    </x:row>
    <x:row r="258">
      <x:c r="A258" t="str">
        <x:v>SM0254</x:v>
      </x:c>
      <x:c r="B258" s="43" t="str">
        <x:v>2026-07-02</x:v>
      </x:c>
      <x:c r="C258" t="str">
        <x:v>2026-07</x:v>
      </x:c>
      <x:c r="D258" t="str">
        <x:v>TikTok</x:v>
      </x:c>
      <x:c r="E258" t="str">
        <x:v>Brand Trust</x:v>
      </x:c>
      <x:c r="F258" t="str">
        <x:v>Live Clip</x:v>
      </x:c>
      <x:c r="G258" t="str">
        <x:v>Promotion</x:v>
      </x:c>
      <x:c r="H258" t="n">
        <x:v>1</x:v>
      </x:c>
      <x:c r="I258" t="n">
        <x:v>9688</x:v>
      </x:c>
      <x:c r="J258" t="n">
        <x:v>7383</x:v>
      </x:c>
      <x:c r="K258" t="n">
        <x:v>471</x:v>
      </x:c>
      <x:c r="L258" t="n">
        <x:v>138</x:v>
      </x:c>
      <x:c r="M258" t="n">
        <x:v>13</x:v>
      </x:c>
      <x:c r="N258" t="n">
        <x:v>452.55</x:v>
      </x:c>
      <x:c r="O258" s="37" t="n">
        <x:v>1390.71</x:v>
      </x:c>
      <x:c r="P258" s="37" t="n">
        <x:v>22731</x:v>
      </x:c>
      <x:c r="Q258" t="n">
        <x:v>7</x:v>
      </x:c>
      <x:c r="R258" t="n">
        <x:v>1</x:v>
      </x:c>
      <x:c r="S258" t="n">
        <x:v>22737</x:v>
      </x:c>
      <x:c r="T258" t="n">
        <x:v>41.4</x:v>
      </x:c>
    </x:row>
    <x:row r="259">
      <x:c r="A259" t="str">
        <x:v>SM0255</x:v>
      </x:c>
      <x:c r="B259" s="43" t="str">
        <x:v>2026-07-03</x:v>
      </x:c>
      <x:c r="C259" t="str">
        <x:v>2026-07</x:v>
      </x:c>
      <x:c r="D259" t="str">
        <x:v>TikTok</x:v>
      </x:c>
      <x:c r="E259" t="str">
        <x:v>Always On</x:v>
      </x:c>
      <x:c r="F259" t="str">
        <x:v>Short Video</x:v>
      </x:c>
      <x:c r="G259" t="str">
        <x:v>Product</x:v>
      </x:c>
      <x:c r="H259" t="n">
        <x:v>0</x:v>
      </x:c>
      <x:c r="I259" t="n">
        <x:v>7129</x:v>
      </x:c>
      <x:c r="J259" t="n">
        <x:v>5078</x:v>
      </x:c>
      <x:c r="K259" t="n">
        <x:v>503</x:v>
      </x:c>
      <x:c r="L259" t="n">
        <x:v>46</x:v>
      </x:c>
      <x:c r="M259" t="n">
        <x:v>5</x:v>
      </x:c>
      <x:c r="N259" t="n">
        <x:v>0</x:v>
      </x:c>
      <x:c r="O259" s="37" t="n">
        <x:v>693.81</x:v>
      </x:c>
      <x:c r="P259" s="37" t="n">
        <x:v>22737</x:v>
      </x:c>
      <x:c r="Q259" t="n">
        <x:v>5</x:v>
      </x:c>
      <x:c r="R259" t="n">
        <x:v>1</x:v>
      </x:c>
      <x:c r="S259" t="n">
        <x:v>22741</x:v>
      </x:c>
      <x:c r="T259" t="n">
        <x:v>41.4</x:v>
      </x:c>
    </x:row>
    <x:row r="260">
      <x:c r="A260" t="str">
        <x:v>SM0256</x:v>
      </x:c>
      <x:c r="B260" s="43" t="str">
        <x:v>2026-07-04</x:v>
      </x:c>
      <x:c r="C260" t="str">
        <x:v>2026-07</x:v>
      </x:c>
      <x:c r="D260" t="str">
        <x:v>TikTok</x:v>
      </x:c>
      <x:c r="E260" t="str">
        <x:v>Summer Launch</x:v>
      </x:c>
      <x:c r="F260" t="str">
        <x:v>Carousel</x:v>
      </x:c>
      <x:c r="G260" t="str">
        <x:v>Behind the Scenes</x:v>
      </x:c>
      <x:c r="H260" t="n">
        <x:v>0</x:v>
      </x:c>
      <x:c r="I260" t="n">
        <x:v>11406</x:v>
      </x:c>
      <x:c r="J260" t="n">
        <x:v>7284</x:v>
      </x:c>
      <x:c r="K260" t="n">
        <x:v>889</x:v>
      </x:c>
      <x:c r="L260" t="n">
        <x:v>184</x:v>
      </x:c>
      <x:c r="M260" t="n">
        <x:v>13</x:v>
      </x:c>
      <x:c r="N260" t="n">
        <x:v>0</x:v>
      </x:c>
      <x:c r="O260" s="37" t="n">
        <x:v>1237.04</x:v>
      </x:c>
      <x:c r="P260" s="37" t="n">
        <x:v>22741</x:v>
      </x:c>
      <x:c r="Q260" t="n">
        <x:v>16</x:v>
      </x:c>
      <x:c r="R260" t="n">
        <x:v>4</x:v>
      </x:c>
      <x:c r="S260" t="n">
        <x:v>22753</x:v>
      </x:c>
      <x:c r="T260" t="n">
        <x:v>11.3</x:v>
      </x:c>
    </x:row>
    <x:row r="261">
      <x:c r="A261" t="str">
        <x:v>SM0257</x:v>
      </x:c>
      <x:c r="B261" s="43" t="str">
        <x:v>2026-07-05</x:v>
      </x:c>
      <x:c r="C261" t="str">
        <x:v>2026-07</x:v>
      </x:c>
      <x:c r="D261" t="str">
        <x:v>TikTok</x:v>
      </x:c>
      <x:c r="E261" t="str">
        <x:v>Lead Gen</x:v>
      </x:c>
      <x:c r="F261" t="str">
        <x:v>Static Image</x:v>
      </x:c>
      <x:c r="G261" t="str">
        <x:v>Promotion</x:v>
      </x:c>
      <x:c r="H261" t="n">
        <x:v>1</x:v>
      </x:c>
      <x:c r="I261" t="n">
        <x:v>7091</x:v>
      </x:c>
      <x:c r="J261" t="n">
        <x:v>5593</x:v>
      </x:c>
      <x:c r="K261" t="n">
        <x:v>239</x:v>
      </x:c>
      <x:c r="L261" t="n">
        <x:v>75</x:v>
      </x:c>
      <x:c r="M261" t="n">
        <x:v>5</x:v>
      </x:c>
      <x:c r="N261" t="n">
        <x:v>796.96</x:v>
      </x:c>
      <x:c r="O261" s="37" t="n">
        <x:v>522.72</x:v>
      </x:c>
      <x:c r="P261" s="37" t="n">
        <x:v>22753</x:v>
      </x:c>
      <x:c r="Q261" t="n">
        <x:v>14</x:v>
      </x:c>
      <x:c r="R261" t="n">
        <x:v>5</x:v>
      </x:c>
      <x:c r="S261" t="n">
        <x:v>22762</x:v>
      </x:c>
      <x:c r="T261" t="n">
        <x:v>14.6</x:v>
      </x:c>
    </x:row>
    <x:row r="262">
      <x:c r="A262" t="str">
        <x:v>SM0258</x:v>
      </x:c>
      <x:c r="B262" s="43" t="str">
        <x:v>2026-07-06</x:v>
      </x:c>
      <x:c r="C262" t="str">
        <x:v>2026-07</x:v>
      </x:c>
      <x:c r="D262" t="str">
        <x:v>TikTok</x:v>
      </x:c>
      <x:c r="E262" t="str">
        <x:v>Brand Trust</x:v>
      </x:c>
      <x:c r="F262" t="str">
        <x:v>Article</x:v>
      </x:c>
      <x:c r="G262" t="str">
        <x:v>Product</x:v>
      </x:c>
      <x:c r="H262" t="n">
        <x:v>0</x:v>
      </x:c>
      <x:c r="I262" t="n">
        <x:v>16602</x:v>
      </x:c>
      <x:c r="J262" t="n">
        <x:v>11203</x:v>
      </x:c>
      <x:c r="K262" t="n">
        <x:v>1166</x:v>
      </x:c>
      <x:c r="L262" t="n">
        <x:v>129</x:v>
      </x:c>
      <x:c r="M262" t="n">
        <x:v>6</x:v>
      </x:c>
      <x:c r="N262" t="n">
        <x:v>0</x:v>
      </x:c>
      <x:c r="O262" s="37" t="n">
        <x:v>1035.31</x:v>
      </x:c>
      <x:c r="P262" s="37" t="n">
        <x:v>22762</x:v>
      </x:c>
      <x:c r="Q262" t="n">
        <x:v>27</x:v>
      </x:c>
      <x:c r="R262" t="n">
        <x:v>7</x:v>
      </x:c>
      <x:c r="S262" t="n">
        <x:v>22782</x:v>
      </x:c>
      <x:c r="T262" t="n">
        <x:v>18.7</x:v>
      </x:c>
    </x:row>
    <x:row r="263">
      <x:c r="A263" t="str">
        <x:v>SM0259</x:v>
      </x:c>
      <x:c r="B263" s="43" t="str">
        <x:v>2026-07-07</x:v>
      </x:c>
      <x:c r="C263" t="str">
        <x:v>2026-07</x:v>
      </x:c>
      <x:c r="D263" t="str">
        <x:v>TikTok</x:v>
      </x:c>
      <x:c r="E263" t="str">
        <x:v>Always On</x:v>
      </x:c>
      <x:c r="F263" t="str">
        <x:v>Live Clip</x:v>
      </x:c>
      <x:c r="G263" t="str">
        <x:v>Behind the Scenes</x:v>
      </x:c>
      <x:c r="H263" t="n">
        <x:v>0</x:v>
      </x:c>
      <x:c r="I263" t="n">
        <x:v>17713</x:v>
      </x:c>
      <x:c r="J263" t="n">
        <x:v>11792</x:v>
      </x:c>
      <x:c r="K263" t="n">
        <x:v>1380</x:v>
      </x:c>
      <x:c r="L263" t="n">
        <x:v>238</x:v>
      </x:c>
      <x:c r="M263" t="n">
        <x:v>26</x:v>
      </x:c>
      <x:c r="N263" t="n">
        <x:v>0</x:v>
      </x:c>
      <x:c r="O263" s="37" t="n">
        <x:v>4300.17</x:v>
      </x:c>
      <x:c r="P263" s="37" t="n">
        <x:v>22782</x:v>
      </x:c>
      <x:c r="Q263" t="n">
        <x:v>14</x:v>
      </x:c>
      <x:c r="R263" t="n">
        <x:v>4</x:v>
      </x:c>
      <x:c r="S263" t="n">
        <x:v>22792</x:v>
      </x:c>
      <x:c r="T263" t="n">
        <x:v>15.2</x:v>
      </x:c>
    </x:row>
    <x:row r="264">
      <x:c r="A264" t="str">
        <x:v>SM0260</x:v>
      </x:c>
      <x:c r="B264" s="43" t="str">
        <x:v>2026-07-08</x:v>
      </x:c>
      <x:c r="C264" t="str">
        <x:v>2026-07</x:v>
      </x:c>
      <x:c r="D264" t="str">
        <x:v>TikTok</x:v>
      </x:c>
      <x:c r="E264" t="str">
        <x:v>Summer Launch</x:v>
      </x:c>
      <x:c r="F264" t="str">
        <x:v>Short Video</x:v>
      </x:c>
      <x:c r="G264" t="str">
        <x:v>Promotion</x:v>
      </x:c>
      <x:c r="H264" t="n">
        <x:v>1</x:v>
      </x:c>
      <x:c r="I264" t="n">
        <x:v>21329</x:v>
      </x:c>
      <x:c r="J264" t="n">
        <x:v>14058</x:v>
      </x:c>
      <x:c r="K264" t="n">
        <x:v>1100</x:v>
      </x:c>
      <x:c r="L264" t="n">
        <x:v>119</x:v>
      </x:c>
      <x:c r="M264" t="n">
        <x:v>6</x:v>
      </x:c>
      <x:c r="N264" t="n">
        <x:v>343.08</x:v>
      </x:c>
      <x:c r="O264" s="37" t="n">
        <x:v>590.43</x:v>
      </x:c>
      <x:c r="P264" s="37" t="n">
        <x:v>22792</x:v>
      </x:c>
      <x:c r="Q264" t="n">
        <x:v>30</x:v>
      </x:c>
      <x:c r="R264" t="n">
        <x:v>6</x:v>
      </x:c>
      <x:c r="S264" t="n">
        <x:v>22816</x:v>
      </x:c>
      <x:c r="T264" t="n">
        <x:v>44.4</x:v>
      </x:c>
    </x:row>
    <x:row r="265">
      <x:c r="A265" t="str">
        <x:v>SM0261</x:v>
      </x:c>
      <x:c r="B265" s="43" t="str">
        <x:v>2026-07-09</x:v>
      </x:c>
      <x:c r="C265" t="str">
        <x:v>2026-07</x:v>
      </x:c>
      <x:c r="D265" t="str">
        <x:v>TikTok</x:v>
      </x:c>
      <x:c r="E265" t="str">
        <x:v>Lead Gen</x:v>
      </x:c>
      <x:c r="F265" t="str">
        <x:v>Carousel</x:v>
      </x:c>
      <x:c r="G265" t="str">
        <x:v>Product</x:v>
      </x:c>
      <x:c r="H265" t="n">
        <x:v>1</x:v>
      </x:c>
      <x:c r="I265" t="n">
        <x:v>6572</x:v>
      </x:c>
      <x:c r="J265" t="n">
        <x:v>4231</x:v>
      </x:c>
      <x:c r="K265" t="n">
        <x:v>270</x:v>
      </x:c>
      <x:c r="L265" t="n">
        <x:v>68</x:v>
      </x:c>
      <x:c r="M265" t="n">
        <x:v>6</x:v>
      </x:c>
      <x:c r="N265" t="n">
        <x:v>422.55</x:v>
      </x:c>
      <x:c r="O265" s="37" t="n">
        <x:v>574.04</x:v>
      </x:c>
      <x:c r="P265" s="37" t="n">
        <x:v>22816</x:v>
      </x:c>
      <x:c r="Q265" t="n">
        <x:v>9</x:v>
      </x:c>
      <x:c r="R265" t="n">
        <x:v>2</x:v>
      </x:c>
      <x:c r="S265" t="n">
        <x:v>22823</x:v>
      </x:c>
      <x:c r="T265" t="n">
        <x:v>35.1</x:v>
      </x:c>
    </x:row>
    <x:row r="266">
      <x:c r="A266" t="str">
        <x:v>SM0262</x:v>
      </x:c>
      <x:c r="B266" s="43" t="str">
        <x:v>2026-07-10</x:v>
      </x:c>
      <x:c r="C266" t="str">
        <x:v>2026-07</x:v>
      </x:c>
      <x:c r="D266" t="str">
        <x:v>TikTok</x:v>
      </x:c>
      <x:c r="E266" t="str">
        <x:v>Brand Trust</x:v>
      </x:c>
      <x:c r="F266" t="str">
        <x:v>Static Image</x:v>
      </x:c>
      <x:c r="G266" t="str">
        <x:v>Behind the Scenes</x:v>
      </x:c>
      <x:c r="H266" t="n">
        <x:v>0</x:v>
      </x:c>
      <x:c r="I266" t="n">
        <x:v>10596</x:v>
      </x:c>
      <x:c r="J266" t="n">
        <x:v>7001</x:v>
      </x:c>
      <x:c r="K266" t="n">
        <x:v>655</x:v>
      </x:c>
      <x:c r="L266" t="n">
        <x:v>76</x:v>
      </x:c>
      <x:c r="M266" t="n">
        <x:v>5</x:v>
      </x:c>
      <x:c r="N266" t="n">
        <x:v>0</x:v>
      </x:c>
      <x:c r="O266" s="37" t="n">
        <x:v>635.53</x:v>
      </x:c>
      <x:c r="P266" s="37" t="n">
        <x:v>22823</x:v>
      </x:c>
      <x:c r="Q266" t="n">
        <x:v>12</x:v>
      </x:c>
      <x:c r="R266" t="n">
        <x:v>4</x:v>
      </x:c>
      <x:c r="S266" t="n">
        <x:v>22831</x:v>
      </x:c>
      <x:c r="T266" t="n">
        <x:v>46.6</x:v>
      </x:c>
    </x:row>
    <x:row r="267">
      <x:c r="A267" t="str">
        <x:v>SM0263</x:v>
      </x:c>
      <x:c r="B267" s="43" t="str">
        <x:v>2026-07-11</x:v>
      </x:c>
      <x:c r="C267" t="str">
        <x:v>2026-07</x:v>
      </x:c>
      <x:c r="D267" t="str">
        <x:v>TikTok</x:v>
      </x:c>
      <x:c r="E267" t="str">
        <x:v>Always On</x:v>
      </x:c>
      <x:c r="F267" t="str">
        <x:v>Article</x:v>
      </x:c>
      <x:c r="G267" t="str">
        <x:v>Promotion</x:v>
      </x:c>
      <x:c r="H267" t="n">
        <x:v>1</x:v>
      </x:c>
      <x:c r="I267" t="n">
        <x:v>4652</x:v>
      </x:c>
      <x:c r="J267" t="n">
        <x:v>2945</x:v>
      </x:c>
      <x:c r="K267" t="n">
        <x:v>359</x:v>
      </x:c>
      <x:c r="L267" t="n">
        <x:v>70</x:v>
      </x:c>
      <x:c r="M267" t="n">
        <x:v>7</x:v>
      </x:c>
      <x:c r="N267" t="n">
        <x:v>1084.34</x:v>
      </x:c>
      <x:c r="O267" s="37" t="n">
        <x:v>1015.53</x:v>
      </x:c>
      <x:c r="P267" s="37" t="n">
        <x:v>22831</x:v>
      </x:c>
      <x:c r="Q267" t="n">
        <x:v>4</x:v>
      </x:c>
      <x:c r="R267" t="n">
        <x:v>1</x:v>
      </x:c>
      <x:c r="S267" t="n">
        <x:v>22834</x:v>
      </x:c>
      <x:c r="T267" t="n">
        <x:v>40.4</x:v>
      </x:c>
    </x:row>
    <x:row r="268">
      <x:c r="A268" t="str">
        <x:v>SM0264</x:v>
      </x:c>
      <x:c r="B268" s="43" t="str">
        <x:v>2026-07-12</x:v>
      </x:c>
      <x:c r="C268" t="str">
        <x:v>2026-07</x:v>
      </x:c>
      <x:c r="D268" t="str">
        <x:v>TikTok</x:v>
      </x:c>
      <x:c r="E268" t="str">
        <x:v>Summer Launch</x:v>
      </x:c>
      <x:c r="F268" t="str">
        <x:v>Live Clip</x:v>
      </x:c>
      <x:c r="G268" t="str">
        <x:v>Product</x:v>
      </x:c>
      <x:c r="H268" t="n">
        <x:v>0</x:v>
      </x:c>
      <x:c r="I268" t="n">
        <x:v>16694</x:v>
      </x:c>
      <x:c r="J268" t="n">
        <x:v>10765</x:v>
      </x:c>
      <x:c r="K268" t="n">
        <x:v>584</x:v>
      </x:c>
      <x:c r="L268" t="n">
        <x:v>97</x:v>
      </x:c>
      <x:c r="M268" t="n">
        <x:v>4</x:v>
      </x:c>
      <x:c r="N268" t="n">
        <x:v>0</x:v>
      </x:c>
      <x:c r="O268" s="37" t="n">
        <x:v>544.87</x:v>
      </x:c>
      <x:c r="P268" s="37" t="n">
        <x:v>22834</x:v>
      </x:c>
      <x:c r="Q268" t="n">
        <x:v>8</x:v>
      </x:c>
      <x:c r="R268" t="n">
        <x:v>2</x:v>
      </x:c>
      <x:c r="S268" t="n">
        <x:v>22840</x:v>
      </x:c>
      <x:c r="T268" t="n">
        <x:v>45.6</x:v>
      </x:c>
    </x:row>
    <x:row r="269">
      <x:c r="A269" t="str">
        <x:v>SM0265</x:v>
      </x:c>
      <x:c r="B269" s="43" t="str">
        <x:v>2026-07-13</x:v>
      </x:c>
      <x:c r="C269" t="str">
        <x:v>2026-07</x:v>
      </x:c>
      <x:c r="D269" t="str">
        <x:v>TikTok</x:v>
      </x:c>
      <x:c r="E269" t="str">
        <x:v>Lead Gen</x:v>
      </x:c>
      <x:c r="F269" t="str">
        <x:v>Short Video</x:v>
      </x:c>
      <x:c r="G269" t="str">
        <x:v>Behind the Scenes</x:v>
      </x:c>
      <x:c r="H269" t="n">
        <x:v>1</x:v>
      </x:c>
      <x:c r="I269" t="n">
        <x:v>16130</x:v>
      </x:c>
      <x:c r="J269" t="n">
        <x:v>11492</x:v>
      </x:c>
      <x:c r="K269" t="n">
        <x:v>617</x:v>
      </x:c>
      <x:c r="L269" t="n">
        <x:v>308</x:v>
      </x:c>
      <x:c r="M269" t="n">
        <x:v>22</x:v>
      </x:c>
      <x:c r="N269" t="n">
        <x:v>420.52</x:v>
      </x:c>
      <x:c r="O269" s="37" t="n">
        <x:v>2138.04</x:v>
      </x:c>
      <x:c r="P269" s="37" t="n">
        <x:v>22840</x:v>
      </x:c>
      <x:c r="Q269" t="n">
        <x:v>25</x:v>
      </x:c>
      <x:c r="R269" t="n">
        <x:v>8</x:v>
      </x:c>
      <x:c r="S269" t="n">
        <x:v>22857</x:v>
      </x:c>
      <x:c r="T269" t="n">
        <x:v>25</x:v>
      </x:c>
    </x:row>
    <x:row r="270">
      <x:c r="A270" t="str">
        <x:v>SM0266</x:v>
      </x:c>
      <x:c r="B270" s="43" t="str">
        <x:v>2026-07-14</x:v>
      </x:c>
      <x:c r="C270" t="str">
        <x:v>2026-07</x:v>
      </x:c>
      <x:c r="D270" t="str">
        <x:v>TikTok</x:v>
      </x:c>
      <x:c r="E270" t="str">
        <x:v>Brand Trust</x:v>
      </x:c>
      <x:c r="F270" t="str">
        <x:v>Carousel</x:v>
      </x:c>
      <x:c r="G270" t="str">
        <x:v>Promotion</x:v>
      </x:c>
      <x:c r="H270" t="n">
        <x:v>1</x:v>
      </x:c>
      <x:c r="I270" t="n">
        <x:v>10675</x:v>
      </x:c>
      <x:c r="J270" t="n">
        <x:v>7509</x:v>
      </x:c>
      <x:c r="K270" t="n">
        <x:v>886</x:v>
      </x:c>
      <x:c r="L270" t="n">
        <x:v>60</x:v>
      </x:c>
      <x:c r="M270" t="n">
        <x:v>4</x:v>
      </x:c>
      <x:c r="N270" t="n">
        <x:v>1072.87</x:v>
      </x:c>
      <x:c r="O270" s="37" t="n">
        <x:v>667.02</x:v>
      </x:c>
      <x:c r="P270" s="37" t="n">
        <x:v>22857</x:v>
      </x:c>
      <x:c r="Q270" t="n">
        <x:v>19</x:v>
      </x:c>
      <x:c r="R270" t="n">
        <x:v>4</x:v>
      </x:c>
      <x:c r="S270" t="n">
        <x:v>22872</x:v>
      </x:c>
      <x:c r="T270" t="n">
        <x:v>33.7</x:v>
      </x:c>
    </x:row>
    <x:row r="271">
      <x:c r="A271" t="str">
        <x:v>SM0267</x:v>
      </x:c>
      <x:c r="B271" s="43" t="str">
        <x:v>2026-07-15</x:v>
      </x:c>
      <x:c r="C271" t="str">
        <x:v>2026-07</x:v>
      </x:c>
      <x:c r="D271" t="str">
        <x:v>TikTok</x:v>
      </x:c>
      <x:c r="E271" t="str">
        <x:v>Always On</x:v>
      </x:c>
      <x:c r="F271" t="str">
        <x:v>Static Image</x:v>
      </x:c>
      <x:c r="G271" t="str">
        <x:v>Product</x:v>
      </x:c>
      <x:c r="H271" t="n">
        <x:v>0</x:v>
      </x:c>
      <x:c r="I271" t="n">
        <x:v>9740</x:v>
      </x:c>
      <x:c r="J271" t="n">
        <x:v>7319</x:v>
      </x:c>
      <x:c r="K271" t="n">
        <x:v>843</x:v>
      </x:c>
      <x:c r="L271" t="n">
        <x:v>47</x:v>
      </x:c>
      <x:c r="M271" t="n">
        <x:v>5</x:v>
      </x:c>
      <x:c r="N271" t="n">
        <x:v>0</x:v>
      </x:c>
      <x:c r="O271" s="37" t="n">
        <x:v>798.64</x:v>
      </x:c>
      <x:c r="P271" s="37" t="n">
        <x:v>22872</x:v>
      </x:c>
      <x:c r="Q271" t="n">
        <x:v>15</x:v>
      </x:c>
      <x:c r="R271" t="n">
        <x:v>4</x:v>
      </x:c>
      <x:c r="S271" t="n">
        <x:v>22883</x:v>
      </x:c>
      <x:c r="T271" t="n">
        <x:v>24.9</x:v>
      </x:c>
    </x:row>
    <x:row r="272">
      <x:c r="A272" t="str">
        <x:v>SM0268</x:v>
      </x:c>
      <x:c r="B272" s="43" t="str">
        <x:v>2026-07-16</x:v>
      </x:c>
      <x:c r="C272" t="str">
        <x:v>2026-07</x:v>
      </x:c>
      <x:c r="D272" t="str">
        <x:v>TikTok</x:v>
      </x:c>
      <x:c r="E272" t="str">
        <x:v>Summer Launch</x:v>
      </x:c>
      <x:c r="F272" t="str">
        <x:v>Article</x:v>
      </x:c>
      <x:c r="G272" t="str">
        <x:v>Behind the Scenes</x:v>
      </x:c>
      <x:c r="H272" t="n">
        <x:v>0</x:v>
      </x:c>
      <x:c r="I272" t="n">
        <x:v>4869</x:v>
      </x:c>
      <x:c r="J272" t="n">
        <x:v>3111</x:v>
      </x:c>
      <x:c r="K272" t="n">
        <x:v>161</x:v>
      </x:c>
      <x:c r="L272" t="n">
        <x:v>32</x:v>
      </x:c>
      <x:c r="M272" t="n">
        <x:v>1</x:v>
      </x:c>
      <x:c r="N272" t="n">
        <x:v>0</x:v>
      </x:c>
      <x:c r="O272" s="37" t="n">
        <x:v>162.94</x:v>
      </x:c>
      <x:c r="P272" s="37" t="n">
        <x:v>22883</x:v>
      </x:c>
      <x:c r="Q272" t="n">
        <x:v>3</x:v>
      </x:c>
      <x:c r="R272" t="n">
        <x:v>1</x:v>
      </x:c>
      <x:c r="S272" t="n">
        <x:v>22885</x:v>
      </x:c>
      <x:c r="T272" t="n">
        <x:v>13.1</x:v>
      </x:c>
    </x:row>
    <x:row r="273">
      <x:c r="A273" t="str">
        <x:v>SM0269</x:v>
      </x:c>
      <x:c r="B273" s="43" t="str">
        <x:v>2026-07-17</x:v>
      </x:c>
      <x:c r="C273" t="str">
        <x:v>2026-07</x:v>
      </x:c>
      <x:c r="D273" t="str">
        <x:v>TikTok</x:v>
      </x:c>
      <x:c r="E273" t="str">
        <x:v>Lead Gen</x:v>
      </x:c>
      <x:c r="F273" t="str">
        <x:v>Live Clip</x:v>
      </x:c>
      <x:c r="G273" t="str">
        <x:v>Promotion</x:v>
      </x:c>
      <x:c r="H273" t="n">
        <x:v>1</x:v>
      </x:c>
      <x:c r="I273" t="n">
        <x:v>11317</x:v>
      </x:c>
      <x:c r="J273" t="n">
        <x:v>7838</x:v>
      </x:c>
      <x:c r="K273" t="n">
        <x:v>938</x:v>
      </x:c>
      <x:c r="L273" t="n">
        <x:v>67</x:v>
      </x:c>
      <x:c r="M273" t="n">
        <x:v>3</x:v>
      </x:c>
      <x:c r="N273" t="n">
        <x:v>596.85</x:v>
      </x:c>
      <x:c r="O273" s="37" t="n">
        <x:v>369.46</x:v>
      </x:c>
      <x:c r="P273" s="37" t="n">
        <x:v>22885</x:v>
      </x:c>
      <x:c r="Q273" t="n">
        <x:v>7</x:v>
      </x:c>
      <x:c r="R273" t="n">
        <x:v>1</x:v>
      </x:c>
      <x:c r="S273" t="n">
        <x:v>22891</x:v>
      </x:c>
      <x:c r="T273" t="n">
        <x:v>6.8</x:v>
      </x:c>
    </x:row>
    <x:row r="274">
      <x:c r="A274" t="str">
        <x:v>SM0270</x:v>
      </x:c>
      <x:c r="B274" s="43" t="str">
        <x:v>2026-07-18</x:v>
      </x:c>
      <x:c r="C274" t="str">
        <x:v>2026-07</x:v>
      </x:c>
      <x:c r="D274" t="str">
        <x:v>TikTok</x:v>
      </x:c>
      <x:c r="E274" t="str">
        <x:v>Brand Trust</x:v>
      </x:c>
      <x:c r="F274" t="str">
        <x:v>Short Video</x:v>
      </x:c>
      <x:c r="G274" t="str">
        <x:v>Product</x:v>
      </x:c>
      <x:c r="H274" t="n">
        <x:v>0</x:v>
      </x:c>
      <x:c r="I274" t="n">
        <x:v>12234</x:v>
      </x:c>
      <x:c r="J274" t="n">
        <x:v>9469</x:v>
      </x:c>
      <x:c r="K274" t="n">
        <x:v>985</x:v>
      </x:c>
      <x:c r="L274" t="n">
        <x:v>105</x:v>
      </x:c>
      <x:c r="M274" t="n">
        <x:v>6</x:v>
      </x:c>
      <x:c r="N274" t="n">
        <x:v>0</x:v>
      </x:c>
      <x:c r="O274" s="37" t="n">
        <x:v>783.8</x:v>
      </x:c>
      <x:c r="P274" s="37" t="n">
        <x:v>22891</x:v>
      </x:c>
      <x:c r="Q274" t="n">
        <x:v>22</x:v>
      </x:c>
      <x:c r="R274" t="n">
        <x:v>6</x:v>
      </x:c>
      <x:c r="S274" t="n">
        <x:v>22907</x:v>
      </x:c>
      <x:c r="T274" t="n">
        <x:v>29.9</x:v>
      </x:c>
    </x:row>
    <x:row r="275">
      <x:c r="A275" t="str">
        <x:v>SM0271</x:v>
      </x:c>
      <x:c r="B275" s="43" t="str">
        <x:v>2026-07-19</x:v>
      </x:c>
      <x:c r="C275" t="str">
        <x:v>2026-07</x:v>
      </x:c>
      <x:c r="D275" t="str">
        <x:v>TikTok</x:v>
      </x:c>
      <x:c r="E275" t="str">
        <x:v>Always On</x:v>
      </x:c>
      <x:c r="F275" t="str">
        <x:v>Carousel</x:v>
      </x:c>
      <x:c r="G275" t="str">
        <x:v>Behind the Scenes</x:v>
      </x:c>
      <x:c r="H275" t="n">
        <x:v>0</x:v>
      </x:c>
      <x:c r="I275" t="n">
        <x:v>9535</x:v>
      </x:c>
      <x:c r="J275" t="n">
        <x:v>6652</x:v>
      </x:c>
      <x:c r="K275" t="n">
        <x:v>461</x:v>
      </x:c>
      <x:c r="L275" t="n">
        <x:v>174</x:v>
      </x:c>
      <x:c r="M275" t="n">
        <x:v>10</x:v>
      </x:c>
      <x:c r="N275" t="n">
        <x:v>0</x:v>
      </x:c>
      <x:c r="O275" s="37" t="n">
        <x:v>1400.04</x:v>
      </x:c>
      <x:c r="P275" s="37" t="n">
        <x:v>22907</x:v>
      </x:c>
      <x:c r="Q275" t="n">
        <x:v>14</x:v>
      </x:c>
      <x:c r="R275" t="n">
        <x:v>4</x:v>
      </x:c>
      <x:c r="S275" t="n">
        <x:v>22917</x:v>
      </x:c>
      <x:c r="T275" t="n">
        <x:v>28.3</x:v>
      </x:c>
    </x:row>
    <x:row r="276">
      <x:c r="A276" t="str">
        <x:v>SM0272</x:v>
      </x:c>
      <x:c r="B276" s="43" t="str">
        <x:v>2026-07-20</x:v>
      </x:c>
      <x:c r="C276" t="str">
        <x:v>2026-07</x:v>
      </x:c>
      <x:c r="D276" t="str">
        <x:v>TikTok</x:v>
      </x:c>
      <x:c r="E276" t="str">
        <x:v>Summer Launch</x:v>
      </x:c>
      <x:c r="F276" t="str">
        <x:v>Static Image</x:v>
      </x:c>
      <x:c r="G276" t="str">
        <x:v>Promotion</x:v>
      </x:c>
      <x:c r="H276" t="n">
        <x:v>1</x:v>
      </x:c>
      <x:c r="I276" t="n">
        <x:v>18894</x:v>
      </x:c>
      <x:c r="J276" t="n">
        <x:v>13460</x:v>
      </x:c>
      <x:c r="K276" t="n">
        <x:v>1468</x:v>
      </x:c>
      <x:c r="L276" t="n">
        <x:v>327</x:v>
      </x:c>
      <x:c r="M276" t="n">
        <x:v>15</x:v>
      </x:c>
      <x:c r="N276" t="n">
        <x:v>1062.75</x:v>
      </x:c>
      <x:c r="O276" s="37" t="n">
        <x:v>2113.44</x:v>
      </x:c>
      <x:c r="P276" s="37" t="n">
        <x:v>22917</x:v>
      </x:c>
      <x:c r="Q276" t="n">
        <x:v>17</x:v>
      </x:c>
      <x:c r="R276" t="n">
        <x:v>5</x:v>
      </x:c>
      <x:c r="S276" t="n">
        <x:v>22929</x:v>
      </x:c>
      <x:c r="T276" t="n">
        <x:v>40.8</x:v>
      </x:c>
    </x:row>
    <x:row r="277">
      <x:c r="A277" t="str">
        <x:v>SM0273</x:v>
      </x:c>
      <x:c r="B277" s="43" t="str">
        <x:v>2026-07-21</x:v>
      </x:c>
      <x:c r="C277" t="str">
        <x:v>2026-07</x:v>
      </x:c>
      <x:c r="D277" t="str">
        <x:v>TikTok</x:v>
      </x:c>
      <x:c r="E277" t="str">
        <x:v>Lead Gen</x:v>
      </x:c>
      <x:c r="F277" t="str">
        <x:v>Article</x:v>
      </x:c>
      <x:c r="G277" t="str">
        <x:v>Product</x:v>
      </x:c>
      <x:c r="H277" t="n">
        <x:v>1</x:v>
      </x:c>
      <x:c r="I277" t="n">
        <x:v>6588</x:v>
      </x:c>
      <x:c r="J277" t="n">
        <x:v>4798</x:v>
      </x:c>
      <x:c r="K277" t="n">
        <x:v>367</x:v>
      </x:c>
      <x:c r="L277" t="n">
        <x:v>66</x:v>
      </x:c>
      <x:c r="M277" t="n">
        <x:v>7</x:v>
      </x:c>
      <x:c r="N277" t="n">
        <x:v>771.84</x:v>
      </x:c>
      <x:c r="O277" s="37" t="n">
        <x:v>872.08</x:v>
      </x:c>
      <x:c r="P277" s="37" t="n">
        <x:v>22929</x:v>
      </x:c>
      <x:c r="Q277" t="n">
        <x:v>11</x:v>
      </x:c>
      <x:c r="R277" t="n">
        <x:v>2</x:v>
      </x:c>
      <x:c r="S277" t="n">
        <x:v>22938</x:v>
      </x:c>
      <x:c r="T277" t="n">
        <x:v>14.9</x:v>
      </x:c>
    </x:row>
    <x:row r="278">
      <x:c r="A278" t="str">
        <x:v>SM0274</x:v>
      </x:c>
      <x:c r="B278" s="43" t="str">
        <x:v>2026-07-22</x:v>
      </x:c>
      <x:c r="C278" t="str">
        <x:v>2026-07</x:v>
      </x:c>
      <x:c r="D278" t="str">
        <x:v>TikTok</x:v>
      </x:c>
      <x:c r="E278" t="str">
        <x:v>Brand Trust</x:v>
      </x:c>
      <x:c r="F278" t="str">
        <x:v>Live Clip</x:v>
      </x:c>
      <x:c r="G278" t="str">
        <x:v>Behind the Scenes</x:v>
      </x:c>
      <x:c r="H278" t="n">
        <x:v>0</x:v>
      </x:c>
      <x:c r="I278" t="n">
        <x:v>12624</x:v>
      </x:c>
      <x:c r="J278" t="n">
        <x:v>8693</x:v>
      </x:c>
      <x:c r="K278" t="n">
        <x:v>1046</x:v>
      </x:c>
      <x:c r="L278" t="n">
        <x:v>114</x:v>
      </x:c>
      <x:c r="M278" t="n">
        <x:v>9</x:v>
      </x:c>
      <x:c r="N278" t="n">
        <x:v>0</x:v>
      </x:c>
      <x:c r="O278" s="37" t="n">
        <x:v>1146.31</x:v>
      </x:c>
      <x:c r="P278" s="37" t="n">
        <x:v>22938</x:v>
      </x:c>
      <x:c r="Q278" t="n">
        <x:v>7</x:v>
      </x:c>
      <x:c r="R278" t="n">
        <x:v>1</x:v>
      </x:c>
      <x:c r="S278" t="n">
        <x:v>22944</x:v>
      </x:c>
      <x:c r="T278" t="n">
        <x:v>10.8</x:v>
      </x:c>
    </x:row>
    <x:row r="279">
      <x:c r="A279" t="str">
        <x:v>SM0275</x:v>
      </x:c>
      <x:c r="B279" s="43" t="str">
        <x:v>2026-07-23</x:v>
      </x:c>
      <x:c r="C279" t="str">
        <x:v>2026-07</x:v>
      </x:c>
      <x:c r="D279" t="str">
        <x:v>TikTok</x:v>
      </x:c>
      <x:c r="E279" t="str">
        <x:v>Always On</x:v>
      </x:c>
      <x:c r="F279" t="str">
        <x:v>Short Video</x:v>
      </x:c>
      <x:c r="G279" t="str">
        <x:v>Promotion</x:v>
      </x:c>
      <x:c r="H279" t="n">
        <x:v>1</x:v>
      </x:c>
      <x:c r="I279" t="n">
        <x:v>14644</x:v>
      </x:c>
      <x:c r="J279" t="n">
        <x:v>10394</x:v>
      </x:c>
      <x:c r="K279" t="n">
        <x:v>404</x:v>
      </x:c>
      <x:c r="L279" t="n">
        <x:v>169</x:v>
      </x:c>
      <x:c r="M279" t="n">
        <x:v>16</x:v>
      </x:c>
      <x:c r="N279" t="n">
        <x:v>501.13</x:v>
      </x:c>
      <x:c r="O279" s="37" t="n">
        <x:v>2049.72</x:v>
      </x:c>
      <x:c r="P279" s="37" t="n">
        <x:v>22944</x:v>
      </x:c>
      <x:c r="Q279" t="n">
        <x:v>13</x:v>
      </x:c>
      <x:c r="R279" t="n">
        <x:v>5</x:v>
      </x:c>
      <x:c r="S279" t="n">
        <x:v>22952</x:v>
      </x:c>
      <x:c r="T279" t="n">
        <x:v>13.5</x:v>
      </x:c>
    </x:row>
    <x:row r="280">
      <x:c r="A280" t="str">
        <x:v>SM0276</x:v>
      </x:c>
      <x:c r="B280" s="43" t="str">
        <x:v>2026-07-24</x:v>
      </x:c>
      <x:c r="C280" t="str">
        <x:v>2026-07</x:v>
      </x:c>
      <x:c r="D280" t="str">
        <x:v>TikTok</x:v>
      </x:c>
      <x:c r="E280" t="str">
        <x:v>Summer Launch</x:v>
      </x:c>
      <x:c r="F280" t="str">
        <x:v>Carousel</x:v>
      </x:c>
      <x:c r="G280" t="str">
        <x:v>Product</x:v>
      </x:c>
      <x:c r="H280" t="n">
        <x:v>0</x:v>
      </x:c>
      <x:c r="I280" t="n">
        <x:v>10908</x:v>
      </x:c>
      <x:c r="J280" t="n">
        <x:v>7124</x:v>
      </x:c>
      <x:c r="K280" t="n">
        <x:v>524</x:v>
      </x:c>
      <x:c r="L280" t="n">
        <x:v>212</x:v>
      </x:c>
      <x:c r="M280" t="n">
        <x:v>19</x:v>
      </x:c>
      <x:c r="N280" t="n">
        <x:v>0</x:v>
      </x:c>
      <x:c r="O280" s="37" t="n">
        <x:v>1865.46</x:v>
      </x:c>
      <x:c r="P280" s="37" t="n">
        <x:v>22952</x:v>
      </x:c>
      <x:c r="Q280" t="n">
        <x:v>17</x:v>
      </x:c>
      <x:c r="R280" t="n">
        <x:v>5</x:v>
      </x:c>
      <x:c r="S280" t="n">
        <x:v>22964</x:v>
      </x:c>
      <x:c r="T280" t="n">
        <x:v>35.4</x:v>
      </x:c>
    </x:row>
    <x:row r="281">
      <x:c r="A281" t="str">
        <x:v>SM0277</x:v>
      </x:c>
      <x:c r="B281" s="43" t="str">
        <x:v>2026-07-25</x:v>
      </x:c>
      <x:c r="C281" t="str">
        <x:v>2026-07</x:v>
      </x:c>
      <x:c r="D281" t="str">
        <x:v>TikTok</x:v>
      </x:c>
      <x:c r="E281" t="str">
        <x:v>Lead Gen</x:v>
      </x:c>
      <x:c r="F281" t="str">
        <x:v>Static Image</x:v>
      </x:c>
      <x:c r="G281" t="str">
        <x:v>Behind the Scenes</x:v>
      </x:c>
      <x:c r="H281" t="n">
        <x:v>1</x:v>
      </x:c>
      <x:c r="I281" t="n">
        <x:v>5960</x:v>
      </x:c>
      <x:c r="J281" t="n">
        <x:v>3798</x:v>
      </x:c>
      <x:c r="K281" t="n">
        <x:v>217</x:v>
      </x:c>
      <x:c r="L281" t="n">
        <x:v>108</x:v>
      </x:c>
      <x:c r="M281" t="n">
        <x:v>8</x:v>
      </x:c>
      <x:c r="N281" t="n">
        <x:v>1119.14</x:v>
      </x:c>
      <x:c r="O281" s="37" t="n">
        <x:v>1343.86</x:v>
      </x:c>
      <x:c r="P281" s="37" t="n">
        <x:v>22964</x:v>
      </x:c>
      <x:c r="Q281" t="n">
        <x:v>7</x:v>
      </x:c>
      <x:c r="R281" t="n">
        <x:v>2</x:v>
      </x:c>
      <x:c r="S281" t="n">
        <x:v>22969</x:v>
      </x:c>
      <x:c r="T281" t="n">
        <x:v>41.7</x:v>
      </x:c>
    </x:row>
    <x:row r="282">
      <x:c r="A282" t="str">
        <x:v>SM0278</x:v>
      </x:c>
      <x:c r="B282" s="43" t="str">
        <x:v>2026-07-26</x:v>
      </x:c>
      <x:c r="C282" t="str">
        <x:v>2026-07</x:v>
      </x:c>
      <x:c r="D282" t="str">
        <x:v>TikTok</x:v>
      </x:c>
      <x:c r="E282" t="str">
        <x:v>Brand Trust</x:v>
      </x:c>
      <x:c r="F282" t="str">
        <x:v>Article</x:v>
      </x:c>
      <x:c r="G282" t="str">
        <x:v>Promotion</x:v>
      </x:c>
      <x:c r="H282" t="n">
        <x:v>1</x:v>
      </x:c>
      <x:c r="I282" t="n">
        <x:v>5938</x:v>
      </x:c>
      <x:c r="J282" t="n">
        <x:v>4532</x:v>
      </x:c>
      <x:c r="K282" t="n">
        <x:v>454</x:v>
      </x:c>
      <x:c r="L282" t="n">
        <x:v>112</x:v>
      </x:c>
      <x:c r="M282" t="n">
        <x:v>10</x:v>
      </x:c>
      <x:c r="N282" t="n">
        <x:v>843.56</x:v>
      </x:c>
      <x:c r="O282" s="37" t="n">
        <x:v>1191.49</x:v>
      </x:c>
      <x:c r="P282" s="37" t="n">
        <x:v>22969</x:v>
      </x:c>
      <x:c r="Q282" t="n">
        <x:v>3</x:v>
      </x:c>
      <x:c r="R282" t="n">
        <x:v>1</x:v>
      </x:c>
      <x:c r="S282" t="n">
        <x:v>22971</x:v>
      </x:c>
      <x:c r="T282" t="n">
        <x:v>26.3</x:v>
      </x:c>
    </x:row>
    <x:row r="283">
      <x:c r="A283" t="str">
        <x:v>SM0279</x:v>
      </x:c>
      <x:c r="B283" s="43" t="str">
        <x:v>2026-07-27</x:v>
      </x:c>
      <x:c r="C283" t="str">
        <x:v>2026-07</x:v>
      </x:c>
      <x:c r="D283" t="str">
        <x:v>TikTok</x:v>
      </x:c>
      <x:c r="E283" t="str">
        <x:v>Always On</x:v>
      </x:c>
      <x:c r="F283" t="str">
        <x:v>Live Clip</x:v>
      </x:c>
      <x:c r="G283" t="str">
        <x:v>Product</x:v>
      </x:c>
      <x:c r="H283" t="n">
        <x:v>0</x:v>
      </x:c>
      <x:c r="I283" t="n">
        <x:v>8524</x:v>
      </x:c>
      <x:c r="J283" t="n">
        <x:v>6232</x:v>
      </x:c>
      <x:c r="K283" t="n">
        <x:v>320</x:v>
      </x:c>
      <x:c r="L283" t="n">
        <x:v>93</x:v>
      </x:c>
      <x:c r="M283" t="n">
        <x:v>4</x:v>
      </x:c>
      <x:c r="N283" t="n">
        <x:v>0</x:v>
      </x:c>
      <x:c r="O283" s="37" t="n">
        <x:v>645.1</x:v>
      </x:c>
      <x:c r="P283" s="37" t="n">
        <x:v>22971</x:v>
      </x:c>
      <x:c r="Q283" t="n">
        <x:v>5</x:v>
      </x:c>
      <x:c r="R283" t="n">
        <x:v>2</x:v>
      </x:c>
      <x:c r="S283" t="n">
        <x:v>22974</x:v>
      </x:c>
      <x:c r="T283" t="n">
        <x:v>9.7</x:v>
      </x:c>
    </x:row>
    <x:row r="284">
      <x:c r="A284" t="str">
        <x:v>SM0280</x:v>
      </x:c>
      <x:c r="B284" s="43" t="str">
        <x:v>2026-07-28</x:v>
      </x:c>
      <x:c r="C284" t="str">
        <x:v>2026-07</x:v>
      </x:c>
      <x:c r="D284" t="str">
        <x:v>TikTok</x:v>
      </x:c>
      <x:c r="E284" t="str">
        <x:v>Summer Launch</x:v>
      </x:c>
      <x:c r="F284" t="str">
        <x:v>Short Video</x:v>
      </x:c>
      <x:c r="G284" t="str">
        <x:v>Behind the Scenes</x:v>
      </x:c>
      <x:c r="H284" t="n">
        <x:v>0</x:v>
      </x:c>
      <x:c r="I284" t="n">
        <x:v>18134</x:v>
      </x:c>
      <x:c r="J284" t="n">
        <x:v>12192</x:v>
      </x:c>
      <x:c r="K284" t="n">
        <x:v>1015</x:v>
      </x:c>
      <x:c r="L284" t="n">
        <x:v>200</x:v>
      </x:c>
      <x:c r="M284" t="n">
        <x:v>14</x:v>
      </x:c>
      <x:c r="N284" t="n">
        <x:v>0</x:v>
      </x:c>
      <x:c r="O284" s="37" t="n">
        <x:v>2338.46</x:v>
      </x:c>
      <x:c r="P284" s="37" t="n">
        <x:v>22974</x:v>
      </x:c>
      <x:c r="Q284" t="n">
        <x:v>9</x:v>
      </x:c>
      <x:c r="R284" t="n">
        <x:v>2</x:v>
      </x:c>
      <x:c r="S284" t="n">
        <x:v>22981</x:v>
      </x:c>
      <x:c r="T284" t="n">
        <x:v>6.3</x:v>
      </x:c>
    </x:row>
    <x:row r="285">
      <x:c r="A285" t="str">
        <x:v>SM0281</x:v>
      </x:c>
      <x:c r="B285" s="43" t="str">
        <x:v>2026-07-29</x:v>
      </x:c>
      <x:c r="C285" t="str">
        <x:v>2026-07</x:v>
      </x:c>
      <x:c r="D285" t="str">
        <x:v>TikTok</x:v>
      </x:c>
      <x:c r="E285" t="str">
        <x:v>Lead Gen</x:v>
      </x:c>
      <x:c r="F285" t="str">
        <x:v>Carousel</x:v>
      </x:c>
      <x:c r="G285" t="str">
        <x:v>Promotion</x:v>
      </x:c>
      <x:c r="H285" t="n">
        <x:v>1</x:v>
      </x:c>
      <x:c r="I285" t="n">
        <x:v>15659</x:v>
      </x:c>
      <x:c r="J285" t="n">
        <x:v>12245</x:v>
      </x:c>
      <x:c r="K285" t="n">
        <x:v>602</x:v>
      </x:c>
      <x:c r="L285" t="n">
        <x:v>76</x:v>
      </x:c>
      <x:c r="M285" t="n">
        <x:v>5</x:v>
      </x:c>
      <x:c r="N285" t="n">
        <x:v>946.48</x:v>
      </x:c>
      <x:c r="O285" s="37" t="n">
        <x:v>491.16</x:v>
      </x:c>
      <x:c r="P285" s="37" t="n">
        <x:v>22981</x:v>
      </x:c>
      <x:c r="Q285" t="n">
        <x:v>28</x:v>
      </x:c>
      <x:c r="R285" t="n">
        <x:v>7</x:v>
      </x:c>
      <x:c r="S285" t="n">
        <x:v>23002</x:v>
      </x:c>
      <x:c r="T285" t="n">
        <x:v>36</x:v>
      </x:c>
    </x:row>
    <x:row r="286">
      <x:c r="A286" t="str">
        <x:v>SM0282</x:v>
      </x:c>
      <x:c r="B286" s="43" t="str">
        <x:v>2026-07-30</x:v>
      </x:c>
      <x:c r="C286" t="str">
        <x:v>2026-07</x:v>
      </x:c>
      <x:c r="D286" t="str">
        <x:v>TikTok</x:v>
      </x:c>
      <x:c r="E286" t="str">
        <x:v>Brand Trust</x:v>
      </x:c>
      <x:c r="F286" t="str">
        <x:v>Static Image</x:v>
      </x:c>
      <x:c r="G286" t="str">
        <x:v>Product</x:v>
      </x:c>
      <x:c r="H286" t="n">
        <x:v>0</x:v>
      </x:c>
      <x:c r="I286" t="n">
        <x:v>13049</x:v>
      </x:c>
      <x:c r="J286" t="n">
        <x:v>8633</x:v>
      </x:c>
      <x:c r="K286" t="n">
        <x:v>424</x:v>
      </x:c>
      <x:c r="L286" t="n">
        <x:v>189</x:v>
      </x:c>
      <x:c r="M286" t="n">
        <x:v>14</x:v>
      </x:c>
      <x:c r="N286" t="n">
        <x:v>0</x:v>
      </x:c>
      <x:c r="O286" s="37" t="n">
        <x:v>1314.93</x:v>
      </x:c>
      <x:c r="P286" s="37" t="n">
        <x:v>23002</x:v>
      </x:c>
      <x:c r="Q286" t="n">
        <x:v>19</x:v>
      </x:c>
      <x:c r="R286" t="n">
        <x:v>7</x:v>
      </x:c>
      <x:c r="S286" t="n">
        <x:v>23014</x:v>
      </x:c>
      <x:c r="T286" t="n">
        <x:v>49.7</x:v>
      </x:c>
    </x:row>
    <x:row r="287">
      <x:c r="A287" t="str">
        <x:v>SM0283</x:v>
      </x:c>
      <x:c r="B287" s="43" t="str">
        <x:v>2026-07-31</x:v>
      </x:c>
      <x:c r="C287" t="str">
        <x:v>2026-07</x:v>
      </x:c>
      <x:c r="D287" t="str">
        <x:v>TikTok</x:v>
      </x:c>
      <x:c r="E287" t="str">
        <x:v>Always On</x:v>
      </x:c>
      <x:c r="F287" t="str">
        <x:v>Article</x:v>
      </x:c>
      <x:c r="G287" t="str">
        <x:v>Behind the Scenes</x:v>
      </x:c>
      <x:c r="H287" t="n">
        <x:v>0</x:v>
      </x:c>
      <x:c r="I287" t="n">
        <x:v>4730</x:v>
      </x:c>
      <x:c r="J287" t="n">
        <x:v>3296</x:v>
      </x:c>
      <x:c r="K287" t="n">
        <x:v>304</x:v>
      </x:c>
      <x:c r="L287" t="n">
        <x:v>58</x:v>
      </x:c>
      <x:c r="M287" t="n">
        <x:v>3</x:v>
      </x:c>
      <x:c r="N287" t="n">
        <x:v>0</x:v>
      </x:c>
      <x:c r="O287" s="37" t="n">
        <x:v>258.33</x:v>
      </x:c>
      <x:c r="P287" s="37" t="n">
        <x:v>23014</x:v>
      </x:c>
      <x:c r="Q287" t="n">
        <x:v>6</x:v>
      </x:c>
      <x:c r="R287" t="n">
        <x:v>1</x:v>
      </x:c>
      <x:c r="S287" t="n">
        <x:v>23019</x:v>
      </x:c>
      <x:c r="T287" t="n">
        <x:v>7.7</x:v>
      </x:c>
    </x:row>
    <x:row r="288">
      <x:c r="A288" t="str">
        <x:v>SM0284</x:v>
      </x:c>
      <x:c r="B288" s="43" t="str">
        <x:v>2026-07-01</x:v>
      </x:c>
      <x:c r="C288" t="str">
        <x:v>2026-07</x:v>
      </x:c>
      <x:c r="D288" t="str">
        <x:v>TikTok</x:v>
      </x:c>
      <x:c r="E288" t="str">
        <x:v>Summer Launch</x:v>
      </x:c>
      <x:c r="F288" t="str">
        <x:v>Live Clip</x:v>
      </x:c>
      <x:c r="G288" t="str">
        <x:v>Promotion</x:v>
      </x:c>
      <x:c r="H288" t="n">
        <x:v>1</x:v>
      </x:c>
      <x:c r="I288" t="n">
        <x:v>14239</x:v>
      </x:c>
      <x:c r="J288" t="n">
        <x:v>9515</x:v>
      </x:c>
      <x:c r="K288" t="n">
        <x:v>427</x:v>
      </x:c>
      <x:c r="L288" t="n">
        <x:v>161</x:v>
      </x:c>
      <x:c r="M288" t="n">
        <x:v>7</x:v>
      </x:c>
      <x:c r="N288" t="n">
        <x:v>227.82</x:v>
      </x:c>
      <x:c r="O288" s="37" t="n">
        <x:v>880.68</x:v>
      </x:c>
      <x:c r="P288" s="37" t="n">
        <x:v>23019</x:v>
      </x:c>
      <x:c r="Q288" t="n">
        <x:v>14</x:v>
      </x:c>
      <x:c r="R288" t="n">
        <x:v>3</x:v>
      </x:c>
      <x:c r="S288" t="n">
        <x:v>23030</x:v>
      </x:c>
      <x:c r="T288" t="n">
        <x:v>28.8</x:v>
      </x:c>
    </x:row>
    <x:row r="289">
      <x:c r="A289" t="str">
        <x:v>SM0285</x:v>
      </x:c>
      <x:c r="B289" s="43" t="str">
        <x:v>2026-07-02</x:v>
      </x:c>
      <x:c r="C289" t="str">
        <x:v>2026-07</x:v>
      </x:c>
      <x:c r="D289" t="str">
        <x:v>TikTok</x:v>
      </x:c>
      <x:c r="E289" t="str">
        <x:v>Lead Gen</x:v>
      </x:c>
      <x:c r="F289" t="str">
        <x:v>Short Video</x:v>
      </x:c>
      <x:c r="G289" t="str">
        <x:v>Product</x:v>
      </x:c>
      <x:c r="H289" t="n">
        <x:v>1</x:v>
      </x:c>
      <x:c r="I289" t="n">
        <x:v>7895</x:v>
      </x:c>
      <x:c r="J289" t="n">
        <x:v>6242</x:v>
      </x:c>
      <x:c r="K289" t="n">
        <x:v>755</x:v>
      </x:c>
      <x:c r="L289" t="n">
        <x:v>82</x:v>
      </x:c>
      <x:c r="M289" t="n">
        <x:v>8</x:v>
      </x:c>
      <x:c r="N289" t="n">
        <x:v>795.35</x:v>
      </x:c>
      <x:c r="O289" s="37" t="n">
        <x:v>1085.25</x:v>
      </x:c>
      <x:c r="P289" s="37" t="n">
        <x:v>23030</x:v>
      </x:c>
      <x:c r="Q289" t="n">
        <x:v>7</x:v>
      </x:c>
      <x:c r="R289" t="n">
        <x:v>3</x:v>
      </x:c>
      <x:c r="S289" t="n">
        <x:v>23034</x:v>
      </x:c>
      <x:c r="T289" t="n">
        <x:v>35.1</x:v>
      </x:c>
    </x:row>
    <x:row r="290">
      <x:c r="A290" t="str">
        <x:v>SM0286</x:v>
      </x:c>
      <x:c r="B290" s="43" t="str">
        <x:v>2026-07-03</x:v>
      </x:c>
      <x:c r="C290" t="str">
        <x:v>2026-07</x:v>
      </x:c>
      <x:c r="D290" t="str">
        <x:v>TikTok</x:v>
      </x:c>
      <x:c r="E290" t="str">
        <x:v>Brand Trust</x:v>
      </x:c>
      <x:c r="F290" t="str">
        <x:v>Carousel</x:v>
      </x:c>
      <x:c r="G290" t="str">
        <x:v>Behind the Scenes</x:v>
      </x:c>
      <x:c r="H290" t="n">
        <x:v>0</x:v>
      </x:c>
      <x:c r="I290" t="n">
        <x:v>9509</x:v>
      </x:c>
      <x:c r="J290" t="n">
        <x:v>6033</x:v>
      </x:c>
      <x:c r="K290" t="n">
        <x:v>459</x:v>
      </x:c>
      <x:c r="L290" t="n">
        <x:v>64</x:v>
      </x:c>
      <x:c r="M290" t="n">
        <x:v>4</x:v>
      </x:c>
      <x:c r="N290" t="n">
        <x:v>0</x:v>
      </x:c>
      <x:c r="O290" s="37" t="n">
        <x:v>352.4</x:v>
      </x:c>
      <x:c r="P290" s="37" t="n">
        <x:v>23034</x:v>
      </x:c>
      <x:c r="Q290" t="n">
        <x:v>12</x:v>
      </x:c>
      <x:c r="R290" t="n">
        <x:v>4</x:v>
      </x:c>
      <x:c r="S290" t="n">
        <x:v>23042</x:v>
      </x:c>
      <x:c r="T290" t="n">
        <x:v>33.3</x:v>
      </x:c>
    </x:row>
    <x:row r="291">
      <x:c r="A291" t="str">
        <x:v>SM0287</x:v>
      </x:c>
      <x:c r="B291" s="43" t="str">
        <x:v>2026-07-01</x:v>
      </x:c>
      <x:c r="C291" t="str">
        <x:v>2026-07</x:v>
      </x:c>
      <x:c r="D291" t="str">
        <x:v>YouTube</x:v>
      </x:c>
      <x:c r="E291" t="str">
        <x:v>Always On</x:v>
      </x:c>
      <x:c r="F291" t="str">
        <x:v>Live Clip</x:v>
      </x:c>
      <x:c r="G291" t="str">
        <x:v>Industry Insight</x:v>
      </x:c>
      <x:c r="H291" t="n">
        <x:v>1</x:v>
      </x:c>
      <x:c r="I291" t="n">
        <x:v>10572</x:v>
      </x:c>
      <x:c r="J291" t="n">
        <x:v>8244</x:v>
      </x:c>
      <x:c r="K291" t="n">
        <x:v>228</x:v>
      </x:c>
      <x:c r="L291" t="n">
        <x:v>87</x:v>
      </x:c>
      <x:c r="M291" t="n">
        <x:v>7</x:v>
      </x:c>
      <x:c r="N291" t="n">
        <x:v>852.38</x:v>
      </x:c>
      <x:c r="O291" s="37" t="n">
        <x:v>1075.02</x:v>
      </x:c>
      <x:c r="P291" s="37" t="n">
        <x:v>10140</x:v>
      </x:c>
      <x:c r="Q291" t="n">
        <x:v>13</x:v>
      </x:c>
      <x:c r="R291" t="n">
        <x:v>4</x:v>
      </x:c>
      <x:c r="S291" t="n">
        <x:v>10149</x:v>
      </x:c>
      <x:c r="T291" t="n">
        <x:v>18.9</x:v>
      </x:c>
    </x:row>
    <x:row r="292">
      <x:c r="A292" t="str">
        <x:v>SM0288</x:v>
      </x:c>
      <x:c r="B292" s="43" t="str">
        <x:v>2026-07-02</x:v>
      </x:c>
      <x:c r="C292" t="str">
        <x:v>2026-07</x:v>
      </x:c>
      <x:c r="D292" t="str">
        <x:v>YouTube</x:v>
      </x:c>
      <x:c r="E292" t="str">
        <x:v>Summer Launch</x:v>
      </x:c>
      <x:c r="F292" t="str">
        <x:v>Short Video</x:v>
      </x:c>
      <x:c r="G292" t="str">
        <x:v>Education</x:v>
      </x:c>
      <x:c r="H292" t="n">
        <x:v>0</x:v>
      </x:c>
      <x:c r="I292" t="n">
        <x:v>4380</x:v>
      </x:c>
      <x:c r="J292" t="n">
        <x:v>3329</x:v>
      </x:c>
      <x:c r="K292" t="n">
        <x:v>288</x:v>
      </x:c>
      <x:c r="L292" t="n">
        <x:v>111</x:v>
      </x:c>
      <x:c r="M292" t="n">
        <x:v>8</x:v>
      </x:c>
      <x:c r="N292" t="n">
        <x:v>0</x:v>
      </x:c>
      <x:c r="O292" s="37" t="n">
        <x:v>1414.48</x:v>
      </x:c>
      <x:c r="P292" s="37" t="n">
        <x:v>10149</x:v>
      </x:c>
      <x:c r="Q292" t="n">
        <x:v>4</x:v>
      </x:c>
      <x:c r="R292" t="n">
        <x:v>1</x:v>
      </x:c>
      <x:c r="S292" t="n">
        <x:v>10152</x:v>
      </x:c>
      <x:c r="T292" t="n">
        <x:v>40.6</x:v>
      </x:c>
    </x:row>
    <x:row r="293">
      <x:c r="A293" t="str">
        <x:v>SM0289</x:v>
      </x:c>
      <x:c r="B293" s="43" t="str">
        <x:v>2026-07-03</x:v>
      </x:c>
      <x:c r="C293" t="str">
        <x:v>2026-07</x:v>
      </x:c>
      <x:c r="D293" t="str">
        <x:v>YouTube</x:v>
      </x:c>
      <x:c r="E293" t="str">
        <x:v>Lead Gen</x:v>
      </x:c>
      <x:c r="F293" t="str">
        <x:v>Carousel</x:v>
      </x:c>
      <x:c r="G293" t="str">
        <x:v>Customer Story</x:v>
      </x:c>
      <x:c r="H293" t="n">
        <x:v>0</x:v>
      </x:c>
      <x:c r="I293" t="n">
        <x:v>3322</x:v>
      </x:c>
      <x:c r="J293" t="n">
        <x:v>2478</x:v>
      </x:c>
      <x:c r="K293" t="n">
        <x:v>171</x:v>
      </x:c>
      <x:c r="L293" t="n">
        <x:v>52</x:v>
      </x:c>
      <x:c r="M293" t="n">
        <x:v>5</x:v>
      </x:c>
      <x:c r="N293" t="n">
        <x:v>0</x:v>
      </x:c>
      <x:c r="O293" s="37" t="n">
        <x:v>633.48</x:v>
      </x:c>
      <x:c r="P293" s="37" t="n">
        <x:v>10152</x:v>
      </x:c>
      <x:c r="Q293" t="n">
        <x:v>5</x:v>
      </x:c>
      <x:c r="R293" t="n">
        <x:v>2</x:v>
      </x:c>
      <x:c r="S293" t="n">
        <x:v>10155</x:v>
      </x:c>
      <x:c r="T293" t="n">
        <x:v>28.1</x:v>
      </x:c>
    </x:row>
    <x:row r="294">
      <x:c r="A294" t="str">
        <x:v>SM0290</x:v>
      </x:c>
      <x:c r="B294" s="43" t="str">
        <x:v>2026-07-04</x:v>
      </x:c>
      <x:c r="C294" t="str">
        <x:v>2026-07</x:v>
      </x:c>
      <x:c r="D294" t="str">
        <x:v>YouTube</x:v>
      </x:c>
      <x:c r="E294" t="str">
        <x:v>Brand Trust</x:v>
      </x:c>
      <x:c r="F294" t="str">
        <x:v>Static Image</x:v>
      </x:c>
      <x:c r="G294" t="str">
        <x:v>Industry Insight</x:v>
      </x:c>
      <x:c r="H294" t="n">
        <x:v>0</x:v>
      </x:c>
      <x:c r="I294" t="n">
        <x:v>12612</x:v>
      </x:c>
      <x:c r="J294" t="n">
        <x:v>9485</x:v>
      </x:c>
      <x:c r="K294" t="n">
        <x:v>826</x:v>
      </x:c>
      <x:c r="L294" t="n">
        <x:v>202</x:v>
      </x:c>
      <x:c r="M294" t="n">
        <x:v>10</x:v>
      </x:c>
      <x:c r="N294" t="n">
        <x:v>0</x:v>
      </x:c>
      <x:c r="O294" s="37" t="n">
        <x:v>1066.84</x:v>
      </x:c>
      <x:c r="P294" s="37" t="n">
        <x:v>10155</x:v>
      </x:c>
      <x:c r="Q294" t="n">
        <x:v>18</x:v>
      </x:c>
      <x:c r="R294" t="n">
        <x:v>3</x:v>
      </x:c>
      <x:c r="S294" t="n">
        <x:v>10170</x:v>
      </x:c>
      <x:c r="T294" t="n">
        <x:v>30.6</x:v>
      </x:c>
    </x:row>
    <x:row r="295">
      <x:c r="A295" t="str">
        <x:v>SM0291</x:v>
      </x:c>
      <x:c r="B295" s="43" t="str">
        <x:v>2026-07-05</x:v>
      </x:c>
      <x:c r="C295" t="str">
        <x:v>2026-07</x:v>
      </x:c>
      <x:c r="D295" t="str">
        <x:v>YouTube</x:v>
      </x:c>
      <x:c r="E295" t="str">
        <x:v>Always On</x:v>
      </x:c>
      <x:c r="F295" t="str">
        <x:v>Article</x:v>
      </x:c>
      <x:c r="G295" t="str">
        <x:v>Education</x:v>
      </x:c>
      <x:c r="H295" t="n">
        <x:v>1</x:v>
      </x:c>
      <x:c r="I295" t="n">
        <x:v>3168</x:v>
      </x:c>
      <x:c r="J295" t="n">
        <x:v>2284</x:v>
      </x:c>
      <x:c r="K295" t="n">
        <x:v>67</x:v>
      </x:c>
      <x:c r="L295" t="n">
        <x:v>58</x:v>
      </x:c>
      <x:c r="M295" t="n">
        <x:v>6</x:v>
      </x:c>
      <x:c r="N295" t="n">
        <x:v>753.51</x:v>
      </x:c>
      <x:c r="O295" s="37" t="n">
        <x:v>603.23</x:v>
      </x:c>
      <x:c r="P295" s="37" t="n">
        <x:v>10170</x:v>
      </x:c>
      <x:c r="Q295" t="n">
        <x:v>5</x:v>
      </x:c>
      <x:c r="R295" t="n">
        <x:v>1</x:v>
      </x:c>
      <x:c r="S295" t="n">
        <x:v>10174</x:v>
      </x:c>
      <x:c r="T295" t="n">
        <x:v>14.7</x:v>
      </x:c>
    </x:row>
    <x:row r="296">
      <x:c r="A296" t="str">
        <x:v>SM0292</x:v>
      </x:c>
      <x:c r="B296" s="43" t="str">
        <x:v>2026-07-06</x:v>
      </x:c>
      <x:c r="C296" t="str">
        <x:v>2026-07</x:v>
      </x:c>
      <x:c r="D296" t="str">
        <x:v>YouTube</x:v>
      </x:c>
      <x:c r="E296" t="str">
        <x:v>Summer Launch</x:v>
      </x:c>
      <x:c r="F296" t="str">
        <x:v>Live Clip</x:v>
      </x:c>
      <x:c r="G296" t="str">
        <x:v>Customer Story</x:v>
      </x:c>
      <x:c r="H296" t="n">
        <x:v>0</x:v>
      </x:c>
      <x:c r="I296" t="n">
        <x:v>6311</x:v>
      </x:c>
      <x:c r="J296" t="n">
        <x:v>4589</x:v>
      </x:c>
      <x:c r="K296" t="n">
        <x:v>381</x:v>
      </x:c>
      <x:c r="L296" t="n">
        <x:v>104</x:v>
      </x:c>
      <x:c r="M296" t="n">
        <x:v>6</x:v>
      </x:c>
      <x:c r="N296" t="n">
        <x:v>0</x:v>
      </x:c>
      <x:c r="O296" s="37" t="n">
        <x:v>917.59</x:v>
      </x:c>
      <x:c r="P296" s="37" t="n">
        <x:v>10174</x:v>
      </x:c>
      <x:c r="Q296" t="n">
        <x:v>11</x:v>
      </x:c>
      <x:c r="R296" t="n">
        <x:v>2</x:v>
      </x:c>
      <x:c r="S296" t="n">
        <x:v>10183</x:v>
      </x:c>
      <x:c r="T296" t="n">
        <x:v>13.7</x:v>
      </x:c>
    </x:row>
    <x:row r="297">
      <x:c r="A297" t="str">
        <x:v>SM0293</x:v>
      </x:c>
      <x:c r="B297" s="43" t="str">
        <x:v>2026-07-07</x:v>
      </x:c>
      <x:c r="C297" t="str">
        <x:v>2026-07</x:v>
      </x:c>
      <x:c r="D297" t="str">
        <x:v>YouTube</x:v>
      </x:c>
      <x:c r="E297" t="str">
        <x:v>Lead Gen</x:v>
      </x:c>
      <x:c r="F297" t="str">
        <x:v>Short Video</x:v>
      </x:c>
      <x:c r="G297" t="str">
        <x:v>Industry Insight</x:v>
      </x:c>
      <x:c r="H297" t="n">
        <x:v>0</x:v>
      </x:c>
      <x:c r="I297" t="n">
        <x:v>10898</x:v>
      </x:c>
      <x:c r="J297" t="n">
        <x:v>8169</x:v>
      </x:c>
      <x:c r="K297" t="n">
        <x:v>291</x:v>
      </x:c>
      <x:c r="L297" t="n">
        <x:v>152</x:v>
      </x:c>
      <x:c r="M297" t="n">
        <x:v>8</x:v>
      </x:c>
      <x:c r="N297" t="n">
        <x:v>0</x:v>
      </x:c>
      <x:c r="O297" s="37" t="n">
        <x:v>681.16</x:v>
      </x:c>
      <x:c r="P297" s="37" t="n">
        <x:v>10183</x:v>
      </x:c>
      <x:c r="Q297" t="n">
        <x:v>13</x:v>
      </x:c>
      <x:c r="R297" t="n">
        <x:v>3</x:v>
      </x:c>
      <x:c r="S297" t="n">
        <x:v>10193</x:v>
      </x:c>
      <x:c r="T297" t="n">
        <x:v>8.7</x:v>
      </x:c>
    </x:row>
    <x:row r="298">
      <x:c r="A298" t="str">
        <x:v>SM0294</x:v>
      </x:c>
      <x:c r="B298" s="43" t="str">
        <x:v>2026-07-08</x:v>
      </x:c>
      <x:c r="C298" t="str">
        <x:v>2026-07</x:v>
      </x:c>
      <x:c r="D298" t="str">
        <x:v>YouTube</x:v>
      </x:c>
      <x:c r="E298" t="str">
        <x:v>Brand Trust</x:v>
      </x:c>
      <x:c r="F298" t="str">
        <x:v>Carousel</x:v>
      </x:c>
      <x:c r="G298" t="str">
        <x:v>Education</x:v>
      </x:c>
      <x:c r="H298" t="n">
        <x:v>0</x:v>
      </x:c>
      <x:c r="I298" t="n">
        <x:v>5027</x:v>
      </x:c>
      <x:c r="J298" t="n">
        <x:v>3741</x:v>
      </x:c>
      <x:c r="K298" t="n">
        <x:v>282</x:v>
      </x:c>
      <x:c r="L298" t="n">
        <x:v>123</x:v>
      </x:c>
      <x:c r="M298" t="n">
        <x:v>8</x:v>
      </x:c>
      <x:c r="N298" t="n">
        <x:v>0</x:v>
      </x:c>
      <x:c r="O298" s="37" t="n">
        <x:v>796.61</x:v>
      </x:c>
      <x:c r="P298" s="37" t="n">
        <x:v>10193</x:v>
      </x:c>
      <x:c r="Q298" t="n">
        <x:v>9</x:v>
      </x:c>
      <x:c r="R298" t="n">
        <x:v>3</x:v>
      </x:c>
      <x:c r="S298" t="n">
        <x:v>10199</x:v>
      </x:c>
      <x:c r="T298" t="n">
        <x:v>14.7</x:v>
      </x:c>
    </x:row>
    <x:row r="299">
      <x:c r="A299" t="str">
        <x:v>SM0295</x:v>
      </x:c>
      <x:c r="B299" s="43" t="str">
        <x:v>2026-07-09</x:v>
      </x:c>
      <x:c r="C299" t="str">
        <x:v>2026-07</x:v>
      </x:c>
      <x:c r="D299" t="str">
        <x:v>YouTube</x:v>
      </x:c>
      <x:c r="E299" t="str">
        <x:v>Always On</x:v>
      </x:c>
      <x:c r="F299" t="str">
        <x:v>Static Image</x:v>
      </x:c>
      <x:c r="G299" t="str">
        <x:v>Customer Story</x:v>
      </x:c>
      <x:c r="H299" t="n">
        <x:v>1</x:v>
      </x:c>
      <x:c r="I299" t="n">
        <x:v>7682</x:v>
      </x:c>
      <x:c r="J299" t="n">
        <x:v>5918</x:v>
      </x:c>
      <x:c r="K299" t="n">
        <x:v>499</x:v>
      </x:c>
      <x:c r="L299" t="n">
        <x:v>179</x:v>
      </x:c>
      <x:c r="M299" t="n">
        <x:v>13</x:v>
      </x:c>
      <x:c r="N299" t="n">
        <x:v>812.48</x:v>
      </x:c>
      <x:c r="O299" s="37" t="n">
        <x:v>2409.01</x:v>
      </x:c>
      <x:c r="P299" s="37" t="n">
        <x:v>10199</x:v>
      </x:c>
      <x:c r="Q299" t="n">
        <x:v>10</x:v>
      </x:c>
      <x:c r="R299" t="n">
        <x:v>2</x:v>
      </x:c>
      <x:c r="S299" t="n">
        <x:v>10207</x:v>
      </x:c>
      <x:c r="T299" t="n">
        <x:v>25.2</x:v>
      </x:c>
    </x:row>
    <x:row r="300">
      <x:c r="A300" t="str">
        <x:v>SM0296</x:v>
      </x:c>
      <x:c r="B300" s="43" t="str">
        <x:v>2026-07-10</x:v>
      </x:c>
      <x:c r="C300" t="str">
        <x:v>2026-07</x:v>
      </x:c>
      <x:c r="D300" t="str">
        <x:v>YouTube</x:v>
      </x:c>
      <x:c r="E300" t="str">
        <x:v>Summer Launch</x:v>
      </x:c>
      <x:c r="F300" t="str">
        <x:v>Article</x:v>
      </x:c>
      <x:c r="G300" t="str">
        <x:v>Industry Insight</x:v>
      </x:c>
      <x:c r="H300" t="n">
        <x:v>0</x:v>
      </x:c>
      <x:c r="I300" t="n">
        <x:v>8460</x:v>
      </x:c>
      <x:c r="J300" t="n">
        <x:v>6087</x:v>
      </x:c>
      <x:c r="K300" t="n">
        <x:v>299</x:v>
      </x:c>
      <x:c r="L300" t="n">
        <x:v>119</x:v>
      </x:c>
      <x:c r="M300" t="n">
        <x:v>4</x:v>
      </x:c>
      <x:c r="N300" t="n">
        <x:v>0</x:v>
      </x:c>
      <x:c r="O300" s="37" t="n">
        <x:v>540.52</x:v>
      </x:c>
      <x:c r="P300" s="37" t="n">
        <x:v>10207</x:v>
      </x:c>
      <x:c r="Q300" t="n">
        <x:v>8</x:v>
      </x:c>
      <x:c r="R300" t="n">
        <x:v>2</x:v>
      </x:c>
      <x:c r="S300" t="n">
        <x:v>10213</x:v>
      </x:c>
      <x:c r="T300" t="n">
        <x:v>32</x:v>
      </x:c>
    </x:row>
    <x:row r="301">
      <x:c r="A301" t="str">
        <x:v>SM0297</x:v>
      </x:c>
      <x:c r="B301" s="43" t="str">
        <x:v>2026-07-11</x:v>
      </x:c>
      <x:c r="C301" t="str">
        <x:v>2026-07</x:v>
      </x:c>
      <x:c r="D301" t="str">
        <x:v>YouTube</x:v>
      </x:c>
      <x:c r="E301" t="str">
        <x:v>Lead Gen</x:v>
      </x:c>
      <x:c r="F301" t="str">
        <x:v>Live Clip</x:v>
      </x:c>
      <x:c r="G301" t="str">
        <x:v>Education</x:v>
      </x:c>
      <x:c r="H301" t="n">
        <x:v>0</x:v>
      </x:c>
      <x:c r="I301" t="n">
        <x:v>8384</x:v>
      </x:c>
      <x:c r="J301" t="n">
        <x:v>5287</x:v>
      </x:c>
      <x:c r="K301" t="n">
        <x:v>229</x:v>
      </x:c>
      <x:c r="L301" t="n">
        <x:v>63</x:v>
      </x:c>
      <x:c r="M301" t="n">
        <x:v>3</x:v>
      </x:c>
      <x:c r="N301" t="n">
        <x:v>0</x:v>
      </x:c>
      <x:c r="O301" s="37" t="n">
        <x:v>439.3</x:v>
      </x:c>
      <x:c r="P301" s="37" t="n">
        <x:v>10213</x:v>
      </x:c>
      <x:c r="Q301" t="n">
        <x:v>4</x:v>
      </x:c>
      <x:c r="R301" t="n">
        <x:v>1</x:v>
      </x:c>
      <x:c r="S301" t="n">
        <x:v>10216</x:v>
      </x:c>
      <x:c r="T301" t="n">
        <x:v>16.6</x:v>
      </x:c>
    </x:row>
    <x:row r="302">
      <x:c r="A302" t="str">
        <x:v>SM0298</x:v>
      </x:c>
      <x:c r="B302" s="43" t="str">
        <x:v>2026-07-12</x:v>
      </x:c>
      <x:c r="C302" t="str">
        <x:v>2026-07</x:v>
      </x:c>
      <x:c r="D302" t="str">
        <x:v>YouTube</x:v>
      </x:c>
      <x:c r="E302" t="str">
        <x:v>Brand Trust</x:v>
      </x:c>
      <x:c r="F302" t="str">
        <x:v>Short Video</x:v>
      </x:c>
      <x:c r="G302" t="str">
        <x:v>Customer Story</x:v>
      </x:c>
      <x:c r="H302" t="n">
        <x:v>0</x:v>
      </x:c>
      <x:c r="I302" t="n">
        <x:v>11669</x:v>
      </x:c>
      <x:c r="J302" t="n">
        <x:v>7891</x:v>
      </x:c>
      <x:c r="K302" t="n">
        <x:v>486</x:v>
      </x:c>
      <x:c r="L302" t="n">
        <x:v>165</x:v>
      </x:c>
      <x:c r="M302" t="n">
        <x:v>15</x:v>
      </x:c>
      <x:c r="N302" t="n">
        <x:v>0</x:v>
      </x:c>
      <x:c r="O302" s="37" t="n">
        <x:v>1908.12</x:v>
      </x:c>
      <x:c r="P302" s="37" t="n">
        <x:v>10216</x:v>
      </x:c>
      <x:c r="Q302" t="n">
        <x:v>13</x:v>
      </x:c>
      <x:c r="R302" t="n">
        <x:v>3</x:v>
      </x:c>
      <x:c r="S302" t="n">
        <x:v>10226</x:v>
      </x:c>
      <x:c r="T302" t="n">
        <x:v>39.4</x:v>
      </x:c>
    </x:row>
    <x:row r="303">
      <x:c r="A303" t="str">
        <x:v>SM0299</x:v>
      </x:c>
      <x:c r="B303" s="43" t="str">
        <x:v>2026-07-13</x:v>
      </x:c>
      <x:c r="C303" t="str">
        <x:v>2026-07</x:v>
      </x:c>
      <x:c r="D303" t="str">
        <x:v>YouTube</x:v>
      </x:c>
      <x:c r="E303" t="str">
        <x:v>Always On</x:v>
      </x:c>
      <x:c r="F303" t="str">
        <x:v>Carousel</x:v>
      </x:c>
      <x:c r="G303" t="str">
        <x:v>Industry Insight</x:v>
      </x:c>
      <x:c r="H303" t="n">
        <x:v>1</x:v>
      </x:c>
      <x:c r="I303" t="n">
        <x:v>11303</x:v>
      </x:c>
      <x:c r="J303" t="n">
        <x:v>7283</x:v>
      </x:c>
      <x:c r="K303" t="n">
        <x:v>314</x:v>
      </x:c>
      <x:c r="L303" t="n">
        <x:v>329</x:v>
      </x:c>
      <x:c r="M303" t="n">
        <x:v>24</x:v>
      </x:c>
      <x:c r="N303" t="n">
        <x:v>688.01</x:v>
      </x:c>
      <x:c r="O303" s="37" t="n">
        <x:v>2152.37</x:v>
      </x:c>
      <x:c r="P303" s="37" t="n">
        <x:v>10226</x:v>
      </x:c>
      <x:c r="Q303" t="n">
        <x:v>12</x:v>
      </x:c>
      <x:c r="R303" t="n">
        <x:v>2</x:v>
      </x:c>
      <x:c r="S303" t="n">
        <x:v>10236</x:v>
      </x:c>
      <x:c r="T303" t="n">
        <x:v>29</x:v>
      </x:c>
    </x:row>
    <x:row r="304">
      <x:c r="A304" t="str">
        <x:v>SM0300</x:v>
      </x:c>
      <x:c r="B304" s="43" t="str">
        <x:v>2026-07-14</x:v>
      </x:c>
      <x:c r="C304" t="str">
        <x:v>2026-07</x:v>
      </x:c>
      <x:c r="D304" t="str">
        <x:v>YouTube</x:v>
      </x:c>
      <x:c r="E304" t="str">
        <x:v>Summer Launch</x:v>
      </x:c>
      <x:c r="F304" t="str">
        <x:v>Static Image</x:v>
      </x:c>
      <x:c r="G304" t="str">
        <x:v>Education</x:v>
      </x:c>
      <x:c r="H304" t="n">
        <x:v>0</x:v>
      </x:c>
      <x:c r="I304" t="n">
        <x:v>4406</x:v>
      </x:c>
      <x:c r="J304" t="n">
        <x:v>2819</x:v>
      </x:c>
      <x:c r="K304" t="n">
        <x:v>111</x:v>
      </x:c>
      <x:c r="L304" t="n">
        <x:v>29</x:v>
      </x:c>
      <x:c r="M304" t="n">
        <x:v>1</x:v>
      </x:c>
      <x:c r="N304" t="n">
        <x:v>0</x:v>
      </x:c>
      <x:c r="O304" s="37" t="n">
        <x:v>99.64</x:v>
      </x:c>
      <x:c r="P304" s="37" t="n">
        <x:v>10236</x:v>
      </x:c>
      <x:c r="Q304" t="n">
        <x:v>4</x:v>
      </x:c>
      <x:c r="R304" t="n">
        <x:v>1</x:v>
      </x:c>
      <x:c r="S304" t="n">
        <x:v>10239</x:v>
      </x:c>
      <x:c r="T304" t="n">
        <x:v>19.2</x:v>
      </x:c>
    </x:row>
    <x:row r="305">
      <x:c r="A305" t="str">
        <x:v>SM0301</x:v>
      </x:c>
      <x:c r="B305" s="43" t="str">
        <x:v>2026-07-15</x:v>
      </x:c>
      <x:c r="C305" t="str">
        <x:v>2026-07</x:v>
      </x:c>
      <x:c r="D305" t="str">
        <x:v>YouTube</x:v>
      </x:c>
      <x:c r="E305" t="str">
        <x:v>Lead Gen</x:v>
      </x:c>
      <x:c r="F305" t="str">
        <x:v>Article</x:v>
      </x:c>
      <x:c r="G305" t="str">
        <x:v>Customer Story</x:v>
      </x:c>
      <x:c r="H305" t="n">
        <x:v>0</x:v>
      </x:c>
      <x:c r="I305" t="n">
        <x:v>10008</x:v>
      </x:c>
      <x:c r="J305" t="n">
        <x:v>6418</x:v>
      </x:c>
      <x:c r="K305" t="n">
        <x:v>415</x:v>
      </x:c>
      <x:c r="L305" t="n">
        <x:v>153</x:v>
      </x:c>
      <x:c r="M305" t="n">
        <x:v>13</x:v>
      </x:c>
      <x:c r="N305" t="n">
        <x:v>0</x:v>
      </x:c>
      <x:c r="O305" s="37" t="n">
        <x:v>2379.3</x:v>
      </x:c>
      <x:c r="P305" s="37" t="n">
        <x:v>10239</x:v>
      </x:c>
      <x:c r="Q305" t="n">
        <x:v>8</x:v>
      </x:c>
      <x:c r="R305" t="n">
        <x:v>1</x:v>
      </x:c>
      <x:c r="S305" t="n">
        <x:v>10246</x:v>
      </x:c>
      <x:c r="T305" t="n">
        <x:v>19.7</x:v>
      </x:c>
    </x:row>
    <x:row r="306">
      <x:c r="A306" t="str">
        <x:v>SM0302</x:v>
      </x:c>
      <x:c r="B306" s="43" t="str">
        <x:v>2026-07-16</x:v>
      </x:c>
      <x:c r="C306" t="str">
        <x:v>2026-07</x:v>
      </x:c>
      <x:c r="D306" t="str">
        <x:v>YouTube</x:v>
      </x:c>
      <x:c r="E306" t="str">
        <x:v>Brand Trust</x:v>
      </x:c>
      <x:c r="F306" t="str">
        <x:v>Live Clip</x:v>
      </x:c>
      <x:c r="G306" t="str">
        <x:v>Industry Insight</x:v>
      </x:c>
      <x:c r="H306" t="n">
        <x:v>0</x:v>
      </x:c>
      <x:c r="I306" t="n">
        <x:v>8107</x:v>
      </x:c>
      <x:c r="J306" t="n">
        <x:v>6335</x:v>
      </x:c>
      <x:c r="K306" t="n">
        <x:v>536</x:v>
      </x:c>
      <x:c r="L306" t="n">
        <x:v>125</x:v>
      </x:c>
      <x:c r="M306" t="n">
        <x:v>12</x:v>
      </x:c>
      <x:c r="N306" t="n">
        <x:v>0</x:v>
      </x:c>
      <x:c r="O306" s="37" t="n">
        <x:v>1726.43</x:v>
      </x:c>
      <x:c r="P306" s="37" t="n">
        <x:v>10246</x:v>
      </x:c>
      <x:c r="Q306" t="n">
        <x:v>5</x:v>
      </x:c>
      <x:c r="R306" t="n">
        <x:v>1</x:v>
      </x:c>
      <x:c r="S306" t="n">
        <x:v>10250</x:v>
      </x:c>
      <x:c r="T306" t="n">
        <x:v>7.6</x:v>
      </x:c>
    </x:row>
    <x:row r="307">
      <x:c r="A307" t="str">
        <x:v>SM0303</x:v>
      </x:c>
      <x:c r="B307" s="43" t="str">
        <x:v>2026-07-17</x:v>
      </x:c>
      <x:c r="C307" t="str">
        <x:v>2026-07</x:v>
      </x:c>
      <x:c r="D307" t="str">
        <x:v>YouTube</x:v>
      </x:c>
      <x:c r="E307" t="str">
        <x:v>Always On</x:v>
      </x:c>
      <x:c r="F307" t="str">
        <x:v>Short Video</x:v>
      </x:c>
      <x:c r="G307" t="str">
        <x:v>Education</x:v>
      </x:c>
      <x:c r="H307" t="n">
        <x:v>1</x:v>
      </x:c>
      <x:c r="I307" t="n">
        <x:v>11074</x:v>
      </x:c>
      <x:c r="J307" t="n">
        <x:v>7020</x:v>
      </x:c>
      <x:c r="K307" t="n">
        <x:v>584</x:v>
      </x:c>
      <x:c r="L307" t="n">
        <x:v>292</x:v>
      </x:c>
      <x:c r="M307" t="n">
        <x:v>32</x:v>
      </x:c>
      <x:c r="N307" t="n">
        <x:v>971.23</x:v>
      </x:c>
      <x:c r="O307" s="37" t="n">
        <x:v>5149.84</x:v>
      </x:c>
      <x:c r="P307" s="37" t="n">
        <x:v>10250</x:v>
      </x:c>
      <x:c r="Q307" t="n">
        <x:v>7</x:v>
      </x:c>
      <x:c r="R307" t="n">
        <x:v>2</x:v>
      </x:c>
      <x:c r="S307" t="n">
        <x:v>10255</x:v>
      </x:c>
      <x:c r="T307" t="n">
        <x:v>48</x:v>
      </x:c>
    </x:row>
    <x:row r="308">
      <x:c r="A308" t="str">
        <x:v>SM0304</x:v>
      </x:c>
      <x:c r="B308" s="43" t="str">
        <x:v>2026-07-18</x:v>
      </x:c>
      <x:c r="C308" t="str">
        <x:v>2026-07</x:v>
      </x:c>
      <x:c r="D308" t="str">
        <x:v>YouTube</x:v>
      </x:c>
      <x:c r="E308" t="str">
        <x:v>Summer Launch</x:v>
      </x:c>
      <x:c r="F308" t="str">
        <x:v>Carousel</x:v>
      </x:c>
      <x:c r="G308" t="str">
        <x:v>Customer Story</x:v>
      </x:c>
      <x:c r="H308" t="n">
        <x:v>0</x:v>
      </x:c>
      <x:c r="I308" t="n">
        <x:v>11100</x:v>
      </x:c>
      <x:c r="J308" t="n">
        <x:v>7690</x:v>
      </x:c>
      <x:c r="K308" t="n">
        <x:v>268</x:v>
      </x:c>
      <x:c r="L308" t="n">
        <x:v>83</x:v>
      </x:c>
      <x:c r="M308" t="n">
        <x:v>8</x:v>
      </x:c>
      <x:c r="N308" t="n">
        <x:v>0</x:v>
      </x:c>
      <x:c r="O308" s="37" t="n">
        <x:v>941.82</x:v>
      </x:c>
      <x:c r="P308" s="37" t="n">
        <x:v>10255</x:v>
      </x:c>
      <x:c r="Q308" t="n">
        <x:v>9</x:v>
      </x:c>
      <x:c r="R308" t="n">
        <x:v>3</x:v>
      </x:c>
      <x:c r="S308" t="n">
        <x:v>10261</x:v>
      </x:c>
      <x:c r="T308" t="n">
        <x:v>20.3</x:v>
      </x:c>
    </x:row>
    <x:row r="309">
      <x:c r="A309" t="str">
        <x:v>SM0305</x:v>
      </x:c>
      <x:c r="B309" s="43" t="str">
        <x:v>2026-07-19</x:v>
      </x:c>
      <x:c r="C309" t="str">
        <x:v>2026-07</x:v>
      </x:c>
      <x:c r="D309" t="str">
        <x:v>YouTube</x:v>
      </x:c>
      <x:c r="E309" t="str">
        <x:v>Lead Gen</x:v>
      </x:c>
      <x:c r="F309" t="str">
        <x:v>Static Image</x:v>
      </x:c>
      <x:c r="G309" t="str">
        <x:v>Industry Insight</x:v>
      </x:c>
      <x:c r="H309" t="n">
        <x:v>0</x:v>
      </x:c>
      <x:c r="I309" t="n">
        <x:v>12458</x:v>
      </x:c>
      <x:c r="J309" t="n">
        <x:v>9495</x:v>
      </x:c>
      <x:c r="K309" t="n">
        <x:v>314</x:v>
      </x:c>
      <x:c r="L309" t="n">
        <x:v>286</x:v>
      </x:c>
      <x:c r="M309" t="n">
        <x:v>12</x:v>
      </x:c>
      <x:c r="N309" t="n">
        <x:v>0</x:v>
      </x:c>
      <x:c r="O309" s="37" t="n">
        <x:v>1006.96</x:v>
      </x:c>
      <x:c r="P309" s="37" t="n">
        <x:v>10261</x:v>
      </x:c>
      <x:c r="Q309" t="n">
        <x:v>13</x:v>
      </x:c>
      <x:c r="R309" t="n">
        <x:v>4</x:v>
      </x:c>
      <x:c r="S309" t="n">
        <x:v>10270</x:v>
      </x:c>
      <x:c r="T309" t="n">
        <x:v>30.5</x:v>
      </x:c>
    </x:row>
    <x:row r="310">
      <x:c r="A310" t="str">
        <x:v>SM0306</x:v>
      </x:c>
      <x:c r="B310" s="43" t="str">
        <x:v>2026-07-20</x:v>
      </x:c>
      <x:c r="C310" t="str">
        <x:v>2026-07</x:v>
      </x:c>
      <x:c r="D310" t="str">
        <x:v>YouTube</x:v>
      </x:c>
      <x:c r="E310" t="str">
        <x:v>Brand Trust</x:v>
      </x:c>
      <x:c r="F310" t="str">
        <x:v>Article</x:v>
      </x:c>
      <x:c r="G310" t="str">
        <x:v>Education</x:v>
      </x:c>
      <x:c r="H310" t="n">
        <x:v>0</x:v>
      </x:c>
      <x:c r="I310" t="n">
        <x:v>6393</x:v>
      </x:c>
      <x:c r="J310" t="n">
        <x:v>5079</x:v>
      </x:c>
      <x:c r="K310" t="n">
        <x:v>445</x:v>
      </x:c>
      <x:c r="L310" t="n">
        <x:v>66</x:v>
      </x:c>
      <x:c r="M310" t="n">
        <x:v>6</x:v>
      </x:c>
      <x:c r="N310" t="n">
        <x:v>0</x:v>
      </x:c>
      <x:c r="O310" s="37" t="n">
        <x:v>862.08</x:v>
      </x:c>
      <x:c r="P310" s="37" t="n">
        <x:v>10270</x:v>
      </x:c>
      <x:c r="Q310" t="n">
        <x:v>5</x:v>
      </x:c>
      <x:c r="R310" t="n">
        <x:v>1</x:v>
      </x:c>
      <x:c r="S310" t="n">
        <x:v>10274</x:v>
      </x:c>
      <x:c r="T310" t="n">
        <x:v>7.4</x:v>
      </x:c>
    </x:row>
    <x:row r="311">
      <x:c r="A311" t="str">
        <x:v>SM0307</x:v>
      </x:c>
      <x:c r="B311" s="43" t="str">
        <x:v>2026-07-21</x:v>
      </x:c>
      <x:c r="C311" t="str">
        <x:v>2026-07</x:v>
      </x:c>
      <x:c r="D311" t="str">
        <x:v>YouTube</x:v>
      </x:c>
      <x:c r="E311" t="str">
        <x:v>Always On</x:v>
      </x:c>
      <x:c r="F311" t="str">
        <x:v>Live Clip</x:v>
      </x:c>
      <x:c r="G311" t="str">
        <x:v>Customer Story</x:v>
      </x:c>
      <x:c r="H311" t="n">
        <x:v>1</x:v>
      </x:c>
      <x:c r="I311" t="n">
        <x:v>7071</x:v>
      </x:c>
      <x:c r="J311" t="n">
        <x:v>5139</x:v>
      </x:c>
      <x:c r="K311" t="n">
        <x:v>318</x:v>
      </x:c>
      <x:c r="L311" t="n">
        <x:v>134</x:v>
      </x:c>
      <x:c r="M311" t="n">
        <x:v>14</x:v>
      </x:c>
      <x:c r="N311" t="n">
        <x:v>235.82</x:v>
      </x:c>
      <x:c r="O311" s="37" t="n">
        <x:v>1726.85</x:v>
      </x:c>
      <x:c r="P311" s="37" t="n">
        <x:v>10274</x:v>
      </x:c>
      <x:c r="Q311" t="n">
        <x:v>6</x:v>
      </x:c>
      <x:c r="R311" t="n">
        <x:v>1</x:v>
      </x:c>
      <x:c r="S311" t="n">
        <x:v>10279</x:v>
      </x:c>
      <x:c r="T311" t="n">
        <x:v>25.9</x:v>
      </x:c>
    </x:row>
    <x:row r="312">
      <x:c r="A312" t="str">
        <x:v>SM0308</x:v>
      </x:c>
      <x:c r="B312" s="43" t="str">
        <x:v>2026-07-22</x:v>
      </x:c>
      <x:c r="C312" t="str">
        <x:v>2026-07</x:v>
      </x:c>
      <x:c r="D312" t="str">
        <x:v>YouTube</x:v>
      </x:c>
      <x:c r="E312" t="str">
        <x:v>Summer Launch</x:v>
      </x:c>
      <x:c r="F312" t="str">
        <x:v>Short Video</x:v>
      </x:c>
      <x:c r="G312" t="str">
        <x:v>Industry Insight</x:v>
      </x:c>
      <x:c r="H312" t="n">
        <x:v>0</x:v>
      </x:c>
      <x:c r="I312" t="n">
        <x:v>7491</x:v>
      </x:c>
      <x:c r="J312" t="n">
        <x:v>5188</x:v>
      </x:c>
      <x:c r="K312" t="n">
        <x:v>435</x:v>
      </x:c>
      <x:c r="L312" t="n">
        <x:v>135</x:v>
      </x:c>
      <x:c r="M312" t="n">
        <x:v>11</x:v>
      </x:c>
      <x:c r="N312" t="n">
        <x:v>0</x:v>
      </x:c>
      <x:c r="O312" s="37" t="n">
        <x:v>861.59</x:v>
      </x:c>
      <x:c r="P312" s="37" t="n">
        <x:v>10279</x:v>
      </x:c>
      <x:c r="Q312" t="n">
        <x:v>12</x:v>
      </x:c>
      <x:c r="R312" t="n">
        <x:v>2</x:v>
      </x:c>
      <x:c r="S312" t="n">
        <x:v>10289</x:v>
      </x:c>
      <x:c r="T312" t="n">
        <x:v>43.7</x:v>
      </x:c>
    </x:row>
    <x:row r="313">
      <x:c r="A313" t="str">
        <x:v>SM0309</x:v>
      </x:c>
      <x:c r="B313" s="43" t="str">
        <x:v>2026-07-23</x:v>
      </x:c>
      <x:c r="C313" t="str">
        <x:v>2026-07</x:v>
      </x:c>
      <x:c r="D313" t="str">
        <x:v>YouTube</x:v>
      </x:c>
      <x:c r="E313" t="str">
        <x:v>Lead Gen</x:v>
      </x:c>
      <x:c r="F313" t="str">
        <x:v>Carousel</x:v>
      </x:c>
      <x:c r="G313" t="str">
        <x:v>Education</x:v>
      </x:c>
      <x:c r="H313" t="n">
        <x:v>0</x:v>
      </x:c>
      <x:c r="I313" t="n">
        <x:v>4452</x:v>
      </x:c>
      <x:c r="J313" t="n">
        <x:v>3351</x:v>
      </x:c>
      <x:c r="K313" t="n">
        <x:v>294</x:v>
      </x:c>
      <x:c r="L313" t="n">
        <x:v>123</x:v>
      </x:c>
      <x:c r="M313" t="n">
        <x:v>4</x:v>
      </x:c>
      <x:c r="N313" t="n">
        <x:v>0</x:v>
      </x:c>
      <x:c r="O313" s="37" t="n">
        <x:v>730.32</x:v>
      </x:c>
      <x:c r="P313" s="37" t="n">
        <x:v>10289</x:v>
      </x:c>
      <x:c r="Q313" t="n">
        <x:v>7</x:v>
      </x:c>
      <x:c r="R313" t="n">
        <x:v>2</x:v>
      </x:c>
      <x:c r="S313" t="n">
        <x:v>10294</x:v>
      </x:c>
      <x:c r="T313" t="n">
        <x:v>21.3</x:v>
      </x:c>
    </x:row>
    <x:row r="314">
      <x:c r="A314" t="str">
        <x:v>SM0310</x:v>
      </x:c>
      <x:c r="B314" s="43" t="str">
        <x:v>2026-07-24</x:v>
      </x:c>
      <x:c r="C314" t="str">
        <x:v>2026-07</x:v>
      </x:c>
      <x:c r="D314" t="str">
        <x:v>YouTube</x:v>
      </x:c>
      <x:c r="E314" t="str">
        <x:v>Brand Trust</x:v>
      </x:c>
      <x:c r="F314" t="str">
        <x:v>Static Image</x:v>
      </x:c>
      <x:c r="G314" t="str">
        <x:v>Customer Story</x:v>
      </x:c>
      <x:c r="H314" t="n">
        <x:v>0</x:v>
      </x:c>
      <x:c r="I314" t="n">
        <x:v>9214</x:v>
      </x:c>
      <x:c r="J314" t="n">
        <x:v>6260</x:v>
      </x:c>
      <x:c r="K314" t="n">
        <x:v>216</x:v>
      </x:c>
      <x:c r="L314" t="n">
        <x:v>237</x:v>
      </x:c>
      <x:c r="M314" t="n">
        <x:v>12</x:v>
      </x:c>
      <x:c r="N314" t="n">
        <x:v>0</x:v>
      </x:c>
      <x:c r="O314" s="37" t="n">
        <x:v>1261.6</x:v>
      </x:c>
      <x:c r="P314" s="37" t="n">
        <x:v>10294</x:v>
      </x:c>
      <x:c r="Q314" t="n">
        <x:v>13</x:v>
      </x:c>
      <x:c r="R314" t="n">
        <x:v>2</x:v>
      </x:c>
      <x:c r="S314" t="n">
        <x:v>10305</x:v>
      </x:c>
      <x:c r="T314" t="n">
        <x:v>26.2</x:v>
      </x:c>
    </x:row>
    <x:row r="315">
      <x:c r="A315" t="str">
        <x:v>SM0311</x:v>
      </x:c>
      <x:c r="B315" s="43" t="str">
        <x:v>2026-07-25</x:v>
      </x:c>
      <x:c r="C315" t="str">
        <x:v>2026-07</x:v>
      </x:c>
      <x:c r="D315" t="str">
        <x:v>YouTube</x:v>
      </x:c>
      <x:c r="E315" t="str">
        <x:v>Always On</x:v>
      </x:c>
      <x:c r="F315" t="str">
        <x:v>Article</x:v>
      </x:c>
      <x:c r="G315" t="str">
        <x:v>Industry Insight</x:v>
      </x:c>
      <x:c r="H315" t="n">
        <x:v>1</x:v>
      </x:c>
      <x:c r="I315" t="n">
        <x:v>10588</x:v>
      </x:c>
      <x:c r="J315" t="n">
        <x:v>7925</x:v>
      </x:c>
      <x:c r="K315" t="n">
        <x:v>528</x:v>
      </x:c>
      <x:c r="L315" t="n">
        <x:v>266</x:v>
      </x:c>
      <x:c r="M315" t="n">
        <x:v>14</x:v>
      </x:c>
      <x:c r="N315" t="n">
        <x:v>815.43</x:v>
      </x:c>
      <x:c r="O315" s="37" t="n">
        <x:v>1381.46</x:v>
      </x:c>
      <x:c r="P315" s="37" t="n">
        <x:v>10305</x:v>
      </x:c>
      <x:c r="Q315" t="n">
        <x:v>8</x:v>
      </x:c>
      <x:c r="R315" t="n">
        <x:v>3</x:v>
      </x:c>
      <x:c r="S315" t="n">
        <x:v>10310</x:v>
      </x:c>
      <x:c r="T315" t="n">
        <x:v>49.2</x:v>
      </x:c>
    </x:row>
    <x:row r="316">
      <x:c r="A316" t="str">
        <x:v>SM0312</x:v>
      </x:c>
      <x:c r="B316" s="43" t="str">
        <x:v>2026-07-26</x:v>
      </x:c>
      <x:c r="C316" t="str">
        <x:v>2026-07</x:v>
      </x:c>
      <x:c r="D316" t="str">
        <x:v>YouTube</x:v>
      </x:c>
      <x:c r="E316" t="str">
        <x:v>Summer Launch</x:v>
      </x:c>
      <x:c r="F316" t="str">
        <x:v>Live Clip</x:v>
      </x:c>
      <x:c r="G316" t="str">
        <x:v>Education</x:v>
      </x:c>
      <x:c r="H316" t="n">
        <x:v>0</x:v>
      </x:c>
      <x:c r="I316" t="n">
        <x:v>13415</x:v>
      </x:c>
      <x:c r="J316" t="n">
        <x:v>10738</x:v>
      </x:c>
      <x:c r="K316" t="n">
        <x:v>720</x:v>
      </x:c>
      <x:c r="L316" t="n">
        <x:v>204</x:v>
      </x:c>
      <x:c r="M316" t="n">
        <x:v>18</x:v>
      </x:c>
      <x:c r="N316" t="n">
        <x:v>0</x:v>
      </x:c>
      <x:c r="O316" s="37" t="n">
        <x:v>2499.49</x:v>
      </x:c>
      <x:c r="P316" s="37" t="n">
        <x:v>10310</x:v>
      </x:c>
      <x:c r="Q316" t="n">
        <x:v>16</x:v>
      </x:c>
      <x:c r="R316" t="n">
        <x:v>3</x:v>
      </x:c>
      <x:c r="S316" t="n">
        <x:v>10323</x:v>
      </x:c>
      <x:c r="T316" t="n">
        <x:v>36.8</x:v>
      </x:c>
    </x:row>
    <x:row r="317">
      <x:c r="A317" t="str">
        <x:v>SM0313</x:v>
      </x:c>
      <x:c r="B317" s="43" t="str">
        <x:v>2026-07-27</x:v>
      </x:c>
      <x:c r="C317" t="str">
        <x:v>2026-07</x:v>
      </x:c>
      <x:c r="D317" t="str">
        <x:v>YouTube</x:v>
      </x:c>
      <x:c r="E317" t="str">
        <x:v>Lead Gen</x:v>
      </x:c>
      <x:c r="F317" t="str">
        <x:v>Short Video</x:v>
      </x:c>
      <x:c r="G317" t="str">
        <x:v>Customer Story</x:v>
      </x:c>
      <x:c r="H317" t="n">
        <x:v>0</x:v>
      </x:c>
      <x:c r="I317" t="n">
        <x:v>6028</x:v>
      </x:c>
      <x:c r="J317" t="n">
        <x:v>4215</x:v>
      </x:c>
      <x:c r="K317" t="n">
        <x:v>179</x:v>
      </x:c>
      <x:c r="L317" t="n">
        <x:v>91</x:v>
      </x:c>
      <x:c r="M317" t="n">
        <x:v>9</x:v>
      </x:c>
      <x:c r="N317" t="n">
        <x:v>0</x:v>
      </x:c>
      <x:c r="O317" s="37" t="n">
        <x:v>1548.82</x:v>
      </x:c>
      <x:c r="P317" s="37" t="n">
        <x:v>10323</x:v>
      </x:c>
      <x:c r="Q317" t="n">
        <x:v>5</x:v>
      </x:c>
      <x:c r="R317" t="n">
        <x:v>1</x:v>
      </x:c>
      <x:c r="S317" t="n">
        <x:v>10327</x:v>
      </x:c>
      <x:c r="T317" t="n">
        <x:v>12.9</x:v>
      </x:c>
    </x:row>
    <x:row r="318">
      <x:c r="A318" t="str">
        <x:v>SM0314</x:v>
      </x:c>
      <x:c r="B318" s="43" t="str">
        <x:v>2026-07-28</x:v>
      </x:c>
      <x:c r="C318" t="str">
        <x:v>2026-07</x:v>
      </x:c>
      <x:c r="D318" t="str">
        <x:v>YouTube</x:v>
      </x:c>
      <x:c r="E318" t="str">
        <x:v>Brand Trust</x:v>
      </x:c>
      <x:c r="F318" t="str">
        <x:v>Carousel</x:v>
      </x:c>
      <x:c r="G318" t="str">
        <x:v>Industry Insight</x:v>
      </x:c>
      <x:c r="H318" t="n">
        <x:v>0</x:v>
      </x:c>
      <x:c r="I318" t="n">
        <x:v>8291</x:v>
      </x:c>
      <x:c r="J318" t="n">
        <x:v>5642</x:v>
      </x:c>
      <x:c r="K318" t="n">
        <x:v>242</x:v>
      </x:c>
      <x:c r="L318" t="n">
        <x:v>237</x:v>
      </x:c>
      <x:c r="M318" t="n">
        <x:v>10</x:v>
      </x:c>
      <x:c r="N318" t="n">
        <x:v>0</x:v>
      </x:c>
      <x:c r="O318" s="37" t="n">
        <x:v>1222.31</x:v>
      </x:c>
      <x:c r="P318" s="37" t="n">
        <x:v>10327</x:v>
      </x:c>
      <x:c r="Q318" t="n">
        <x:v>9</x:v>
      </x:c>
      <x:c r="R318" t="n">
        <x:v>2</x:v>
      </x:c>
      <x:c r="S318" t="n">
        <x:v>10334</x:v>
      </x:c>
      <x:c r="T318" t="n">
        <x:v>47.5</x:v>
      </x:c>
    </x:row>
    <x:row r="319">
      <x:c r="A319" t="str">
        <x:v>SM0315</x:v>
      </x:c>
      <x:c r="B319" s="43" t="str">
        <x:v>2026-07-29</x:v>
      </x:c>
      <x:c r="C319" t="str">
        <x:v>2026-07</x:v>
      </x:c>
      <x:c r="D319" t="str">
        <x:v>YouTube</x:v>
      </x:c>
      <x:c r="E319" t="str">
        <x:v>Always On</x:v>
      </x:c>
      <x:c r="F319" t="str">
        <x:v>Static Image</x:v>
      </x:c>
      <x:c r="G319" t="str">
        <x:v>Education</x:v>
      </x:c>
      <x:c r="H319" t="n">
        <x:v>1</x:v>
      </x:c>
      <x:c r="I319" t="n">
        <x:v>14474</x:v>
      </x:c>
      <x:c r="J319" t="n">
        <x:v>10497</x:v>
      </x:c>
      <x:c r="K319" t="n">
        <x:v>584</x:v>
      </x:c>
      <x:c r="L319" t="n">
        <x:v>172</x:v>
      </x:c>
      <x:c r="M319" t="n">
        <x:v>11</x:v>
      </x:c>
      <x:c r="N319" t="n">
        <x:v>855.94</x:v>
      </x:c>
      <x:c r="O319" s="37" t="n">
        <x:v>1012.53</x:v>
      </x:c>
      <x:c r="P319" s="37" t="n">
        <x:v>10334</x:v>
      </x:c>
      <x:c r="Q319" t="n">
        <x:v>21</x:v>
      </x:c>
      <x:c r="R319" t="n">
        <x:v>5</x:v>
      </x:c>
      <x:c r="S319" t="n">
        <x:v>10350</x:v>
      </x:c>
      <x:c r="T319" t="n">
        <x:v>27.1</x:v>
      </x:c>
    </x:row>
    <x:row r="320">
      <x:c r="A320" t="str">
        <x:v>SM0316</x:v>
      </x:c>
      <x:c r="B320" s="43" t="str">
        <x:v>2026-07-30</x:v>
      </x:c>
      <x:c r="C320" t="str">
        <x:v>2026-07</x:v>
      </x:c>
      <x:c r="D320" t="str">
        <x:v>YouTube</x:v>
      </x:c>
      <x:c r="E320" t="str">
        <x:v>Summer Launch</x:v>
      </x:c>
      <x:c r="F320" t="str">
        <x:v>Article</x:v>
      </x:c>
      <x:c r="G320" t="str">
        <x:v>Customer Story</x:v>
      </x:c>
      <x:c r="H320" t="n">
        <x:v>0</x:v>
      </x:c>
      <x:c r="I320" t="n">
        <x:v>8293</x:v>
      </x:c>
      <x:c r="J320" t="n">
        <x:v>5652</x:v>
      </x:c>
      <x:c r="K320" t="n">
        <x:v>356</x:v>
      </x:c>
      <x:c r="L320" t="n">
        <x:v>121</x:v>
      </x:c>
      <x:c r="M320" t="n">
        <x:v>10</x:v>
      </x:c>
      <x:c r="N320" t="n">
        <x:v>0</x:v>
      </x:c>
      <x:c r="O320" s="37" t="n">
        <x:v>946.47</x:v>
      </x:c>
      <x:c r="P320" s="37" t="n">
        <x:v>10350</x:v>
      </x:c>
      <x:c r="Q320" t="n">
        <x:v>12</x:v>
      </x:c>
      <x:c r="R320" t="n">
        <x:v>4</x:v>
      </x:c>
      <x:c r="S320" t="n">
        <x:v>10358</x:v>
      </x:c>
      <x:c r="T320" t="n">
        <x:v>31.5</x:v>
      </x:c>
    </x:row>
    <x:row r="321">
      <x:c r="A321" t="str">
        <x:v>SM0317</x:v>
      </x:c>
      <x:c r="B321" s="43" t="str">
        <x:v>2026-07-31</x:v>
      </x:c>
      <x:c r="C321" t="str">
        <x:v>2026-07</x:v>
      </x:c>
      <x:c r="D321" t="str">
        <x:v>YouTube</x:v>
      </x:c>
      <x:c r="E321" t="str">
        <x:v>Lead Gen</x:v>
      </x:c>
      <x:c r="F321" t="str">
        <x:v>Live Clip</x:v>
      </x:c>
      <x:c r="G321" t="str">
        <x:v>Industry Insight</x:v>
      </x:c>
      <x:c r="H321" t="n">
        <x:v>0</x:v>
      </x:c>
      <x:c r="I321" t="n">
        <x:v>12619</x:v>
      </x:c>
      <x:c r="J321" t="n">
        <x:v>10216</x:v>
      </x:c>
      <x:c r="K321" t="n">
        <x:v>547</x:v>
      </x:c>
      <x:c r="L321" t="n">
        <x:v>270</x:v>
      </x:c>
      <x:c r="M321" t="n">
        <x:v>17</x:v>
      </x:c>
      <x:c r="N321" t="n">
        <x:v>0</x:v>
      </x:c>
      <x:c r="O321" s="37" t="n">
        <x:v>2408.92</x:v>
      </x:c>
      <x:c r="P321" s="37" t="n">
        <x:v>10358</x:v>
      </x:c>
      <x:c r="Q321" t="n">
        <x:v>16</x:v>
      </x:c>
      <x:c r="R321" t="n">
        <x:v>4</x:v>
      </x:c>
      <x:c r="S321" t="n">
        <x:v>10370</x:v>
      </x:c>
      <x:c r="T321" t="n">
        <x:v>36.6</x:v>
      </x:c>
    </x:row>
    <x:row r="322">
      <x:c r="A322" t="str">
        <x:v>SM0318</x:v>
      </x:c>
      <x:c r="B322" s="43" t="str">
        <x:v>2026-07-01</x:v>
      </x:c>
      <x:c r="C322" t="str">
        <x:v>2026-07</x:v>
      </x:c>
      <x:c r="D322" t="str">
        <x:v>YouTube</x:v>
      </x:c>
      <x:c r="E322" t="str">
        <x:v>Brand Trust</x:v>
      </x:c>
      <x:c r="F322" t="str">
        <x:v>Short Video</x:v>
      </x:c>
      <x:c r="G322" t="str">
        <x:v>Education</x:v>
      </x:c>
      <x:c r="H322" t="n">
        <x:v>0</x:v>
      </x:c>
      <x:c r="I322" t="n">
        <x:v>9781</x:v>
      </x:c>
      <x:c r="J322" t="n">
        <x:v>6292</x:v>
      </x:c>
      <x:c r="K322" t="n">
        <x:v>191</x:v>
      </x:c>
      <x:c r="L322" t="n">
        <x:v>175</x:v>
      </x:c>
      <x:c r="M322" t="n">
        <x:v>14</x:v>
      </x:c>
      <x:c r="N322" t="n">
        <x:v>0</x:v>
      </x:c>
      <x:c r="O322" s="37" t="n">
        <x:v>1579.57</x:v>
      </x:c>
      <x:c r="P322" s="37" t="n">
        <x:v>10370</x:v>
      </x:c>
      <x:c r="Q322" t="n">
        <x:v>14</x:v>
      </x:c>
      <x:c r="R322" t="n">
        <x:v>3</x:v>
      </x:c>
      <x:c r="S322" t="n">
        <x:v>10381</x:v>
      </x:c>
      <x:c r="T322" t="n">
        <x:v>16.9</x:v>
      </x:c>
    </x:row>
    <x:row r="323">
      <x:c r="A323" t="str">
        <x:v>SM0319</x:v>
      </x:c>
      <x:c r="B323" s="43" t="str">
        <x:v>2026-07-02</x:v>
      </x:c>
      <x:c r="C323" t="str">
        <x:v>2026-07</x:v>
      </x:c>
      <x:c r="D323" t="str">
        <x:v>YouTube</x:v>
      </x:c>
      <x:c r="E323" t="str">
        <x:v>Always On</x:v>
      </x:c>
      <x:c r="F323" t="str">
        <x:v>Carousel</x:v>
      </x:c>
      <x:c r="G323" t="str">
        <x:v>Customer Story</x:v>
      </x:c>
      <x:c r="H323" t="n">
        <x:v>1</x:v>
      </x:c>
      <x:c r="I323" t="n">
        <x:v>5164</x:v>
      </x:c>
      <x:c r="J323" t="n">
        <x:v>4079</x:v>
      </x:c>
      <x:c r="K323" t="n">
        <x:v>311</x:v>
      </x:c>
      <x:c r="L323" t="n">
        <x:v>137</x:v>
      </x:c>
      <x:c r="M323" t="n">
        <x:v>13</x:v>
      </x:c>
      <x:c r="N323" t="n">
        <x:v>812.51</x:v>
      </x:c>
      <x:c r="O323" s="37" t="n">
        <x:v>1898</x:v>
      </x:c>
      <x:c r="P323" s="37" t="n">
        <x:v>10381</x:v>
      </x:c>
      <x:c r="Q323" t="n">
        <x:v>9</x:v>
      </x:c>
      <x:c r="R323" t="n">
        <x:v>1</x:v>
      </x:c>
      <x:c r="S323" t="n">
        <x:v>10389</x:v>
      </x:c>
      <x:c r="T323" t="n">
        <x:v>28</x:v>
      </x:c>
    </x:row>
    <x:row r="324">
      <x:c r="A324" t="str">
        <x:v>SM0320</x:v>
      </x:c>
      <x:c r="B324" s="43" t="str">
        <x:v>2026-07-03</x:v>
      </x:c>
      <x:c r="C324" t="str">
        <x:v>2026-07</x:v>
      </x:c>
      <x:c r="D324" t="str">
        <x:v>YouTube</x:v>
      </x:c>
      <x:c r="E324" t="str">
        <x:v>Summer Launch</x:v>
      </x:c>
      <x:c r="F324" t="str">
        <x:v>Static Image</x:v>
      </x:c>
      <x:c r="G324" t="str">
        <x:v>Industry Insight</x:v>
      </x:c>
      <x:c r="H324" t="n">
        <x:v>0</x:v>
      </x:c>
      <x:c r="I324" t="n">
        <x:v>7532</x:v>
      </x:c>
      <x:c r="J324" t="n">
        <x:v>4824</x:v>
      </x:c>
      <x:c r="K324" t="n">
        <x:v>179</x:v>
      </x:c>
      <x:c r="L324" t="n">
        <x:v>113</x:v>
      </x:c>
      <x:c r="M324" t="n">
        <x:v>10</x:v>
      </x:c>
      <x:c r="N324" t="n">
        <x:v>0</x:v>
      </x:c>
      <x:c r="O324" s="37" t="n">
        <x:v>1321.09</x:v>
      </x:c>
      <x:c r="P324" s="37" t="n">
        <x:v>10389</x:v>
      </x:c>
      <x:c r="Q324" t="n">
        <x:v>7</x:v>
      </x:c>
      <x:c r="R324" t="n">
        <x:v>2</x:v>
      </x:c>
      <x:c r="S324" t="n">
        <x:v>10394</x:v>
      </x:c>
      <x:c r="T324" t="n">
        <x:v>47.2</x:v>
      </x:c>
    </x:row>
  </x:sheetData>
  <x:mergeCells>
    <x:mergeCell ref="A1:T2"/>
  </x:mergeCells>
  <x:pageMargins left="0.7" right="0.7" top="0.75" bottom="0.75" header="0.3" footer="0.3"/>
  <x:tableParts count="1">
    <x:tablePart xmlns:r="http://schemas.openxmlformats.org/officeDocument/2006/relationships" r:id="Rce1e92c9d62d43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  <x:col min="3" max="3" width="34" hidden="0" customWidth="1"/>
    <x:col min="4" max="4" width="21" hidden="0" customWidth="1"/>
    <x:col min="5" max="5" width="21" hidden="0" customWidth="1"/>
    <x:col min="6" max="6" width="28" hidden="0" customWidth="1"/>
  </x:cols>
  <x:sheetData>
    <x:row r="1">
      <x:c r="A1" s="3" t="str">
        <x:v>KPI DICTIONARY &amp; GOVERNANCE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8" t="str">
        <x:v>KPI</x:v>
      </x:c>
      <x:c r="B4" s="8" t="str">
        <x:v>Definition</x:v>
      </x:c>
      <x:c r="C4" s="8" t="str">
        <x:v>Formula</x:v>
      </x:c>
      <x:c r="D4" s="8" t="str">
        <x:v>Scope</x:v>
      </x:c>
      <x:c r="E4" s="8" t="str">
        <x:v>Direction</x:v>
      </x:c>
      <x:c r="F4" s="8" t="str">
        <x:v>Decision use</x:v>
      </x:c>
    </x:row>
    <x:row r="5">
      <x:c r="A5" s="44" t="str">
        <x:v>Reach</x:v>
      </x:c>
      <x:c r="B5" s="44" t="str">
        <x:v>Unique-account reach reported by each platform</x:v>
      </x:c>
      <x:c r="C5" s="44" t="str">
        <x:v>SUM Reach</x:v>
      </x:c>
      <x:c r="D5" s="44" t="str">
        <x:v>Paid + organic</x:v>
      </x:c>
      <x:c r="E5" s="44" t="str">
        <x:v>Higher</x:v>
      </x:c>
      <x:c r="F5" s="44" t="str">
        <x:v>Scale distribution</x:v>
      </x:c>
    </x:row>
    <x:row r="6">
      <x:c r="A6" s="44" t="str">
        <x:v>Engagement Rate</x:v>
      </x:c>
      <x:c r="B6" s="44" t="str">
        <x:v>Meaningful interactions relative to reached audience</x:v>
      </x:c>
      <x:c r="C6" s="44" t="str">
        <x:v>Engagements / Reach</x:v>
      </x:c>
      <x:c r="D6" s="44" t="str">
        <x:v>Paid + organic</x:v>
      </x:c>
      <x:c r="E6" s="44" t="str">
        <x:v>Higher</x:v>
      </x:c>
      <x:c r="F6" s="44" t="str">
        <x:v>Judge content resonance</x:v>
      </x:c>
    </x:row>
    <x:row r="7">
      <x:c r="A7" s="44" t="str">
        <x:v>CTR</x:v>
      </x:c>
      <x:c r="B7" s="44" t="str">
        <x:v>Clicks relative to served impressions</x:v>
      </x:c>
      <x:c r="C7" s="44" t="str">
        <x:v>Clicks / Impressions</x:v>
      </x:c>
      <x:c r="D7" s="44" t="str">
        <x:v>Paid + organic</x:v>
      </x:c>
      <x:c r="E7" s="44" t="str">
        <x:v>Higher</x:v>
      </x:c>
      <x:c r="F7" s="44" t="str">
        <x:v>Judge creative traffic efficiency</x:v>
      </x:c>
    </x:row>
    <x:row r="8">
      <x:c r="A8" s="44" t="str">
        <x:v>Conversion Rate</x:v>
      </x:c>
      <x:c r="B8" s="44" t="str">
        <x:v>Tracked conversions relative to clicks</x:v>
      </x:c>
      <x:c r="C8" s="44" t="str">
        <x:v>Conversions / Clicks</x:v>
      </x:c>
      <x:c r="D8" s="44" t="str">
        <x:v>Tracked clicks only</x:v>
      </x:c>
      <x:c r="E8" s="44" t="str">
        <x:v>Higher</x:v>
      </x:c>
      <x:c r="F8" s="44" t="str">
        <x:v>Judge landing/action quality</x:v>
      </x:c>
    </x:row>
    <x:row r="9">
      <x:c r="A9" s="44" t="str">
        <x:v>CPC</x:v>
      </x:c>
      <x:c r="B9" s="44" t="str">
        <x:v>Paid spend per click</x:v>
      </x:c>
      <x:c r="C9" s="44" t="str">
        <x:v>Spend / Clicks</x:v>
      </x:c>
      <x:c r="D9" s="44" t="str">
        <x:v>Paid rows; blended report</x:v>
      </x:c>
      <x:c r="E9" s="44" t="str">
        <x:v>Lower</x:v>
      </x:c>
      <x:c r="F9" s="44" t="str">
        <x:v>Control traffic cost</x:v>
      </x:c>
    </x:row>
    <x:row r="10">
      <x:c r="A10" s="44" t="str">
        <x:v>ROAS</x:v>
      </x:c>
      <x:c r="B10" s="44" t="str">
        <x:v>Attributed revenue per paid dollar</x:v>
      </x:c>
      <x:c r="C10" s="44" t="str">
        <x:v>Revenue / Spend</x:v>
      </x:c>
      <x:c r="D10" s="44" t="str">
        <x:v>Paid spend denominator</x:v>
      </x:c>
      <x:c r="E10" s="44" t="str">
        <x:v>Higher</x:v>
      </x:c>
      <x:c r="F10" s="44" t="str">
        <x:v>Allocate paid budget</x:v>
      </x:c>
    </x:row>
    <x:row r="11">
      <x:c r="A11" s="44" t="str">
        <x:v>Follower Growth</x:v>
      </x:c>
      <x:c r="B11" s="44" t="str">
        <x:v>Net gained followers</x:v>
      </x:c>
      <x:c r="C11" s="44" t="str">
        <x:v>Gained - Lost</x:v>
      </x:c>
      <x:c r="D11" s="44" t="str">
        <x:v>Platform-month</x:v>
      </x:c>
      <x:c r="E11" s="44" t="str">
        <x:v>Higher</x:v>
      </x:c>
      <x:c r="F11" s="44" t="str">
        <x:v>Monitor audience growth</x:v>
      </x:c>
    </x:row>
    <x:row r="12">
      <x:c r="A12" s="44" t="str">
        <x:v>Response Time</x:v>
      </x:c>
      <x:c r="B12" s="44" t="str">
        <x:v>Hours to first community response</x:v>
      </x:c>
      <x:c r="C12" s="44" t="str">
        <x:v>Average hours</x:v>
      </x:c>
      <x:c r="D12" s="44" t="str">
        <x:v>All posts with comments</x:v>
      </x:c>
      <x:c r="E12" s="44" t="str">
        <x:v>Lower</x:v>
      </x:c>
      <x:c r="F12" s="44" t="str">
        <x:v>Protect service quality</x:v>
      </x:c>
    </x:row>
    <x:row r="13">
      <x:c r="A13" s="44" t="str">
        <x:v>Best Content</x:v>
      </x:c>
      <x:c r="B13" s="44" t="str">
        <x:v>Highest balanced quality score</x:v>
      </x:c>
      <x:c r="C13" s="44" t="str">
        <x:v>Weighted engagement, CTR, conversion, ROAS</x:v>
      </x:c>
      <x:c r="D13" s="44" t="str">
        <x:v>July posts</x:v>
      </x:c>
      <x:c r="E13" s="44" t="str">
        <x:v>Higher</x:v>
      </x:c>
      <x:c r="F13" s="44" t="str">
        <x:v>Repurpose winning formats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3" t="str">
        <x:v>EDITABLE KPI TARGETS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8" t="str">
        <x:v>Metric</x:v>
      </x:c>
      <x:c r="B4" s="8" t="str">
        <x:v>Target</x:v>
      </x:c>
      <x:c r="C4" s="8" t="str">
        <x:v>Direction</x:v>
      </x:c>
      <x:c r="D4" s="8" t="str">
        <x:v>Owner</x:v>
      </x:c>
    </x:row>
    <x:row r="5">
      <x:c r="A5" t="str">
        <x:v>Engagement Rate</x:v>
      </x:c>
      <x:c r="B5" s="46" t="n">
        <x:v>0.055</x:v>
      </x:c>
      <x:c r="C5" t="str">
        <x:v>Higher</x:v>
      </x:c>
      <x:c r="D5" t="str">
        <x:v>Content Lead</x:v>
      </x:c>
    </x:row>
    <x:row r="6">
      <x:c r="A6" t="str">
        <x:v>CTR</x:v>
      </x:c>
      <x:c r="B6" s="46" t="n">
        <x:v>0.018</x:v>
      </x:c>
      <x:c r="C6" t="str">
        <x:v>Higher</x:v>
      </x:c>
      <x:c r="D6" t="str">
        <x:v>Performance Lead</x:v>
      </x:c>
    </x:row>
    <x:row r="7">
      <x:c r="A7" t="str">
        <x:v>Conversion Rate</x:v>
      </x:c>
      <x:c r="B7" s="46" t="n">
        <x:v>0.07</x:v>
      </x:c>
      <x:c r="C7" t="str">
        <x:v>Higher</x:v>
      </x:c>
      <x:c r="D7" t="str">
        <x:v>Growth Lead</x:v>
      </x:c>
    </x:row>
    <x:row r="8">
      <x:c r="A8" t="str">
        <x:v>CPC</x:v>
      </x:c>
      <x:c r="B8" s="47" t="n">
        <x:v>2.5</x:v>
      </x:c>
      <x:c r="C8" t="str">
        <x:v>Lower</x:v>
      </x:c>
      <x:c r="D8" t="str">
        <x:v>Paid Media Lead</x:v>
      </x:c>
    </x:row>
    <x:row r="9">
      <x:c r="A9" t="str">
        <x:v>ROAS</x:v>
      </x:c>
      <x:c r="B9" s="48" t="n">
        <x:v>3.5</x:v>
      </x:c>
      <x:c r="C9" t="str">
        <x:v>Higher</x:v>
      </x:c>
      <x:c r="D9" t="str">
        <x:v>Paid Media Lead</x:v>
      </x:c>
    </x:row>
    <x:row r="10">
      <x:c r="A10" t="str">
        <x:v>Follower Growth Rate</x:v>
      </x:c>
      <x:c r="B10" s="46" t="n">
        <x:v>0.035</x:v>
      </x:c>
      <x:c r="C10" t="str">
        <x:v>Higher</x:v>
      </x:c>
      <x:c r="D10" t="str">
        <x:v>Community Lead</x:v>
      </x:c>
    </x:row>
    <x:row r="11">
      <x:c r="A11" t="str">
        <x:v>Response Hours</x:v>
      </x:c>
      <x:c r="B11" s="49" t="n">
        <x:v>24</x:v>
      </x:c>
      <x:c r="C11" t="str">
        <x:v>Lower</x:v>
      </x:c>
      <x:c r="D11" t="str">
        <x:v>Community Lead</x:v>
      </x:c>
    </x:row>
  </x:sheetData>
  <x:mergeCells>
    <x:mergeCell ref="A1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</x:cols>
  <x:sheetData>
    <x:row r="1">
      <x:c r="A1" s="3" t="str">
        <x:v>QUALITY ASSURANCE | JULY REPORT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4">
      <x:c r="A4" s="8" t="str">
        <x:v>Control</x:v>
      </x:c>
      <x:c r="B4" s="8" t="str">
        <x:v>Expected</x:v>
      </x:c>
      <x:c r="C4" s="8" t="str">
        <x:v>Actual</x:v>
      </x:c>
      <x:c r="D4" s="8" t="str">
        <x:v>Status</x:v>
      </x:c>
      <x:c r="E4" s="8" t="str">
        <x:v>Purpose</x:v>
      </x:c>
    </x:row>
    <x:row r="5">
      <x:c r="A5" t="str">
        <x:v>Source row count</x:v>
      </x:c>
      <x:c r="B5" s="50" t="n">
        <x:v>320</x:v>
      </x:c>
      <x:c r="C5" s="50" t="n">
        <x:v>320</x:v>
      </x:c>
      <x:c r="D5" s="52" t="str">
        <x:v>PASS</x:v>
      </x:c>
      <x:c r="E5" t="str">
        <x:v>All source records loaded</x:v>
      </x:c>
    </x:row>
    <x:row r="6">
      <x:c r="A6" t="str">
        <x:v>Unique post IDs</x:v>
      </x:c>
      <x:c r="B6" s="50" t="n">
        <x:v>320</x:v>
      </x:c>
      <x:c r="C6" s="50" t="n">
        <x:v>320</x:v>
      </x:c>
      <x:c r="D6" s="52" t="str">
        <x:v>PASS</x:v>
      </x:c>
      <x:c r="E6" t="str">
        <x:v>No duplicate grain</x:v>
      </x:c>
    </x:row>
    <x:row r="7">
      <x:c r="A7" t="str">
        <x:v>July post count</x:v>
      </x:c>
      <x:c r="B7" s="50" t="n">
        <x:v>170</x:v>
      </x:c>
      <x:c r="C7" s="50" t="n">
        <x:v>170</x:v>
      </x:c>
      <x:c r="D7" s="52" t="str">
        <x:v>PASS</x:v>
      </x:c>
      <x:c r="E7" t="str">
        <x:v>Monthly scope</x:v>
      </x:c>
    </x:row>
    <x:row r="8">
      <x:c r="A8" t="str">
        <x:v>July impressions</x:v>
      </x:c>
      <x:c r="B8" s="50" t="n">
        <x:v>1476928</x:v>
      </x:c>
      <x:c r="C8" s="50" t="n">
        <x:v>1476928</x:v>
      </x:c>
      <x:c r="D8" s="52" t="str">
        <x:v>PASS</x:v>
      </x:c>
      <x:c r="E8" t="str">
        <x:v>Source-to-summary reconciliation</x:v>
      </x:c>
    </x:row>
    <x:row r="9">
      <x:c r="A9" t="str">
        <x:v>July reach</x:v>
      </x:c>
      <x:c r="B9" s="50" t="n">
        <x:v>1053266</x:v>
      </x:c>
      <x:c r="C9" s="50" t="n">
        <x:v>1053266</x:v>
      </x:c>
      <x:c r="D9" s="52" t="str">
        <x:v>PASS</x:v>
      </x:c>
      <x:c r="E9" t="str">
        <x:v>Source-to-summary reconciliation</x:v>
      </x:c>
    </x:row>
    <x:row r="10">
      <x:c r="A10" t="str">
        <x:v>July clicks</x:v>
      </x:c>
      <x:c r="B10" s="50" t="n">
        <x:v>23631</x:v>
      </x:c>
      <x:c r="C10" s="50" t="n">
        <x:v>23631</x:v>
      </x:c>
      <x:c r="D10" s="52" t="str">
        <x:v>PASS</x:v>
      </x:c>
      <x:c r="E10" t="str">
        <x:v>Source-to-summary reconciliation</x:v>
      </x:c>
    </x:row>
    <x:row r="11">
      <x:c r="A11" t="str">
        <x:v>July conversions</x:v>
      </x:c>
      <x:c r="B11" s="50" t="n">
        <x:v>1742</x:v>
      </x:c>
      <x:c r="C11" s="50" t="n">
        <x:v>1742</x:v>
      </x:c>
      <x:c r="D11" s="52" t="str">
        <x:v>PASS</x:v>
      </x:c>
      <x:c r="E11" t="str">
        <x:v>Source-to-summary reconciliation</x:v>
      </x:c>
    </x:row>
    <x:row r="12">
      <x:c r="A12" t="str">
        <x:v>July spend</x:v>
      </x:c>
      <x:c r="B12" s="50" t="n">
        <x:v>42115.3</x:v>
      </x:c>
      <x:c r="C12" s="50" t="n">
        <x:v>42115.3</x:v>
      </x:c>
      <x:c r="D12" s="52" t="str">
        <x:v>PASS</x:v>
      </x:c>
      <x:c r="E12" t="str">
        <x:v>Paid denominator</x:v>
      </x:c>
    </x:row>
    <x:row r="13">
      <x:c r="A13" t="str">
        <x:v>July revenue</x:v>
      </x:c>
      <x:c r="B13" s="50" t="n">
        <x:v>230678.48</x:v>
      </x:c>
      <x:c r="C13" s="50" t="n">
        <x:v>230678.48</x:v>
      </x:c>
      <x:c r="D13" s="52" t="str">
        <x:v>PASS</x:v>
      </x:c>
      <x:c r="E13" t="str">
        <x:v>Attributed revenue</x:v>
      </x:c>
    </x:row>
    <x:row r="14">
      <x:c r="A14" t="str">
        <x:v>Platform reach ties total</x:v>
      </x:c>
      <x:c r="B14" s="50" t="n">
        <x:v>1053266</x:v>
      </x:c>
      <x:c r="C14" s="50" t="n">
        <x:v>1053266</x:v>
      </x:c>
      <x:c r="D14" s="52" t="str">
        <x:v>PASS</x:v>
      </x:c>
      <x:c r="E14" t="str">
        <x:v>Segment completeness</x:v>
      </x:c>
    </x:row>
    <x:row r="15">
      <x:c r="A15" t="str">
        <x:v>No negative measures</x:v>
      </x:c>
      <x:c r="B15" s="50" t="n">
        <x:v>0</x:v>
      </x:c>
      <x:c r="C15" s="50" t="n">
        <x:v>0</x:v>
      </x:c>
      <x:c r="D15" s="52" t="str">
        <x:v>PASS</x:v>
      </x:c>
      <x:c r="E15" t="str">
        <x:v>Validity</x:v>
      </x:c>
    </x:row>
    <x:row r="16">
      <x:c r="A16" t="str">
        <x:v>Conversions do not exceed clicks</x:v>
      </x:c>
      <x:c r="B16" s="50" t="n">
        <x:v>0</x:v>
      </x:c>
      <x:c r="C16" s="50" t="n">
        <x:v>0</x:v>
      </x:c>
      <x:c r="D16" s="52" t="str">
        <x:v>PASS</x:v>
      </x:c>
      <x:c r="E16" t="str">
        <x:v>Funnel logic</x:v>
      </x:c>
    </x:row>
  </x:sheetData>
  <x:mergeCells>
    <x:mergeCell ref="A1:E2"/>
  </x:mergeCells>
  <x:pageMargins left="0.7" right="0.7" top="0.75" bottom="0.75" header="0.3" footer="0.3"/>
</x:worksheet>
</file>