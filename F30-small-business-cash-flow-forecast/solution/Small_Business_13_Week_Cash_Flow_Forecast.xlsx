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478203b4ac477a" /></Relationships>
</file>

<file path=xl/workbook.xml><?xml version="1.0" encoding="utf-8"?>
<x:workbook xmlns:x="http://schemas.openxmlformats.org/spreadsheetml/2006/main">
  <x:sheets>
    <x:sheet xmlns:r="http://schemas.openxmlformats.org/officeDocument/2006/relationships" name="Executive Summary" sheetId="1" r:id="R8203dda0396d4057"/>
    <x:sheet xmlns:r="http://schemas.openxmlformats.org/officeDocument/2006/relationships" name="Assumptions" sheetId="2" r:id="R4d14b23ffffc49e2"/>
    <x:sheet xmlns:r="http://schemas.openxmlformats.org/officeDocument/2006/relationships" name="13-Week Forecast" sheetId="3" r:id="R30e2239848174447"/>
    <x:sheet xmlns:r="http://schemas.openxmlformats.org/officeDocument/2006/relationships" name="Scenario Comparison" sheetId="4" r:id="R12d4938dd34e4d92"/>
    <x:sheet xmlns:r="http://schemas.openxmlformats.org/officeDocument/2006/relationships" name="Checks" sheetId="5" r:id="Rf5d57579583a413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quot;$&quot;#,##0;[Red](&quot;$&quot;#,##0)"/>
    <x:numFmt numFmtId="201" formatCode="0.0%"/>
    <x:numFmt numFmtId="202" formatCode="dd-mmm"/>
    <x:numFmt numFmtId="203" formatCode="&quot;$&quot;#,##0;[Red](&quot;$&quot;#,##0);-"/>
    <x:numFmt numFmtId="204" formatCode="&quot;$&quot;#,##0.00;[Red](&quot;$&quot;#,##0.00)"/>
  </x:numFmts>
  <x:fonts count="8">
    <x:font>
      <x:sz val="11"/>
      <x:name val="Carlito"/>
    </x:font>
    <x:font>
      <x:b/>
      <x:sz val="18"/>
      <x:color rgb="FFFFFFFF"/>
      <x:name val="Carlito"/>
    </x:font>
    <x:font>
      <x:b/>
      <x:sz val="11"/>
      <x:color rgb="FFFFFFFF"/>
      <x:name val="Carlito"/>
    </x:font>
    <x:font>
      <x:b/>
      <x:sz val="11"/>
      <x:color rgb="FF17324D"/>
      <x:name val="Carlito"/>
    </x:font>
    <x:font>
      <x:sz val="11"/>
      <x:color rgb="FF243447"/>
      <x:name val="Carlito"/>
    </x:font>
    <x:font>
      <x:b/>
      <x:sz val="11"/>
      <x:color rgb="FF3A7D44"/>
      <x:name val="Carlito"/>
    </x:font>
    <x:font>
      <x:i/>
      <x:sz val="11"/>
      <x:color rgb="FF243447"/>
      <x:name val="Carlito"/>
    </x:font>
    <x:font>
      <x:b/>
      <x:sz val="19"/>
      <x:color rgb="FF17324D"/>
      <x:name val="Carlito"/>
    </x:font>
  </x:fonts>
  <x:fills count="10">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DDEAF5"/>
      </x:patternFill>
    </x:fill>
    <x:fill>
      <x:patternFill patternType="solid">
        <x:fgColor rgb="FFFFF4D6"/>
      </x:patternFill>
    </x:fill>
    <x:fill>
      <x:patternFill patternType="solid">
        <x:fgColor rgb="FFF4F7FA"/>
      </x:patternFill>
    </x:fill>
    <x:fill>
      <x:patternFill patternType="solid">
        <x:fgColor rgb="FFE8F5E9"/>
      </x:patternFill>
    </x:fill>
    <x:fill>
      <x:patternFill patternType="solid">
        <x:fgColor rgb="FFFFFFFF"/>
      </x:patternFill>
    </x:fill>
    <x:fill>
      <x:patternFill patternType="solid">
        <x:fgColor rgb="FF2F75B5"/>
      </x:patternFill>
    </x:fill>
  </x:fills>
  <x:borders count="21">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17324D"/>
      </x:left>
      <x:right style="thin">
        <x:color rgb="FFD9E2EC"/>
      </x:right>
      <x:top style="thin">
        <x:color rgb="FF17324D"/>
      </x:top>
      <x:bottom style="thin">
        <x:color rgb="FFD9E2EC"/>
      </x:bottom>
    </x:border>
    <x:border>
      <x:left style="thin">
        <x:color rgb="FFD9E2EC"/>
      </x:left>
      <x:right style="thin">
        <x:color rgb="FFD9E2EC"/>
      </x:right>
      <x:top style="thin">
        <x:color rgb="FF17324D"/>
      </x:top>
      <x:bottom style="thin">
        <x:color rgb="FFD9E2EC"/>
      </x:bottom>
    </x:border>
    <x:border>
      <x:left style="thin">
        <x:color rgb="FFD9E2EC"/>
      </x:left>
      <x:top style="thin">
        <x:color rgb="FF17324D"/>
      </x:top>
      <x:bottom style="thin">
        <x:color rgb="FFD9E2EC"/>
      </x:bottom>
    </x:border>
    <x:border>
      <x:left style="thin">
        <x:color rgb="FF17324D"/>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17324D"/>
      </x:left>
      <x:right style="thin">
        <x:color rgb="FFD9E2EC"/>
      </x:right>
      <x:top style="thin">
        <x:color rgb="FFD9E2EC"/>
      </x:top>
      <x:bottom style="thin">
        <x:color rgb="FF17324D"/>
      </x:bottom>
    </x:border>
    <x:border>
      <x:left style="thin">
        <x:color rgb="FFD9E2EC"/>
      </x:left>
      <x:right style="thin">
        <x:color rgb="FFD9E2EC"/>
      </x:right>
      <x:top style="thin">
        <x:color rgb="FFD9E2EC"/>
      </x:top>
      <x:bottom style="thin">
        <x:color rgb="FF17324D"/>
      </x:bottom>
    </x:border>
    <x:border>
      <x:left style="thin">
        <x:color rgb="FFD9E2EC"/>
      </x:left>
      <x:top style="thin">
        <x:color rgb="FFD9E2EC"/>
      </x:top>
      <x:bottom style="thin">
        <x:color rgb="FF17324D"/>
      </x:bottom>
    </x:border>
    <x:border>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right style="thin">
        <x:color rgb="FFD9E2EC"/>
      </x:right>
      <x:bottom style="thin">
        <x:color rgb="FFD9E2EC"/>
      </x:bottom>
    </x:border>
  </x:borders>
  <x:cellStyleXfs count="1">
    <x:xf numFmtId="0" fontId="0" fillId="0" borderId="0"/>
  </x:cellStyleXfs>
  <x:cellXfs count="1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0" fillId="3" borderId="0" xfId="0" applyNumberFormat="1" applyFont="1" applyFill="1" applyBorder="1"/>
    <x:xf numFmtId="200" fontId="0" fillId="3" borderId="0" xfId="0" applyNumberFormat="1" applyFont="1" applyFill="1" applyBorder="1"/>
    <x:xf numFmtId="201" fontId="0" fillId="3" borderId="0" xfId="0" applyNumberFormat="1" applyFont="1" applyFill="1" applyBorder="1"/>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0" fillId="0" borderId="7" xfId="0" applyNumberFormat="1" applyFont="1" applyFill="1" applyBorder="1"/>
    <x:xf numFmtId="0" fontId="0" fillId="3" borderId="8"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3" borderId="8" xfId="0" applyNumberFormat="1" applyFont="1" applyFill="1" applyBorder="1"/>
    <x:xf numFmtId="201" fontId="0" fillId="3" borderId="8" xfId="0" applyNumberFormat="1" applyFont="1" applyFill="1" applyBorder="1"/>
    <x:xf numFmtId="0" fontId="0" fillId="0" borderId="10" xfId="0" applyNumberFormat="1" applyFont="1" applyFill="1" applyBorder="1"/>
    <x:xf numFmtId="201" fontId="0" fillId="3" borderId="11"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9" xfId="0" applyNumberFormat="1" applyFont="1" applyFill="1" applyBorder="1" applyAlignment="1">
      <x:alignment wrapText="1"/>
    </x:xf>
    <x:xf numFmtId="0" fontId="0" fillId="0" borderId="12" xfId="0" applyNumberFormat="1" applyFont="1" applyFill="1" applyBorder="1" applyAlignment="1">
      <x:alignment wrapText="1"/>
    </x:xf>
    <x:xf numFmtId="201" fontId="0" fillId="0" borderId="0" xfId="0" applyNumberFormat="1" applyFont="1" applyFill="1" applyBorder="1"/>
    <x:xf numFmtId="201" fontId="0" fillId="0" borderId="8" xfId="0" applyNumberFormat="1" applyFont="1" applyFill="1" applyBorder="1"/>
    <x:xf numFmtId="201" fontId="0" fillId="0" borderId="11" xfId="0" applyNumberFormat="1" applyFont="1" applyFill="1" applyBorder="1"/>
    <x:xf numFmtId="202" fontId="2" fillId="2" borderId="2"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13"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3" xfId="0" applyNumberFormat="1" applyFont="1" applyFill="1" applyBorder="1"/>
    <x:xf numFmtId="203" fontId="0" fillId="0" borderId="0" xfId="0" applyNumberFormat="1" applyFont="1" applyFill="1" applyBorder="1"/>
    <x:xf numFmtId="203" fontId="2" fillId="2" borderId="0" xfId="0" applyNumberFormat="1" applyFont="1" applyFill="1" applyBorder="1"/>
    <x:xf numFmtId="203" fontId="3" fillId="4" borderId="13" xfId="0" applyNumberFormat="1" applyFont="1" applyFill="1" applyBorder="1"/>
    <x:xf numFmtId="203" fontId="3" fillId="5" borderId="13" xfId="0" applyNumberFormat="1" applyFont="1" applyFill="1" applyBorder="1"/>
    <x:xf numFmtId="203" fontId="0" fillId="3" borderId="0" xfId="0" applyNumberFormat="1" applyFont="1" applyFill="1" applyBorder="1"/>
    <x:xf numFmtId="202" fontId="2" fillId="2" borderId="5" xfId="0" applyNumberFormat="1" applyFont="1" applyFill="1" applyBorder="1" applyAlignment="1">
      <x:alignment horizontal="center" vertical="center" wrapText="1"/>
    </x:xf>
    <x:xf numFmtId="203" fontId="0" fillId="0" borderId="8" xfId="0" applyNumberFormat="1" applyFont="1" applyFill="1" applyBorder="1"/>
    <x:xf numFmtId="203" fontId="0" fillId="0" borderId="9" xfId="0" applyNumberFormat="1" applyFont="1" applyFill="1" applyBorder="1"/>
    <x:xf numFmtId="0" fontId="2" fillId="2" borderId="7" xfId="0" applyNumberFormat="1" applyFont="1" applyFill="1" applyBorder="1"/>
    <x:xf numFmtId="203" fontId="2" fillId="2" borderId="8" xfId="0" applyNumberFormat="1" applyFont="1" applyFill="1" applyBorder="1"/>
    <x:xf numFmtId="203" fontId="2" fillId="2" borderId="9" xfId="0" applyNumberFormat="1" applyFont="1" applyFill="1" applyBorder="1"/>
    <x:xf numFmtId="203" fontId="0" fillId="3" borderId="8" xfId="0" applyNumberFormat="1" applyFont="1" applyFill="1" applyBorder="1"/>
    <x:xf numFmtId="0" fontId="3" fillId="4" borderId="7" xfId="0" applyNumberFormat="1" applyFont="1" applyFill="1" applyBorder="1"/>
    <x:xf numFmtId="203" fontId="3" fillId="4" borderId="8" xfId="0" applyNumberFormat="1" applyFont="1" applyFill="1" applyBorder="1"/>
    <x:xf numFmtId="203" fontId="3" fillId="4" borderId="9" xfId="0" applyNumberFormat="1" applyFont="1" applyFill="1" applyBorder="1"/>
    <x:xf numFmtId="0" fontId="3" fillId="5" borderId="10" xfId="0" applyNumberFormat="1" applyFont="1" applyFill="1" applyBorder="1"/>
    <x:xf numFmtId="203" fontId="3" fillId="5" borderId="11" xfId="0" applyNumberFormat="1" applyFont="1" applyFill="1" applyBorder="1"/>
    <x:xf numFmtId="203" fontId="3" fillId="5" borderId="12" xfId="0" applyNumberFormat="1" applyFont="1" applyFill="1" applyBorder="1"/>
    <x:xf numFmtId="200" fontId="0" fillId="0" borderId="0" xfId="0" applyNumberFormat="1" applyFont="1" applyFill="1" applyBorder="1"/>
    <x:xf numFmtId="200" fontId="0" fillId="0" borderId="8" xfId="0" applyNumberFormat="1" applyFont="1" applyFill="1" applyBorder="1"/>
    <x:xf numFmtId="200" fontId="0" fillId="0" borderId="9" xfId="0" applyNumberFormat="1" applyFont="1" applyFill="1" applyBorder="1"/>
    <x:xf numFmtId="200" fontId="0" fillId="0" borderId="11" xfId="0" applyNumberFormat="1" applyFont="1" applyFill="1" applyBorder="1"/>
    <x:xf numFmtId="200" fontId="0" fillId="0" borderId="12"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14" xfId="0" applyNumberFormat="1" applyFont="1" applyFill="1" applyBorder="1"/>
    <x:xf numFmtId="0" fontId="4" fillId="6" borderId="15" xfId="0" applyNumberFormat="1" applyFont="1" applyFill="1" applyBorder="1"/>
    <x:xf numFmtId="0" fontId="4" fillId="6" borderId="16" xfId="0" applyNumberFormat="1" applyFont="1" applyFill="1" applyBorder="1"/>
    <x:xf numFmtId="0" fontId="4" fillId="6" borderId="17" xfId="0" applyNumberFormat="1" applyFont="1" applyFill="1" applyBorder="1"/>
    <x:xf numFmtId="0" fontId="4" fillId="6" borderId="18" xfId="0" applyNumberFormat="1" applyFont="1" applyFill="1" applyBorder="1"/>
    <x:xf numFmtId="0" fontId="4" fillId="6" borderId="19" xfId="0" applyNumberFormat="1" applyFont="1" applyFill="1" applyBorder="1"/>
    <x:xf numFmtId="0" fontId="4" fillId="6" borderId="13" xfId="0" applyNumberFormat="1" applyFont="1" applyFill="1" applyBorder="1"/>
    <x:xf numFmtId="0" fontId="4" fillId="6" borderId="20" xfId="0" applyNumberFormat="1" applyFont="1" applyFill="1" applyBorder="1"/>
    <x:xf numFmtId="0" fontId="4" fillId="6" borderId="14" xfId="0" applyNumberFormat="1" applyFont="1" applyFill="1" applyBorder="1" applyAlignment="1">
      <x:alignment wrapText="1"/>
    </x:xf>
    <x:xf numFmtId="0" fontId="4" fillId="6" borderId="15" xfId="0" applyNumberFormat="1" applyFont="1" applyFill="1" applyBorder="1" applyAlignment="1">
      <x:alignment wrapText="1"/>
    </x:xf>
    <x:xf numFmtId="0" fontId="4" fillId="6" borderId="16" xfId="0" applyNumberFormat="1" applyFont="1" applyFill="1" applyBorder="1" applyAlignment="1">
      <x:alignment wrapText="1"/>
    </x:xf>
    <x:xf numFmtId="0" fontId="4" fillId="6" borderId="17"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8" xfId="0" applyNumberFormat="1" applyFont="1" applyFill="1" applyBorder="1" applyAlignment="1">
      <x:alignment wrapText="1"/>
    </x:xf>
    <x:xf numFmtId="0" fontId="4" fillId="6" borderId="19"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20" xfId="0" applyNumberFormat="1" applyFont="1" applyFill="1" applyBorder="1" applyAlignment="1">
      <x:alignment wrapText="1"/>
    </x:xf>
    <x:xf numFmtId="0" fontId="4" fillId="6" borderId="14" xfId="0" applyNumberFormat="1" applyFont="1" applyFill="1" applyBorder="1" applyAlignment="1">
      <x:alignment vertical="top" wrapText="1"/>
    </x:xf>
    <x:xf numFmtId="0" fontId="4" fillId="6" borderId="15" xfId="0" applyNumberFormat="1" applyFont="1" applyFill="1" applyBorder="1" applyAlignment="1">
      <x:alignment vertical="top" wrapText="1"/>
    </x:xf>
    <x:xf numFmtId="0" fontId="4" fillId="6" borderId="16" xfId="0" applyNumberFormat="1" applyFont="1" applyFill="1" applyBorder="1" applyAlignment="1">
      <x:alignment vertical="top" wrapText="1"/>
    </x:xf>
    <x:xf numFmtId="0" fontId="4" fillId="6" borderId="17"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8"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4" fillId="6" borderId="13" xfId="0" applyNumberFormat="1" applyFont="1" applyFill="1" applyBorder="1" applyAlignment="1">
      <x:alignment vertical="top" wrapText="1"/>
    </x:xf>
    <x:xf numFmtId="0" fontId="4" fillId="6" borderId="20" xfId="0" applyNumberFormat="1" applyFont="1" applyFill="1" applyBorder="1" applyAlignment="1">
      <x:alignment vertical="top" wrapText="1"/>
    </x:xf>
    <x:xf numFmtId="204" fontId="0" fillId="0"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204" fontId="0" fillId="0" borderId="8" xfId="0" applyNumberFormat="1" applyFont="1" applyFill="1" applyBorder="1"/>
    <x:xf numFmtId="0" fontId="5" fillId="7" borderId="8" xfId="0" applyNumberFormat="1" applyFont="1" applyFill="1" applyBorder="1" applyAlignment="1">
      <x:alignment horizontal="center"/>
    </x:xf>
    <x:xf numFmtId="0" fontId="5" fillId="7" borderId="11" xfId="0" applyNumberFormat="1" applyFont="1" applyFill="1" applyBorder="1" applyAlignment="1">
      <x:alignment horizontal="center"/>
    </x:xf>
    <x:xf numFmtId="0" fontId="6" fillId="4" borderId="0" xfId="0" applyNumberFormat="1" applyFont="1" applyFill="1" applyBorder="1"/>
    <x:xf numFmtId="0" fontId="0" fillId="8" borderId="0" xfId="0" applyNumberFormat="1" applyFont="1" applyFill="1" applyBorder="1"/>
    <x:xf numFmtId="0" fontId="0" fillId="8" borderId="14" xfId="0" applyNumberFormat="1" applyFont="1" applyFill="1" applyBorder="1"/>
    <x:xf numFmtId="0" fontId="0" fillId="8" borderId="15" xfId="0" applyNumberFormat="1" applyFont="1" applyFill="1" applyBorder="1"/>
    <x:xf numFmtId="0" fontId="0" fillId="8" borderId="16" xfId="0" applyNumberFormat="1" applyFont="1" applyFill="1" applyBorder="1"/>
    <x:xf numFmtId="0" fontId="0" fillId="8" borderId="17" xfId="0" applyNumberFormat="1" applyFont="1" applyFill="1" applyBorder="1"/>
    <x:xf numFmtId="0" fontId="0" fillId="8" borderId="18" xfId="0" applyNumberFormat="1" applyFont="1" applyFill="1" applyBorder="1"/>
    <x:xf numFmtId="0" fontId="0" fillId="8" borderId="19" xfId="0" applyNumberFormat="1" applyFont="1" applyFill="1" applyBorder="1"/>
    <x:xf numFmtId="0" fontId="0" fillId="8" borderId="13" xfId="0" applyNumberFormat="1" applyFont="1" applyFill="1" applyBorder="1"/>
    <x:xf numFmtId="0" fontId="0" fillId="8" borderId="20" xfId="0" applyNumberFormat="1" applyFont="1" applyFill="1" applyBorder="1"/>
    <x:xf numFmtId="0" fontId="0" fillId="9" borderId="14" xfId="0" applyNumberFormat="1" applyFont="1" applyFill="1" applyBorder="1"/>
    <x:xf numFmtId="0" fontId="2" fillId="9" borderId="14" xfId="0" applyNumberFormat="1" applyFont="1" applyFill="1" applyBorder="1"/>
    <x:xf numFmtId="0" fontId="2" fillId="9" borderId="14" xfId="0" applyNumberFormat="1" applyFont="1" applyFill="1" applyBorder="1" applyAlignment="1">
      <x:alignment horizontal="center"/>
    </x:xf>
    <x:xf numFmtId="0" fontId="7" fillId="8" borderId="17" xfId="0" applyNumberFormat="1" applyFont="1" applyFill="1" applyBorder="1"/>
    <x:xf numFmtId="200" fontId="7" fillId="8" borderId="17" xfId="0" applyNumberFormat="1" applyFont="1" applyFill="1" applyBorder="1"/>
    <x:xf numFmtId="200" fontId="7" fillId="8" borderId="17" xfId="0" applyNumberFormat="1" applyFont="1" applyFill="1" applyBorder="1" applyAlignment="1">
      <x:alignment horizontal="center"/>
    </x:xf>
    <x:xf numFmtId="200" fontId="7" fillId="8" borderId="17"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e55a87e4d940e1" /><Relationship Type="http://schemas.openxmlformats.org/officeDocument/2006/relationships/theme" Target="/xl/theme/theme1.xml" Id="R20469038d6724d29" /><Relationship Type="http://schemas.openxmlformats.org/officeDocument/2006/relationships/sharedStrings" Target="/xl/sharedStrings.xml" Id="R2ab5ad276cf8419d" /><Relationship Type="http://schemas.openxmlformats.org/officeDocument/2006/relationships/worksheet" Target="/xl/worksheets/sheet1.xml" Id="R8203dda0396d4057" /><Relationship Type="http://schemas.openxmlformats.org/officeDocument/2006/relationships/worksheet" Target="/xl/worksheets/sheet2.xml" Id="R4d14b23ffffc49e2" /><Relationship Type="http://schemas.openxmlformats.org/officeDocument/2006/relationships/worksheet" Target="/xl/worksheets/sheet3.xml" Id="R30e2239848174447" /><Relationship Type="http://schemas.openxmlformats.org/officeDocument/2006/relationships/worksheet" Target="/xl/worksheets/sheet4.xml" Id="R12d4938dd34e4d92" /><Relationship Type="http://schemas.openxmlformats.org/officeDocument/2006/relationships/worksheet" Target="/xl/worksheets/sheet5.xml" Id="Rf5d57579583a41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0ca5a798a394e2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Weekly Cash Position vs Minimum Reserve (USD)</a:t>
            </a:r>
          </a:p>
        </c:rich>
      </c:tx>
      <c:overlay val="0"/>
    </c:title>
    <c:plotArea>
      <c:lineChart>
        <c:grouping val="standard"/>
        <c:varyColors val="0"/>
        <c:ser>
          <c:idx val="0"/>
          <c:order val="0"/>
          <c:tx>
            <c:v>Pre-funding cash</c:v>
          </c:tx>
          <c:marker>
            <c:symbol val="none"/>
          </c:marker>
          <c:cat>
            <c:strRef>
              <c:f>'Executive Summary'!$A$11:$A$23</c:f>
              <c:strCache>
                <c:ptCount val="0"/>
              </c:strCache>
            </c:strRef>
          </c:cat>
          <c:val>
            <c:numRef>
              <c:f>'Executive Summary'!$B$11:$B$23</c:f>
              <c:numCache>
                <c:formatCode>"$"#,##0;[Red]("$"#,##0)</c:formatCode>
                <c:ptCount val="0"/>
              </c:numCache>
            </c:numRef>
          </c:val>
          <c:smooth val="0"/>
        </c:ser>
        <c:ser>
          <c:idx val="1"/>
          <c:order val="1"/>
          <c:tx>
            <c:v>Post-funding cash</c:v>
          </c:tx>
          <c:marker>
            <c:symbol val="none"/>
          </c:marker>
          <c:cat>
            <c:strRef>
              <c:f>'Executive Summary'!$A$11:$A$23</c:f>
              <c:strCache>
                <c:ptCount val="0"/>
              </c:strCache>
            </c:strRef>
          </c:cat>
          <c:val>
            <c:numRef>
              <c:f>'Executive Summary'!$C$11:$C$23</c:f>
              <c:numCache>
                <c:formatCode>"$"#,##0;[Red]("$"#,##0)</c:formatCode>
                <c:ptCount val="0"/>
              </c:numCache>
            </c:numRef>
          </c:val>
          <c:smooth val="0"/>
        </c:ser>
        <c:ser>
          <c:idx val="2"/>
          <c:order val="2"/>
          <c:tx>
            <c:v>Minimum reserve</c:v>
          </c:tx>
          <c:marker>
            <c:symbol val="none"/>
          </c:marker>
          <c:cat>
            <c:strRef>
              <c:f>'Executive Summary'!$A$11:$A$23</c:f>
              <c:strCache>
                <c:ptCount val="0"/>
              </c:strCache>
            </c:strRef>
          </c:cat>
          <c:val>
            <c:numRef>
              <c:f>'Executive Summary'!$D$11:$D$23</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9</xdr:row>
      <xdr:rowOff>0</xdr:rowOff>
    </xdr:from>
    <xdr:to>
      <xdr:col>12</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ca5a798a394e2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e486ac2e72d40d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18" hidden="0" customWidth="1"/>
    <x:col min="5" max="5" width="16" hidden="0" customWidth="1"/>
    <x:col min="6" max="6" width="16"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3" t="str">
        <x:v>13-WEEK CASH-FLOW FORECAST — EXECUTIVE SUMMARY</x:v>
      </x:c>
      <x:c r="B1" s="3"/>
      <x:c r="C1" s="3"/>
      <x:c r="D1" s="3"/>
      <x:c r="E1" s="3"/>
      <x:c r="F1" s="3"/>
      <x:c r="G1" s="3"/>
      <x:c r="H1" s="3"/>
      <x:c r="I1" s="3"/>
      <x:c r="J1" s="3"/>
      <x:c r="K1" s="3"/>
      <x:c r="L1" s="3"/>
    </x:row>
    <x:row r="2" ht="30" customHeight="1">
      <x:c r="A2" s="3"/>
      <x:c r="B2" s="3"/>
      <x:c r="C2" s="3"/>
      <x:c r="D2" s="3"/>
      <x:c r="E2" s="3"/>
      <x:c r="F2" s="3"/>
      <x:c r="G2" s="3"/>
      <x:c r="H2" s="3"/>
      <x:c r="I2" s="3"/>
      <x:c r="J2" s="3"/>
      <x:c r="K2" s="3"/>
      <x:c r="L2" s="3"/>
    </x:row>
    <x:row r="3">
      <x:c r="A3" s="103" t="str">
        <x:f>"Scenario: "&amp;'Assumptions'!B5&amp;" | Forecast starts 10-Aug-2026 | Currency: USD | Version: 1.0"</x:f>
        <x:v>Scenario: Base | Forecast starts 10-Aug-2026 | Currency: USD | Version: 1.0</x:v>
      </x:c>
    </x:row>
    <x:row r="5">
      <x:c r="A5" s="115" t="str">
        <x:v>Opening Cash</x:v>
      </x:c>
      <x:c r="B5" s="106"/>
      <x:c r="C5" s="107"/>
      <x:c r="D5" s="115" t="str">
        <x:v>Minimum Pre-Funding Cash</x:v>
      </x:c>
      <x:c r="E5" s="106"/>
      <x:c r="F5" s="107"/>
      <x:c r="G5" s="115" t="str">
        <x:v>Peak Funding Need</x:v>
      </x:c>
      <x:c r="H5" s="106"/>
      <x:c r="I5" s="107"/>
      <x:c r="J5" s="115" t="str">
        <x:v>Ending Cash</x:v>
      </x:c>
      <x:c r="K5" s="106"/>
      <x:c r="L5" s="107"/>
    </x:row>
    <x:row r="6">
      <x:c r="A6" s="119" t="n">
        <x:f>'Assumptions'!B6</x:f>
        <x:v>20000</x:v>
      </x:c>
      <x:c r="B6" s="104"/>
      <x:c r="C6" s="109"/>
      <x:c r="D6" s="119" t="n">
        <x:f>MIN('13-Week Forecast'!B18:N18)</x:f>
        <x:v>10500</x:v>
      </x:c>
      <x:c r="E6" s="104"/>
      <x:c r="F6" s="109"/>
      <x:c r="G6" s="119" t="n">
        <x:f>MAX('13-Week Forecast'!B19:N19)</x:f>
        <x:v>4500</x:v>
      </x:c>
      <x:c r="H6" s="104"/>
      <x:c r="I6" s="109"/>
      <x:c r="J6" s="119" t="n">
        <x:f>'13-Week Forecast'!N20</x:f>
        <x:v>91700</x:v>
      </x:c>
      <x:c r="K6" s="104"/>
      <x:c r="L6" s="109"/>
    </x:row>
    <x:row r="7">
      <x:c r="A7" s="110"/>
      <x:c r="B7" s="111"/>
      <x:c r="C7" s="112"/>
      <x:c r="D7" s="110"/>
      <x:c r="E7" s="111"/>
      <x:c r="F7" s="112"/>
      <x:c r="G7" s="110"/>
      <x:c r="H7" s="111"/>
      <x:c r="I7" s="112"/>
      <x:c r="J7" s="110"/>
      <x:c r="K7" s="111"/>
      <x:c r="L7" s="112"/>
    </x:row>
    <x:row r="10">
      <x:c r="A10" s="20" t="str">
        <x:v>Week</x:v>
      </x:c>
      <x:c r="B10" s="21" t="str">
        <x:v>Pre-funding cash</x:v>
      </x:c>
      <x:c r="C10" s="21" t="str">
        <x:v>Post-funding cash</x:v>
      </x:c>
      <x:c r="D10" s="21" t="str">
        <x:v>Minimum reserve</x:v>
      </x:c>
      <x:c r="E10" s="21" t="str">
        <x:v>Funding draw</x:v>
      </x:c>
      <x:c r="F10" s="22" t="str">
        <x:v>Headroom</x:v>
      </x:c>
    </x:row>
    <x:row r="11">
      <x:c r="A11" s="23" t="str">
        <x:v>Aug 10</x:v>
      </x:c>
      <x:c r="B11" s="64" t="n">
        <x:f>'13-Week Forecast'!B18</x:f>
        <x:v>10500</x:v>
      </x:c>
      <x:c r="C11" s="64" t="n">
        <x:f>'13-Week Forecast'!B20</x:f>
        <x:v>15000</x:v>
      </x:c>
      <x:c r="D11" s="64" t="n">
        <x:f>'13-Week Forecast'!B21</x:f>
        <x:v>15000</x:v>
      </x:c>
      <x:c r="E11" s="64" t="n">
        <x:f>'13-Week Forecast'!B19</x:f>
        <x:v>4500</x:v>
      </x:c>
      <x:c r="F11" s="65" t="n">
        <x:f>'13-Week Forecast'!B22</x:f>
        <x:v>0</x:v>
      </x:c>
    </x:row>
    <x:row r="12">
      <x:c r="A12" s="23" t="str">
        <x:v>Aug 17</x:v>
      </x:c>
      <x:c r="B12" s="64" t="n">
        <x:f>'13-Week Forecast'!C18</x:f>
        <x:v>23500</x:v>
      </x:c>
      <x:c r="C12" s="64" t="n">
        <x:f>'13-Week Forecast'!C20</x:f>
        <x:v>23500</x:v>
      </x:c>
      <x:c r="D12" s="64" t="n">
        <x:f>'13-Week Forecast'!C21</x:f>
        <x:v>15000</x:v>
      </x:c>
      <x:c r="E12" s="64" t="n">
        <x:f>'13-Week Forecast'!C19</x:f>
        <x:v>0</x:v>
      </x:c>
      <x:c r="F12" s="65" t="n">
        <x:f>'13-Week Forecast'!C22</x:f>
        <x:v>8500</x:v>
      </x:c>
    </x:row>
    <x:row r="13">
      <x:c r="A13" s="23" t="str">
        <x:v>Aug 24</x:v>
      </x:c>
      <x:c r="B13" s="64" t="n">
        <x:f>'13-Week Forecast'!D18</x:f>
        <x:v>20650</x:v>
      </x:c>
      <x:c r="C13" s="64" t="n">
        <x:f>'13-Week Forecast'!D20</x:f>
        <x:v>20650</x:v>
      </x:c>
      <x:c r="D13" s="64" t="n">
        <x:f>'13-Week Forecast'!D21</x:f>
        <x:v>15000</x:v>
      </x:c>
      <x:c r="E13" s="64" t="n">
        <x:f>'13-Week Forecast'!D19</x:f>
        <x:v>0</x:v>
      </x:c>
      <x:c r="F13" s="65" t="n">
        <x:f>'13-Week Forecast'!D22</x:f>
        <x:v>5650</x:v>
      </x:c>
    </x:row>
    <x:row r="14">
      <x:c r="A14" s="23" t="str">
        <x:v>Aug 31</x:v>
      </x:c>
      <x:c r="B14" s="64" t="n">
        <x:f>'13-Week Forecast'!E18</x:f>
        <x:v>23850</x:v>
      </x:c>
      <x:c r="C14" s="64" t="n">
        <x:f>'13-Week Forecast'!E20</x:f>
        <x:v>23850</x:v>
      </x:c>
      <x:c r="D14" s="64" t="n">
        <x:f>'13-Week Forecast'!E21</x:f>
        <x:v>15000</x:v>
      </x:c>
      <x:c r="E14" s="64" t="n">
        <x:f>'13-Week Forecast'!E19</x:f>
        <x:v>0</x:v>
      </x:c>
      <x:c r="F14" s="65" t="n">
        <x:f>'13-Week Forecast'!E22</x:f>
        <x:v>8850</x:v>
      </x:c>
    </x:row>
    <x:row r="15">
      <x:c r="A15" s="23" t="str">
        <x:v>Sep 07</x:v>
      </x:c>
      <x:c r="B15" s="64" t="n">
        <x:f>'13-Week Forecast'!F18</x:f>
        <x:v>20450</x:v>
      </x:c>
      <x:c r="C15" s="64" t="n">
        <x:f>'13-Week Forecast'!F20</x:f>
        <x:v>20450</x:v>
      </x:c>
      <x:c r="D15" s="64" t="n">
        <x:f>'13-Week Forecast'!F21</x:f>
        <x:v>15000</x:v>
      </x:c>
      <x:c r="E15" s="64" t="n">
        <x:f>'13-Week Forecast'!F19</x:f>
        <x:v>0</x:v>
      </x:c>
      <x:c r="F15" s="65" t="n">
        <x:f>'13-Week Forecast'!F22</x:f>
        <x:v>5450</x:v>
      </x:c>
    </x:row>
    <x:row r="16">
      <x:c r="A16" s="23" t="str">
        <x:v>Sep 14</x:v>
      </x:c>
      <x:c r="B16" s="64" t="n">
        <x:f>'13-Week Forecast'!G18</x:f>
        <x:v>34750</x:v>
      </x:c>
      <x:c r="C16" s="64" t="n">
        <x:f>'13-Week Forecast'!G20</x:f>
        <x:v>34750</x:v>
      </x:c>
      <x:c r="D16" s="64" t="n">
        <x:f>'13-Week Forecast'!G21</x:f>
        <x:v>15000</x:v>
      </x:c>
      <x:c r="E16" s="64" t="n">
        <x:f>'13-Week Forecast'!G19</x:f>
        <x:v>0</x:v>
      </x:c>
      <x:c r="F16" s="65" t="n">
        <x:f>'13-Week Forecast'!G22</x:f>
        <x:v>19750</x:v>
      </x:c>
    </x:row>
    <x:row r="17">
      <x:c r="A17" s="23" t="str">
        <x:v>Sep 21</x:v>
      </x:c>
      <x:c r="B17" s="64" t="n">
        <x:f>'13-Week Forecast'!H18</x:f>
        <x:v>40250</x:v>
      </x:c>
      <x:c r="C17" s="64" t="n">
        <x:f>'13-Week Forecast'!H20</x:f>
        <x:v>40250</x:v>
      </x:c>
      <x:c r="D17" s="64" t="n">
        <x:f>'13-Week Forecast'!H21</x:f>
        <x:v>15000</x:v>
      </x:c>
      <x:c r="E17" s="64" t="n">
        <x:f>'13-Week Forecast'!H19</x:f>
        <x:v>0</x:v>
      </x:c>
      <x:c r="F17" s="65" t="n">
        <x:f>'13-Week Forecast'!H22</x:f>
        <x:v>25250</x:v>
      </x:c>
    </x:row>
    <x:row r="18">
      <x:c r="A18" s="23" t="str">
        <x:v>Sep 28</x:v>
      </x:c>
      <x:c r="B18" s="64" t="n">
        <x:f>'13-Week Forecast'!I18</x:f>
        <x:v>51300</x:v>
      </x:c>
      <x:c r="C18" s="64" t="n">
        <x:f>'13-Week Forecast'!I20</x:f>
        <x:v>51300</x:v>
      </x:c>
      <x:c r="D18" s="64" t="n">
        <x:f>'13-Week Forecast'!I21</x:f>
        <x:v>15000</x:v>
      </x:c>
      <x:c r="E18" s="64" t="n">
        <x:f>'13-Week Forecast'!I19</x:f>
        <x:v>0</x:v>
      </x:c>
      <x:c r="F18" s="65" t="n">
        <x:f>'13-Week Forecast'!I22</x:f>
        <x:v>36300</x:v>
      </x:c>
    </x:row>
    <x:row r="19">
      <x:c r="A19" s="23" t="str">
        <x:v>Oct 05</x:v>
      </x:c>
      <x:c r="B19" s="64" t="n">
        <x:f>'13-Week Forecast'!J18</x:f>
        <x:v>51800</x:v>
      </x:c>
      <x:c r="C19" s="64" t="n">
        <x:f>'13-Week Forecast'!J20</x:f>
        <x:v>51800</x:v>
      </x:c>
      <x:c r="D19" s="64" t="n">
        <x:f>'13-Week Forecast'!J21</x:f>
        <x:v>15000</x:v>
      </x:c>
      <x:c r="E19" s="64" t="n">
        <x:f>'13-Week Forecast'!J19</x:f>
        <x:v>0</x:v>
      </x:c>
      <x:c r="F19" s="65" t="n">
        <x:f>'13-Week Forecast'!J22</x:f>
        <x:v>36800</x:v>
      </x:c>
    </x:row>
    <x:row r="20">
      <x:c r="A20" s="23" t="str">
        <x:v>Oct 12</x:v>
      </x:c>
      <x:c r="B20" s="64" t="n">
        <x:f>'13-Week Forecast'!K18</x:f>
        <x:v>60000</x:v>
      </x:c>
      <x:c r="C20" s="64" t="n">
        <x:f>'13-Week Forecast'!K20</x:f>
        <x:v>60000</x:v>
      </x:c>
      <x:c r="D20" s="64" t="n">
        <x:f>'13-Week Forecast'!K21</x:f>
        <x:v>15000</x:v>
      </x:c>
      <x:c r="E20" s="64" t="n">
        <x:f>'13-Week Forecast'!K19</x:f>
        <x:v>0</x:v>
      </x:c>
      <x:c r="F20" s="65" t="n">
        <x:f>'13-Week Forecast'!K22</x:f>
        <x:v>45000</x:v>
      </x:c>
    </x:row>
    <x:row r="21">
      <x:c r="A21" s="23" t="str">
        <x:v>Oct 19</x:v>
      </x:c>
      <x:c r="B21" s="64" t="n">
        <x:f>'13-Week Forecast'!L18</x:f>
        <x:v>68400</x:v>
      </x:c>
      <x:c r="C21" s="64" t="n">
        <x:f>'13-Week Forecast'!L20</x:f>
        <x:v>68400</x:v>
      </x:c>
      <x:c r="D21" s="64" t="n">
        <x:f>'13-Week Forecast'!L21</x:f>
        <x:v>15000</x:v>
      </x:c>
      <x:c r="E21" s="64" t="n">
        <x:f>'13-Week Forecast'!L19</x:f>
        <x:v>0</x:v>
      </x:c>
      <x:c r="F21" s="65" t="n">
        <x:f>'13-Week Forecast'!L22</x:f>
        <x:v>53400</x:v>
      </x:c>
    </x:row>
    <x:row r="22">
      <x:c r="A22" s="23" t="str">
        <x:v>Oct 26</x:v>
      </x:c>
      <x:c r="B22" s="64" t="n">
        <x:f>'13-Week Forecast'!M18</x:f>
        <x:v>87400</x:v>
      </x:c>
      <x:c r="C22" s="64" t="n">
        <x:f>'13-Week Forecast'!M20</x:f>
        <x:v>87400</x:v>
      </x:c>
      <x:c r="D22" s="64" t="n">
        <x:f>'13-Week Forecast'!M21</x:f>
        <x:v>15000</x:v>
      </x:c>
      <x:c r="E22" s="64" t="n">
        <x:f>'13-Week Forecast'!M19</x:f>
        <x:v>0</x:v>
      </x:c>
      <x:c r="F22" s="65" t="n">
        <x:f>'13-Week Forecast'!M22</x:f>
        <x:v>72400</x:v>
      </x:c>
    </x:row>
    <x:row r="23">
      <x:c r="A23" s="29" t="str">
        <x:v>Nov 02</x:v>
      </x:c>
      <x:c r="B23" s="66" t="n">
        <x:f>'13-Week Forecast'!N18</x:f>
        <x:v>91700</x:v>
      </x:c>
      <x:c r="C23" s="66" t="n">
        <x:f>'13-Week Forecast'!N20</x:f>
        <x:v>91700</x:v>
      </x:c>
      <x:c r="D23" s="66" t="n">
        <x:f>'13-Week Forecast'!N21</x:f>
        <x:v>15000</x:v>
      </x:c>
      <x:c r="E23" s="66" t="n">
        <x:f>'13-Week Forecast'!N19</x:f>
        <x:v>0</x:v>
      </x:c>
      <x:c r="F23" s="67" t="n">
        <x:f>'13-Week Forecast'!N22</x:f>
        <x:v>76700</x:v>
      </x:c>
    </x:row>
    <x:row r="26">
      <x:c r="A26" s="14" t="str">
        <x:v>MANAGEMENT ACTIONS</x:v>
      </x:c>
      <x:c r="B26" s="15"/>
      <x:c r="C26" s="15"/>
      <x:c r="D26" s="15"/>
      <x:c r="E26" s="15"/>
      <x:c r="F26" s="15"/>
      <x:c r="G26" s="15"/>
      <x:c r="H26" s="15"/>
      <x:c r="I26" s="15"/>
      <x:c r="J26" s="15"/>
      <x:c r="K26" s="15"/>
      <x:c r="L26" s="16"/>
    </x:row>
    <x:row r="27">
      <x:c r="A27" s="87" t="str">
        <x:v>1. Accelerate collection of the largest receivables before weeks with payroll, tax, or rent concentration.
2. Keep the credit facility available; draw only enough to restore the minimum cash reserve.
3. Review the downside case weekly and delay nonessential capital expenditure if collection slippage appears.
4. Refresh the 13-week schedule every Monday using actual bank balances, updated invoice dates, and committed payments.</x:v>
      </x:c>
      <x:c r="B27" s="88"/>
      <x:c r="C27" s="88"/>
      <x:c r="D27" s="88"/>
      <x:c r="E27" s="88"/>
      <x:c r="F27" s="88"/>
      <x:c r="G27" s="88"/>
      <x:c r="H27" s="88"/>
      <x:c r="I27" s="88"/>
      <x:c r="J27" s="88"/>
      <x:c r="K27" s="88"/>
      <x:c r="L27" s="89"/>
    </x:row>
    <x:row r="28">
      <x:c r="A28" s="90"/>
      <x:c r="B28" s="91"/>
      <x:c r="C28" s="91"/>
      <x:c r="D28" s="91"/>
      <x:c r="E28" s="91"/>
      <x:c r="F28" s="91"/>
      <x:c r="G28" s="91"/>
      <x:c r="H28" s="91"/>
      <x:c r="I28" s="91"/>
      <x:c r="J28" s="91"/>
      <x:c r="K28" s="91"/>
      <x:c r="L28" s="92"/>
    </x:row>
    <x:row r="29">
      <x:c r="A29" s="90"/>
      <x:c r="B29" s="91"/>
      <x:c r="C29" s="91"/>
      <x:c r="D29" s="91"/>
      <x:c r="E29" s="91"/>
      <x:c r="F29" s="91"/>
      <x:c r="G29" s="91"/>
      <x:c r="H29" s="91"/>
      <x:c r="I29" s="91"/>
      <x:c r="J29" s="91"/>
      <x:c r="K29" s="91"/>
      <x:c r="L29" s="92"/>
    </x:row>
    <x:row r="30">
      <x:c r="A30" s="90"/>
      <x:c r="B30" s="91"/>
      <x:c r="C30" s="91"/>
      <x:c r="D30" s="91"/>
      <x:c r="E30" s="91"/>
      <x:c r="F30" s="91"/>
      <x:c r="G30" s="91"/>
      <x:c r="H30" s="91"/>
      <x:c r="I30" s="91"/>
      <x:c r="J30" s="91"/>
      <x:c r="K30" s="91"/>
      <x:c r="L30" s="92"/>
    </x:row>
    <x:row r="31">
      <x:c r="A31" s="93"/>
      <x:c r="B31" s="94"/>
      <x:c r="C31" s="94"/>
      <x:c r="D31" s="94"/>
      <x:c r="E31" s="94"/>
      <x:c r="F31" s="94"/>
      <x:c r="G31" s="94"/>
      <x:c r="H31" s="94"/>
      <x:c r="I31" s="94"/>
      <x:c r="J31" s="94"/>
      <x:c r="K31" s="94"/>
      <x:c r="L31" s="95"/>
    </x:row>
  </x:sheetData>
  <x:mergeCells>
    <x:mergeCell ref="A1:L2"/>
    <x:mergeCell ref="A3:L3"/>
    <x:mergeCell ref="A5:C5"/>
    <x:mergeCell ref="A6:C7"/>
    <x:mergeCell ref="D5:F5"/>
    <x:mergeCell ref="D6:F7"/>
    <x:mergeCell ref="G5:I5"/>
    <x:mergeCell ref="G6:I7"/>
    <x:mergeCell ref="J5:L5"/>
    <x:mergeCell ref="J6:L7"/>
    <x:mergeCell ref="A26:L26"/>
    <x:mergeCell ref="A27:L31"/>
  </x:mergeCells>
  <x:pageMargins left="0.7" right="0.7" top="0.75" bottom="0.75" header="0.3" footer="0.3"/>
  <x:drawing xmlns:r="http://schemas.openxmlformats.org/officeDocument/2006/relationships" r:id="R7e486ac2e72d40df"/>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16" hidden="0" customWidth="1"/>
    <x:col min="4" max="4" width="44" hidden="0" customWidth="1"/>
    <x:col min="5" max="5" width="19" hidden="0" customWidth="1"/>
    <x:col min="6" max="6" width="14" hidden="0" customWidth="1"/>
  </x:cols>
  <x:sheetData>
    <x:row r="1" ht="30" customHeight="1">
      <x:c r="A1" s="3" t="str">
        <x:v>13-WEEK CASH-FLOW FORECAST — ASSUMPTIONS</x:v>
      </x:c>
      <x:c r="B1" s="3"/>
      <x:c r="C1" s="3"/>
      <x:c r="D1" s="3"/>
      <x:c r="E1" s="3"/>
      <x:c r="F1" s="3"/>
    </x:row>
    <x:row r="2" ht="30" customHeight="1">
      <x:c r="A2" s="3"/>
      <x:c r="B2" s="3"/>
      <x:c r="C2" s="3"/>
      <x:c r="D2" s="3"/>
      <x:c r="E2" s="3"/>
      <x:c r="F2" s="3"/>
    </x:row>
    <x:row r="4">
      <x:c r="A4" s="20" t="str">
        <x:v>Model control</x:v>
      </x:c>
      <x:c r="B4" s="21" t="str">
        <x:v>Value</x:v>
      </x:c>
      <x:c r="C4" s="21" t="str">
        <x:v>Unit</x:v>
      </x:c>
      <x:c r="D4" s="22" t="str">
        <x:v>Notes</x:v>
      </x:c>
    </x:row>
    <x:row r="5">
      <x:c r="A5" s="23" t="str">
        <x:v>Selected scenario</x:v>
      </x:c>
      <x:c r="B5" s="24" t="str">
        <x:v>Base</x:v>
      </x:c>
      <x:c r="C5" s="25" t="str">
        <x:v>Case</x:v>
      </x:c>
      <x:c r="D5" s="33" t="str">
        <x:v>Choose Base, Upside, or Downside</x:v>
      </x:c>
    </x:row>
    <x:row r="6">
      <x:c r="A6" s="23" t="str">
        <x:v>Opening cash</x:v>
      </x:c>
      <x:c r="B6" s="27" t="n">
        <x:v>20000</x:v>
      </x:c>
      <x:c r="C6" s="25" t="str">
        <x:v>USD</x:v>
      </x:c>
      <x:c r="D6" s="33" t="str">
        <x:v>Cash available at start of week 1</x:v>
      </x:c>
    </x:row>
    <x:row r="7">
      <x:c r="A7" s="23" t="str">
        <x:v>Minimum cash reserve</x:v>
      </x:c>
      <x:c r="B7" s="27" t="n">
        <x:v>15000</x:v>
      </x:c>
      <x:c r="C7" s="25" t="str">
        <x:v>USD</x:v>
      </x:c>
      <x:c r="D7" s="33" t="str">
        <x:v>Management liquidity floor</x:v>
      </x:c>
    </x:row>
    <x:row r="8">
      <x:c r="A8" s="23" t="str">
        <x:v>Available credit line</x:v>
      </x:c>
      <x:c r="B8" s="27" t="n">
        <x:v>30000</x:v>
      </x:c>
      <x:c r="C8" s="25" t="str">
        <x:v>USD</x:v>
      </x:c>
      <x:c r="D8" s="33" t="str">
        <x:v>Undrawn emergency facility</x:v>
      </x:c>
    </x:row>
    <x:row r="9">
      <x:c r="A9" s="23" t="str">
        <x:v>Upside collections multiplier</x:v>
      </x:c>
      <x:c r="B9" s="28" t="n">
        <x:v>1.1</x:v>
      </x:c>
      <x:c r="C9" s="25" t="str">
        <x:v>% of base</x:v>
      </x:c>
      <x:c r="D9" s="33" t="str">
        <x:v>Faster collections / stronger receipts</x:v>
      </x:c>
    </x:row>
    <x:row r="10">
      <x:c r="A10" s="23" t="str">
        <x:v>Upside payments multiplier</x:v>
      </x:c>
      <x:c r="B10" s="28" t="n">
        <x:v>0.97</x:v>
      </x:c>
      <x:c r="C10" s="25" t="str">
        <x:v>% of base</x:v>
      </x:c>
      <x:c r="D10" s="33" t="str">
        <x:v>Small discretionary savings</x:v>
      </x:c>
    </x:row>
    <x:row r="11">
      <x:c r="A11" s="23" t="str">
        <x:v>Downside collections multiplier</x:v>
      </x:c>
      <x:c r="B11" s="28" t="n">
        <x:v>0.82</x:v>
      </x:c>
      <x:c r="C11" s="25" t="str">
        <x:v>% of base</x:v>
      </x:c>
      <x:c r="D11" s="33" t="str">
        <x:v>Delayed collections / weaker receipts</x:v>
      </x:c>
    </x:row>
    <x:row r="12">
      <x:c r="A12" s="29" t="str">
        <x:v>Downside payments multiplier</x:v>
      </x:c>
      <x:c r="B12" s="30" t="n">
        <x:v>1.05</x:v>
      </x:c>
      <x:c r="C12" s="31" t="str">
        <x:v>% of base</x:v>
      </x:c>
      <x:c r="D12" s="34" t="str">
        <x:v>Cost pressure and timing risk</x:v>
      </x:c>
    </x:row>
    <x:row r="15">
      <x:c r="A15" s="20" t="str">
        <x:v>Scenario</x:v>
      </x:c>
      <x:c r="B15" s="21" t="str">
        <x:v>Collection multiplier</x:v>
      </x:c>
      <x:c r="C15" s="21" t="str">
        <x:v>Payment multiplier</x:v>
      </x:c>
      <x:c r="D15" s="21" t="str">
        <x:v>Interpretation</x:v>
      </x:c>
      <x:c r="E15" s="21" t="str">
        <x:v>Owner</x:v>
      </x:c>
      <x:c r="F15" s="22" t="str">
        <x:v>As-of</x:v>
      </x:c>
    </x:row>
    <x:row r="16">
      <x:c r="A16" s="23" t="str">
        <x:v>Base</x:v>
      </x:c>
      <x:c r="B16" s="36" t="n">
        <x:v>1</x:v>
      </x:c>
      <x:c r="C16" s="36" t="n">
        <x:v>1</x:v>
      </x:c>
      <x:c r="D16" s="25" t="str">
        <x:v>Current expected timing</x:v>
      </x:c>
      <x:c r="E16" s="25" t="str">
        <x:v>Owner / Finance</x:v>
      </x:c>
      <x:c r="F16" s="26" t="str">
        <x:v>2026-08-08</x:v>
      </x:c>
    </x:row>
    <x:row r="17">
      <x:c r="A17" s="23" t="str">
        <x:v>Upside</x:v>
      </x:c>
      <x:c r="B17" s="36" t="n">
        <x:v>1.1</x:v>
      </x:c>
      <x:c r="C17" s="36" t="n">
        <x:v>0.97</x:v>
      </x:c>
      <x:c r="D17" s="25" t="str">
        <x:v>Faster collections and modest savings</x:v>
      </x:c>
      <x:c r="E17" s="25" t="str">
        <x:v>Owner / Finance</x:v>
      </x:c>
      <x:c r="F17" s="26" t="str">
        <x:v>2026-08-08</x:v>
      </x:c>
    </x:row>
    <x:row r="18">
      <x:c r="A18" s="29" t="str">
        <x:v>Downside</x:v>
      </x:c>
      <x:c r="B18" s="37" t="n">
        <x:v>0.82</x:v>
      </x:c>
      <x:c r="C18" s="37" t="n">
        <x:v>1.05</x:v>
      </x:c>
      <x:c r="D18" s="31" t="str">
        <x:v>Collection delays and cost pressure</x:v>
      </x:c>
      <x:c r="E18" s="31" t="str">
        <x:v>Owner / Finance</x:v>
      </x:c>
      <x:c r="F18" s="32" t="str">
        <x:v>2026-08-08</x:v>
      </x:c>
    </x:row>
  </x:sheetData>
  <x:mergeCells>
    <x:mergeCell ref="A1:F2"/>
  </x:mergeCells>
  <x:dataValidations count="1">
    <x:dataValidation type="list" sqref="B5">
      <x:formula1>"Base,Upside,Downside"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x:c r="A1" s="3" t="str">
        <x:v>13-WEEK CASH-FLOW FORECAST — WEEKLY MODEL</x:v>
      </x:c>
      <x:c r="B1" s="3"/>
      <x:c r="C1" s="3"/>
      <x:c r="D1" s="3"/>
      <x:c r="E1" s="3"/>
      <x:c r="F1" s="3"/>
      <x:c r="G1" s="3"/>
      <x:c r="H1" s="3"/>
      <x:c r="I1" s="3"/>
      <x:c r="J1" s="3"/>
      <x:c r="K1" s="3"/>
      <x:c r="L1" s="3"/>
      <x:c r="M1" s="3"/>
      <x:c r="N1" s="3"/>
      <x:c r="O1" s="3"/>
    </x:row>
    <x:row r="2">
      <x:c r="A2" s="3"/>
      <x:c r="B2" s="3"/>
      <x:c r="C2" s="3"/>
      <x:c r="D2" s="3"/>
      <x:c r="E2" s="3"/>
      <x:c r="F2" s="3"/>
      <x:c r="G2" s="3"/>
      <x:c r="H2" s="3"/>
      <x:c r="I2" s="3"/>
      <x:c r="J2" s="3"/>
      <x:c r="K2" s="3"/>
      <x:c r="L2" s="3"/>
      <x:c r="M2" s="3"/>
      <x:c r="N2" s="3"/>
      <x:c r="O2" s="3"/>
    </x:row>
    <x:row r="3">
      <x:c r="A3" s="20" t="str">
        <x:v>USD | Selected scenario</x:v>
      </x:c>
      <x:c r="B3" s="50" t="n">
        <x:v>46244</x:v>
      </x:c>
      <x:c r="C3" s="50" t="n">
        <x:v>46251</x:v>
      </x:c>
      <x:c r="D3" s="50" t="n">
        <x:v>46258</x:v>
      </x:c>
      <x:c r="E3" s="50" t="n">
        <x:v>46265</x:v>
      </x:c>
      <x:c r="F3" s="50" t="n">
        <x:v>46272</x:v>
      </x:c>
      <x:c r="G3" s="50" t="n">
        <x:v>46279</x:v>
      </x:c>
      <x:c r="H3" s="50" t="n">
        <x:v>46286</x:v>
      </x:c>
      <x:c r="I3" s="50" t="n">
        <x:v>46293</x:v>
      </x:c>
      <x:c r="J3" s="50" t="n">
        <x:v>46300</x:v>
      </x:c>
      <x:c r="K3" s="50" t="n">
        <x:v>46307</x:v>
      </x:c>
      <x:c r="L3" s="50" t="n">
        <x:v>46314</x:v>
      </x:c>
      <x:c r="M3" s="50" t="n">
        <x:v>46321</x:v>
      </x:c>
      <x:c r="N3" s="50" t="n">
        <x:v>46328</x:v>
      </x:c>
      <x:c r="O3" s="22" t="str">
        <x:v>13-Week Total</x:v>
      </x:c>
    </x:row>
    <x:row r="4">
      <x:c r="A4" s="23" t="str">
        <x:v>Opening cash</x:v>
      </x:c>
      <x:c r="B4" s="51" t="n">
        <x:f>'Assumptions'!$B$6</x:f>
        <x:v>20000</x:v>
      </x:c>
      <x:c r="C4" s="51" t="n">
        <x:f>B20</x:f>
        <x:v>15000</x:v>
      </x:c>
      <x:c r="D4" s="51" t="n">
        <x:f>C20</x:f>
        <x:v>23500</x:v>
      </x:c>
      <x:c r="E4" s="51" t="n">
        <x:f>D20</x:f>
        <x:v>20650</x:v>
      </x:c>
      <x:c r="F4" s="51" t="n">
        <x:f>E20</x:f>
        <x:v>23850</x:v>
      </x:c>
      <x:c r="G4" s="51" t="n">
        <x:f>F20</x:f>
        <x:v>20450</x:v>
      </x:c>
      <x:c r="H4" s="51" t="n">
        <x:f>G20</x:f>
        <x:v>34750</x:v>
      </x:c>
      <x:c r="I4" s="51" t="n">
        <x:f>H20</x:f>
        <x:v>40250</x:v>
      </x:c>
      <x:c r="J4" s="51" t="n">
        <x:f>I20</x:f>
        <x:v>51300</x:v>
      </x:c>
      <x:c r="K4" s="51" t="n">
        <x:f>J20</x:f>
        <x:v>51800</x:v>
      </x:c>
      <x:c r="L4" s="51" t="n">
        <x:f>K20</x:f>
        <x:v>60000</x:v>
      </x:c>
      <x:c r="M4" s="51" t="n">
        <x:f>L20</x:f>
        <x:v>68400</x:v>
      </x:c>
      <x:c r="N4" s="51" t="n">
        <x:f>M20</x:f>
        <x:v>87400</x:v>
      </x:c>
      <x:c r="O4" s="52" t="n">
        <x:f>B4</x:f>
        <x:v>20000</x:v>
      </x:c>
    </x:row>
    <x:row r="5">
      <x:c r="A5" s="53" t="str">
        <x:v>Cash inflows</x:v>
      </x:c>
      <x:c r="B5" s="54"/>
      <x:c r="C5" s="54"/>
      <x:c r="D5" s="54"/>
      <x:c r="E5" s="54"/>
      <x:c r="F5" s="54"/>
      <x:c r="G5" s="54"/>
      <x:c r="H5" s="54"/>
      <x:c r="I5" s="54"/>
      <x:c r="J5" s="54"/>
      <x:c r="K5" s="54"/>
      <x:c r="L5" s="54"/>
      <x:c r="M5" s="54"/>
      <x:c r="N5" s="54"/>
      <x:c r="O5" s="55"/>
    </x:row>
    <x:row r="6">
      <x:c r="A6" s="23" t="str">
        <x:v>Customer collections</x:v>
      </x:c>
      <x:c r="B6" s="56" t="n">
        <x:f>12600*IF('Assumptions'!$B$5="Upside",'Assumptions'!$B$9,IF('Assumptions'!$B$5="Downside",'Assumptions'!$B$11,1))</x:f>
        <x:v>12600</x:v>
      </x:c>
      <x:c r="C6" s="56" t="n">
        <x:f>15800*IF('Assumptions'!$B$5="Upside",'Assumptions'!$B$9,IF('Assumptions'!$B$5="Downside",'Assumptions'!$B$11,1))</x:f>
        <x:v>15800</x:v>
      </x:c>
      <x:c r="D6" s="56" t="n">
        <x:f>17200*IF('Assumptions'!$B$5="Upside",'Assumptions'!$B$9,IF('Assumptions'!$B$5="Downside",'Assumptions'!$B$11,1))</x:f>
        <x:v>17200</x:v>
      </x:c>
      <x:c r="E6" s="56" t="n">
        <x:f>18300*IF('Assumptions'!$B$5="Upside",'Assumptions'!$B$9,IF('Assumptions'!$B$5="Downside",'Assumptions'!$B$11,1))</x:f>
        <x:v>18300</x:v>
      </x:c>
      <x:c r="F6" s="56" t="n">
        <x:f>20100*IF('Assumptions'!$B$5="Upside",'Assumptions'!$B$9,IF('Assumptions'!$B$5="Downside",'Assumptions'!$B$11,1))</x:f>
        <x:v>20100</x:v>
      </x:c>
      <x:c r="G6" s="56" t="n">
        <x:f>21700*IF('Assumptions'!$B$5="Upside",'Assumptions'!$B$9,IF('Assumptions'!$B$5="Downside",'Assumptions'!$B$11,1))</x:f>
        <x:v>21700</x:v>
      </x:c>
      <x:c r="H6" s="56" t="n">
        <x:f>22900*IF('Assumptions'!$B$5="Upside",'Assumptions'!$B$9,IF('Assumptions'!$B$5="Downside",'Assumptions'!$B$11,1))</x:f>
        <x:v>22900</x:v>
      </x:c>
      <x:c r="I6" s="56" t="n">
        <x:f>23800*IF('Assumptions'!$B$5="Upside",'Assumptions'!$B$9,IF('Assumptions'!$B$5="Downside",'Assumptions'!$B$11,1))</x:f>
        <x:v>23800</x:v>
      </x:c>
      <x:c r="J6" s="56" t="n">
        <x:f>24600*IF('Assumptions'!$B$5="Upside",'Assumptions'!$B$9,IF('Assumptions'!$B$5="Downside",'Assumptions'!$B$11,1))</x:f>
        <x:v>24600</x:v>
      </x:c>
      <x:c r="K6" s="56" t="n">
        <x:f>25500*IF('Assumptions'!$B$5="Upside",'Assumptions'!$B$9,IF('Assumptions'!$B$5="Downside",'Assumptions'!$B$11,1))</x:f>
        <x:v>25500</x:v>
      </x:c>
      <x:c r="L6" s="56" t="n">
        <x:f>26700*IF('Assumptions'!$B$5="Upside",'Assumptions'!$B$9,IF('Assumptions'!$B$5="Downside",'Assumptions'!$B$11,1))</x:f>
        <x:v>26700</x:v>
      </x:c>
      <x:c r="M6" s="56" t="n">
        <x:f>27600*IF('Assumptions'!$B$5="Upside",'Assumptions'!$B$9,IF('Assumptions'!$B$5="Downside",'Assumptions'!$B$11,1))</x:f>
        <x:v>27600</x:v>
      </x:c>
      <x:c r="N6" s="56" t="n">
        <x:f>29200*IF('Assumptions'!$B$5="Upside",'Assumptions'!$B$9,IF('Assumptions'!$B$5="Downside",'Assumptions'!$B$11,1))</x:f>
        <x:v>29200</x:v>
      </x:c>
      <x:c r="O6" s="52" t="n">
        <x:f>SUM(B6:N6)</x:f>
        <x:v>286000</x:v>
      </x:c>
    </x:row>
    <x:row r="7">
      <x:c r="A7" s="23" t="str">
        <x:v>Other receipts</x:v>
      </x:c>
      <x:c r="B7" s="56" t="n">
        <x:v>0</x:v>
      </x:c>
      <x:c r="C7" s="56" t="n">
        <x:v>0</x:v>
      </x:c>
      <x:c r="D7" s="56" t="n">
        <x:v>0</x:v>
      </x:c>
      <x:c r="E7" s="56" t="n">
        <x:v>0</x:v>
      </x:c>
      <x:c r="F7" s="56" t="n">
        <x:v>0</x:v>
      </x:c>
      <x:c r="G7" s="56" t="n">
        <x:v>0</x:v>
      </x:c>
      <x:c r="H7" s="56" t="n">
        <x:v>0</x:v>
      </x:c>
      <x:c r="I7" s="56" t="n">
        <x:v>0</x:v>
      </x:c>
      <x:c r="J7" s="56" t="n">
        <x:v>0</x:v>
      </x:c>
      <x:c r="K7" s="56" t="n">
        <x:v>0</x:v>
      </x:c>
      <x:c r="L7" s="56" t="n">
        <x:v>0</x:v>
      </x:c>
      <x:c r="M7" s="56" t="n">
        <x:v>0</x:v>
      </x:c>
      <x:c r="N7" s="56" t="n">
        <x:v>0</x:v>
      </x:c>
      <x:c r="O7" s="52" t="n">
        <x:f>SUM(B7:N7)</x:f>
        <x:v>0</x:v>
      </x:c>
    </x:row>
    <x:row r="8">
      <x:c r="A8" s="57" t="str">
        <x:v>Total inflows</x:v>
      </x:c>
      <x:c r="B8" s="58" t="n">
        <x:f>SUM(B6:B7)</x:f>
        <x:v>12600</x:v>
      </x:c>
      <x:c r="C8" s="58" t="n">
        <x:f>SUM(C6:C7)</x:f>
        <x:v>15800</x:v>
      </x:c>
      <x:c r="D8" s="58" t="n">
        <x:f>SUM(D6:D7)</x:f>
        <x:v>17200</x:v>
      </x:c>
      <x:c r="E8" s="58" t="n">
        <x:f>SUM(E6:E7)</x:f>
        <x:v>18300</x:v>
      </x:c>
      <x:c r="F8" s="58" t="n">
        <x:f>SUM(F6:F7)</x:f>
        <x:v>20100</x:v>
      </x:c>
      <x:c r="G8" s="58" t="n">
        <x:f>SUM(G6:G7)</x:f>
        <x:v>21700</x:v>
      </x:c>
      <x:c r="H8" s="58" t="n">
        <x:f>SUM(H6:H7)</x:f>
        <x:v>22900</x:v>
      </x:c>
      <x:c r="I8" s="58" t="n">
        <x:f>SUM(I6:I7)</x:f>
        <x:v>23800</x:v>
      </x:c>
      <x:c r="J8" s="58" t="n">
        <x:f>SUM(J6:J7)</x:f>
        <x:v>24600</x:v>
      </x:c>
      <x:c r="K8" s="58" t="n">
        <x:f>SUM(K6:K7)</x:f>
        <x:v>25500</x:v>
      </x:c>
      <x:c r="L8" s="58" t="n">
        <x:f>SUM(L6:L7)</x:f>
        <x:v>26700</x:v>
      </x:c>
      <x:c r="M8" s="58" t="n">
        <x:f>SUM(M6:M7)</x:f>
        <x:v>27600</x:v>
      </x:c>
      <x:c r="N8" s="58" t="n">
        <x:f>SUM(N6:N7)</x:f>
        <x:v>29200</x:v>
      </x:c>
      <x:c r="O8" s="59" t="n">
        <x:f>SUM(B8:N8)</x:f>
        <x:v>286000</x:v>
      </x:c>
    </x:row>
    <x:row r="9">
      <x:c r="A9" s="53" t="str">
        <x:v>Cash outflows</x:v>
      </x:c>
      <x:c r="B9" s="54"/>
      <x:c r="C9" s="54"/>
      <x:c r="D9" s="54"/>
      <x:c r="E9" s="54"/>
      <x:c r="F9" s="54"/>
      <x:c r="G9" s="54"/>
      <x:c r="H9" s="54"/>
      <x:c r="I9" s="54"/>
      <x:c r="J9" s="54"/>
      <x:c r="K9" s="54"/>
      <x:c r="L9" s="54"/>
      <x:c r="M9" s="54"/>
      <x:c r="N9" s="54"/>
      <x:c r="O9" s="55"/>
    </x:row>
    <x:row r="10">
      <x:c r="A10" s="23" t="str">
        <x:v>Payroll</x:v>
      </x:c>
      <x:c r="B10" s="56" t="n">
        <x:f>9200*IF('Assumptions'!$B$5="Upside",'Assumptions'!$B$10,IF('Assumptions'!$B$5="Downside",'Assumptions'!$B$12,1))</x:f>
        <x:v>9200</x:v>
      </x:c>
      <x:c r="C10" s="56" t="n">
        <x:f>0*IF('Assumptions'!$B$5="Upside",'Assumptions'!$B$10,IF('Assumptions'!$B$5="Downside",'Assumptions'!$B$12,1))</x:f>
        <x:v>0</x:v>
      </x:c>
      <x:c r="D10" s="56" t="n">
        <x:f>9200*IF('Assumptions'!$B$5="Upside",'Assumptions'!$B$10,IF('Assumptions'!$B$5="Downside",'Assumptions'!$B$12,1))</x:f>
        <x:v>9200</x:v>
      </x:c>
      <x:c r="E10" s="56" t="n">
        <x:f>0*IF('Assumptions'!$B$5="Upside",'Assumptions'!$B$10,IF('Assumptions'!$B$5="Downside",'Assumptions'!$B$12,1))</x:f>
        <x:v>0</x:v>
      </x:c>
      <x:c r="F10" s="56" t="n">
        <x:f>9200*IF('Assumptions'!$B$5="Upside",'Assumptions'!$B$10,IF('Assumptions'!$B$5="Downside",'Assumptions'!$B$12,1))</x:f>
        <x:v>9200</x:v>
      </x:c>
      <x:c r="G10" s="56" t="n">
        <x:f>0*IF('Assumptions'!$B$5="Upside",'Assumptions'!$B$10,IF('Assumptions'!$B$5="Downside",'Assumptions'!$B$12,1))</x:f>
        <x:v>0</x:v>
      </x:c>
      <x:c r="H10" s="56" t="n">
        <x:f>9200*IF('Assumptions'!$B$5="Upside",'Assumptions'!$B$10,IF('Assumptions'!$B$5="Downside",'Assumptions'!$B$12,1))</x:f>
        <x:v>9200</x:v>
      </x:c>
      <x:c r="I10" s="56" t="n">
        <x:f>0*IF('Assumptions'!$B$5="Upside",'Assumptions'!$B$10,IF('Assumptions'!$B$5="Downside",'Assumptions'!$B$12,1))</x:f>
        <x:v>0</x:v>
      </x:c>
      <x:c r="J10" s="56" t="n">
        <x:f>9200*IF('Assumptions'!$B$5="Upside",'Assumptions'!$B$10,IF('Assumptions'!$B$5="Downside",'Assumptions'!$B$12,1))</x:f>
        <x:v>9200</x:v>
      </x:c>
      <x:c r="K10" s="56" t="n">
        <x:f>0*IF('Assumptions'!$B$5="Upside",'Assumptions'!$B$10,IF('Assumptions'!$B$5="Downside",'Assumptions'!$B$12,1))</x:f>
        <x:v>0</x:v>
      </x:c>
      <x:c r="L10" s="56" t="n">
        <x:f>9200*IF('Assumptions'!$B$5="Upside",'Assumptions'!$B$10,IF('Assumptions'!$B$5="Downside",'Assumptions'!$B$12,1))</x:f>
        <x:v>9200</x:v>
      </x:c>
      <x:c r="M10" s="56" t="n">
        <x:f>0*IF('Assumptions'!$B$5="Upside",'Assumptions'!$B$10,IF('Assumptions'!$B$5="Downside",'Assumptions'!$B$12,1))</x:f>
        <x:v>0</x:v>
      </x:c>
      <x:c r="N10" s="56" t="n">
        <x:f>9200*IF('Assumptions'!$B$5="Upside",'Assumptions'!$B$10,IF('Assumptions'!$B$5="Downside",'Assumptions'!$B$12,1))</x:f>
        <x:v>9200</x:v>
      </x:c>
      <x:c r="O10" s="52" t="n">
        <x:f>SUM(B10:N10)</x:f>
        <x:v>64400</x:v>
      </x:c>
    </x:row>
    <x:row r="11">
      <x:c r="A11" s="23" t="str">
        <x:v>Suppliers</x:v>
      </x:c>
      <x:c r="B11" s="56" t="n">
        <x:f>4300*IF('Assumptions'!$B$5="Upside",'Assumptions'!$B$10,IF('Assumptions'!$B$5="Downside",'Assumptions'!$B$12,1))</x:f>
        <x:v>4300</x:v>
      </x:c>
      <x:c r="C11" s="56" t="n">
        <x:f>4700*IF('Assumptions'!$B$5="Upside",'Assumptions'!$B$10,IF('Assumptions'!$B$5="Downside",'Assumptions'!$B$12,1))</x:f>
        <x:v>4700</x:v>
      </x:c>
      <x:c r="D11" s="56" t="n">
        <x:f>5100*IF('Assumptions'!$B$5="Upside",'Assumptions'!$B$10,IF('Assumptions'!$B$5="Downside",'Assumptions'!$B$12,1))</x:f>
        <x:v>5100</x:v>
      </x:c>
      <x:c r="E11" s="56" t="n">
        <x:f>4800*IF('Assumptions'!$B$5="Upside",'Assumptions'!$B$10,IF('Assumptions'!$B$5="Downside",'Assumptions'!$B$12,1))</x:f>
        <x:v>4800</x:v>
      </x:c>
      <x:c r="F11" s="56" t="n">
        <x:f>5400*IF('Assumptions'!$B$5="Upside",'Assumptions'!$B$10,IF('Assumptions'!$B$5="Downside",'Assumptions'!$B$12,1))</x:f>
        <x:v>5400</x:v>
      </x:c>
      <x:c r="G11" s="56" t="n">
        <x:f>5100*IF('Assumptions'!$B$5="Upside",'Assumptions'!$B$10,IF('Assumptions'!$B$5="Downside",'Assumptions'!$B$12,1))</x:f>
        <x:v>5100</x:v>
      </x:c>
      <x:c r="H11" s="56" t="n">
        <x:f>5600*IF('Assumptions'!$B$5="Upside",'Assumptions'!$B$10,IF('Assumptions'!$B$5="Downside",'Assumptions'!$B$12,1))</x:f>
        <x:v>5600</x:v>
      </x:c>
      <x:c r="I11" s="56" t="n">
        <x:f>5500*IF('Assumptions'!$B$5="Upside",'Assumptions'!$B$10,IF('Assumptions'!$B$5="Downside",'Assumptions'!$B$12,1))</x:f>
        <x:v>5500</x:v>
      </x:c>
      <x:c r="J11" s="56" t="n">
        <x:f>5900*IF('Assumptions'!$B$5="Upside",'Assumptions'!$B$10,IF('Assumptions'!$B$5="Downside",'Assumptions'!$B$12,1))</x:f>
        <x:v>5900</x:v>
      </x:c>
      <x:c r="K11" s="56" t="n">
        <x:f>5700*IF('Assumptions'!$B$5="Upside",'Assumptions'!$B$10,IF('Assumptions'!$B$5="Downside",'Assumptions'!$B$12,1))</x:f>
        <x:v>5700</x:v>
      </x:c>
      <x:c r="L11" s="56" t="n">
        <x:f>6200*IF('Assumptions'!$B$5="Upside",'Assumptions'!$B$10,IF('Assumptions'!$B$5="Downside",'Assumptions'!$B$12,1))</x:f>
        <x:v>6200</x:v>
      </x:c>
      <x:c r="M11" s="56" t="n">
        <x:f>6000*IF('Assumptions'!$B$5="Upside",'Assumptions'!$B$10,IF('Assumptions'!$B$5="Downside",'Assumptions'!$B$12,1))</x:f>
        <x:v>6000</x:v>
      </x:c>
      <x:c r="N11" s="56" t="n">
        <x:f>6500*IF('Assumptions'!$B$5="Upside",'Assumptions'!$B$10,IF('Assumptions'!$B$5="Downside",'Assumptions'!$B$12,1))</x:f>
        <x:v>6500</x:v>
      </x:c>
      <x:c r="O11" s="52" t="n">
        <x:f>SUM(B11:N11)</x:f>
        <x:v>70800</x:v>
      </x:c>
    </x:row>
    <x:row r="12">
      <x:c r="A12" s="23" t="str">
        <x:v>Rent &amp; occupancy</x:v>
      </x:c>
      <x:c r="B12" s="56" t="n">
        <x:f>6200*IF('Assumptions'!$B$5="Upside",'Assumptions'!$B$10,IF('Assumptions'!$B$5="Downside",'Assumptions'!$B$12,1))</x:f>
        <x:v>6200</x:v>
      </x:c>
      <x:c r="C12" s="56" t="n">
        <x:f>0*IF('Assumptions'!$B$5="Upside",'Assumptions'!$B$10,IF('Assumptions'!$B$5="Downside",'Assumptions'!$B$12,1))</x:f>
        <x:v>0</x:v>
      </x:c>
      <x:c r="D12" s="56" t="n">
        <x:f>0*IF('Assumptions'!$B$5="Upside",'Assumptions'!$B$10,IF('Assumptions'!$B$5="Downside",'Assumptions'!$B$12,1))</x:f>
        <x:v>0</x:v>
      </x:c>
      <x:c r="E12" s="56" t="n">
        <x:f>0*IF('Assumptions'!$B$5="Upside",'Assumptions'!$B$10,IF('Assumptions'!$B$5="Downside",'Assumptions'!$B$12,1))</x:f>
        <x:v>0</x:v>
      </x:c>
      <x:c r="F12" s="56" t="n">
        <x:f>6200*IF('Assumptions'!$B$5="Upside",'Assumptions'!$B$10,IF('Assumptions'!$B$5="Downside",'Assumptions'!$B$12,1))</x:f>
        <x:v>6200</x:v>
      </x:c>
      <x:c r="G12" s="56" t="n">
        <x:f>0*IF('Assumptions'!$B$5="Upside",'Assumptions'!$B$10,IF('Assumptions'!$B$5="Downside",'Assumptions'!$B$12,1))</x:f>
        <x:v>0</x:v>
      </x:c>
      <x:c r="H12" s="56" t="n">
        <x:f>0*IF('Assumptions'!$B$5="Upside",'Assumptions'!$B$10,IF('Assumptions'!$B$5="Downside",'Assumptions'!$B$12,1))</x:f>
        <x:v>0</x:v>
      </x:c>
      <x:c r="I12" s="56" t="n">
        <x:f>0*IF('Assumptions'!$B$5="Upside",'Assumptions'!$B$10,IF('Assumptions'!$B$5="Downside",'Assumptions'!$B$12,1))</x:f>
        <x:v>0</x:v>
      </x:c>
      <x:c r="J12" s="56" t="n">
        <x:f>6200*IF('Assumptions'!$B$5="Upside",'Assumptions'!$B$10,IF('Assumptions'!$B$5="Downside",'Assumptions'!$B$12,1))</x:f>
        <x:v>6200</x:v>
      </x:c>
      <x:c r="K12" s="56" t="n">
        <x:f>0*IF('Assumptions'!$B$5="Upside",'Assumptions'!$B$10,IF('Assumptions'!$B$5="Downside",'Assumptions'!$B$12,1))</x:f>
        <x:v>0</x:v>
      </x:c>
      <x:c r="L12" s="56" t="n">
        <x:f>0*IF('Assumptions'!$B$5="Upside",'Assumptions'!$B$10,IF('Assumptions'!$B$5="Downside",'Assumptions'!$B$12,1))</x:f>
        <x:v>0</x:v>
      </x:c>
      <x:c r="M12" s="56" t="n">
        <x:f>0*IF('Assumptions'!$B$5="Upside",'Assumptions'!$B$10,IF('Assumptions'!$B$5="Downside",'Assumptions'!$B$12,1))</x:f>
        <x:v>0</x:v>
      </x:c>
      <x:c r="N12" s="56" t="n">
        <x:f>6200*IF('Assumptions'!$B$5="Upside",'Assumptions'!$B$10,IF('Assumptions'!$B$5="Downside",'Assumptions'!$B$12,1))</x:f>
        <x:v>6200</x:v>
      </x:c>
      <x:c r="O12" s="52" t="n">
        <x:f>SUM(B12:N12)</x:f>
        <x:v>24800</x:v>
      </x:c>
    </x:row>
    <x:row r="13">
      <x:c r="A13" s="23" t="str">
        <x:v>Tax payments</x:v>
      </x:c>
      <x:c r="B13" s="56" t="n">
        <x:f>0*IF('Assumptions'!$B$5="Upside",'Assumptions'!$B$10,IF('Assumptions'!$B$5="Downside",'Assumptions'!$B$12,1))</x:f>
        <x:v>0</x:v>
      </x:c>
      <x:c r="C13" s="56" t="n">
        <x:f>0*IF('Assumptions'!$B$5="Upside",'Assumptions'!$B$10,IF('Assumptions'!$B$5="Downside",'Assumptions'!$B$12,1))</x:f>
        <x:v>0</x:v>
      </x:c>
      <x:c r="D13" s="56" t="n">
        <x:f>0*IF('Assumptions'!$B$5="Upside",'Assumptions'!$B$10,IF('Assumptions'!$B$5="Downside",'Assumptions'!$B$12,1))</x:f>
        <x:v>0</x:v>
      </x:c>
      <x:c r="E13" s="56" t="n">
        <x:f>7800*IF('Assumptions'!$B$5="Upside",'Assumptions'!$B$10,IF('Assumptions'!$B$5="Downside",'Assumptions'!$B$12,1))</x:f>
        <x:v>7800</x:v>
      </x:c>
      <x:c r="F13" s="56" t="n">
        <x:f>0*IF('Assumptions'!$B$5="Upside",'Assumptions'!$B$10,IF('Assumptions'!$B$5="Downside",'Assumptions'!$B$12,1))</x:f>
        <x:v>0</x:v>
      </x:c>
      <x:c r="G13" s="56" t="n">
        <x:f>0*IF('Assumptions'!$B$5="Upside",'Assumptions'!$B$10,IF('Assumptions'!$B$5="Downside",'Assumptions'!$B$12,1))</x:f>
        <x:v>0</x:v>
      </x:c>
      <x:c r="H13" s="56" t="n">
        <x:f>0*IF('Assumptions'!$B$5="Upside",'Assumptions'!$B$10,IF('Assumptions'!$B$5="Downside",'Assumptions'!$B$12,1))</x:f>
        <x:v>0</x:v>
      </x:c>
      <x:c r="I13" s="56" t="n">
        <x:f>0*IF('Assumptions'!$B$5="Upside",'Assumptions'!$B$10,IF('Assumptions'!$B$5="Downside",'Assumptions'!$B$12,1))</x:f>
        <x:v>0</x:v>
      </x:c>
      <x:c r="J13" s="56" t="n">
        <x:f>0*IF('Assumptions'!$B$5="Upside",'Assumptions'!$B$10,IF('Assumptions'!$B$5="Downside",'Assumptions'!$B$12,1))</x:f>
        <x:v>0</x:v>
      </x:c>
      <x:c r="K13" s="56" t="n">
        <x:f>9100*IF('Assumptions'!$B$5="Upside",'Assumptions'!$B$10,IF('Assumptions'!$B$5="Downside",'Assumptions'!$B$12,1))</x:f>
        <x:v>9100</x:v>
      </x:c>
      <x:c r="L13" s="56" t="n">
        <x:f>0*IF('Assumptions'!$B$5="Upside",'Assumptions'!$B$10,IF('Assumptions'!$B$5="Downside",'Assumptions'!$B$12,1))</x:f>
        <x:v>0</x:v>
      </x:c>
      <x:c r="M13" s="56" t="n">
        <x:f>0*IF('Assumptions'!$B$5="Upside",'Assumptions'!$B$10,IF('Assumptions'!$B$5="Downside",'Assumptions'!$B$12,1))</x:f>
        <x:v>0</x:v>
      </x:c>
      <x:c r="N13" s="56" t="n">
        <x:f>0*IF('Assumptions'!$B$5="Upside",'Assumptions'!$B$10,IF('Assumptions'!$B$5="Downside",'Assumptions'!$B$12,1))</x:f>
        <x:v>0</x:v>
      </x:c>
      <x:c r="O13" s="52" t="n">
        <x:f>SUM(B13:N13)</x:f>
        <x:v>16900</x:v>
      </x:c>
    </x:row>
    <x:row r="14">
      <x:c r="A14" s="23" t="str">
        <x:v>Operating expenses</x:v>
      </x:c>
      <x:c r="B14" s="56" t="n">
        <x:f>2400*IF('Assumptions'!$B$5="Upside",'Assumptions'!$B$10,IF('Assumptions'!$B$5="Downside",'Assumptions'!$B$12,1))</x:f>
        <x:v>2400</x:v>
      </x:c>
      <x:c r="C14" s="56" t="n">
        <x:f>2600*IF('Assumptions'!$B$5="Upside",'Assumptions'!$B$10,IF('Assumptions'!$B$5="Downside",'Assumptions'!$B$12,1))</x:f>
        <x:v>2600</x:v>
      </x:c>
      <x:c r="D14" s="56" t="n">
        <x:f>2250*IF('Assumptions'!$B$5="Upside",'Assumptions'!$B$10,IF('Assumptions'!$B$5="Downside",'Assumptions'!$B$12,1))</x:f>
        <x:v>2250</x:v>
      </x:c>
      <x:c r="E14" s="56" t="n">
        <x:f>2500*IF('Assumptions'!$B$5="Upside",'Assumptions'!$B$10,IF('Assumptions'!$B$5="Downside",'Assumptions'!$B$12,1))</x:f>
        <x:v>2500</x:v>
      </x:c>
      <x:c r="F14" s="56" t="n">
        <x:f>2700*IF('Assumptions'!$B$5="Upside",'Assumptions'!$B$10,IF('Assumptions'!$B$5="Downside",'Assumptions'!$B$12,1))</x:f>
        <x:v>2700</x:v>
      </x:c>
      <x:c r="G14" s="56" t="n">
        <x:f>2300*IF('Assumptions'!$B$5="Upside",'Assumptions'!$B$10,IF('Assumptions'!$B$5="Downside",'Assumptions'!$B$12,1))</x:f>
        <x:v>2300</x:v>
      </x:c>
      <x:c r="H14" s="56" t="n">
        <x:f>2600*IF('Assumptions'!$B$5="Upside",'Assumptions'!$B$10,IF('Assumptions'!$B$5="Downside",'Assumptions'!$B$12,1))</x:f>
        <x:v>2600</x:v>
      </x:c>
      <x:c r="I14" s="56" t="n">
        <x:f>2450*IF('Assumptions'!$B$5="Upside",'Assumptions'!$B$10,IF('Assumptions'!$B$5="Downside",'Assumptions'!$B$12,1))</x:f>
        <x:v>2450</x:v>
      </x:c>
      <x:c r="J14" s="56" t="n">
        <x:f>2800*IF('Assumptions'!$B$5="Upside",'Assumptions'!$B$10,IF('Assumptions'!$B$5="Downside",'Assumptions'!$B$12,1))</x:f>
        <x:v>2800</x:v>
      </x:c>
      <x:c r="K14" s="56" t="n">
        <x:f>2500*IF('Assumptions'!$B$5="Upside",'Assumptions'!$B$10,IF('Assumptions'!$B$5="Downside",'Assumptions'!$B$12,1))</x:f>
        <x:v>2500</x:v>
      </x:c>
      <x:c r="L14" s="56" t="n">
        <x:f>2900*IF('Assumptions'!$B$5="Upside",'Assumptions'!$B$10,IF('Assumptions'!$B$5="Downside",'Assumptions'!$B$12,1))</x:f>
        <x:v>2900</x:v>
      </x:c>
      <x:c r="M14" s="56" t="n">
        <x:f>2600*IF('Assumptions'!$B$5="Upside",'Assumptions'!$B$10,IF('Assumptions'!$B$5="Downside",'Assumptions'!$B$12,1))</x:f>
        <x:v>2600</x:v>
      </x:c>
      <x:c r="N14" s="56" t="n">
        <x:f>3000*IF('Assumptions'!$B$5="Upside",'Assumptions'!$B$10,IF('Assumptions'!$B$5="Downside",'Assumptions'!$B$12,1))</x:f>
        <x:v>3000</x:v>
      </x:c>
      <x:c r="O14" s="52" t="n">
        <x:f>SUM(B14:N14)</x:f>
        <x:v>33600</x:v>
      </x:c>
    </x:row>
    <x:row r="15">
      <x:c r="A15" s="23" t="str">
        <x:v>Capital expenditure</x:v>
      </x:c>
      <x:c r="B15" s="56" t="n">
        <x:f>0*IF('Assumptions'!$B$5="Upside",'Assumptions'!$B$10,IF('Assumptions'!$B$5="Downside",'Assumptions'!$B$12,1))</x:f>
        <x:v>0</x:v>
      </x:c>
      <x:c r="C15" s="56" t="n">
        <x:f>0*IF('Assumptions'!$B$5="Upside",'Assumptions'!$B$10,IF('Assumptions'!$B$5="Downside",'Assumptions'!$B$12,1))</x:f>
        <x:v>0</x:v>
      </x:c>
      <x:c r="D15" s="56" t="n">
        <x:f>3500*IF('Assumptions'!$B$5="Upside",'Assumptions'!$B$10,IF('Assumptions'!$B$5="Downside",'Assumptions'!$B$12,1))</x:f>
        <x:v>3500</x:v>
      </x:c>
      <x:c r="E15" s="56" t="n">
        <x:f>0*IF('Assumptions'!$B$5="Upside",'Assumptions'!$B$10,IF('Assumptions'!$B$5="Downside",'Assumptions'!$B$12,1))</x:f>
        <x:v>0</x:v>
      </x:c>
      <x:c r="F15" s="56" t="n">
        <x:f>0*IF('Assumptions'!$B$5="Upside",'Assumptions'!$B$10,IF('Assumptions'!$B$5="Downside",'Assumptions'!$B$12,1))</x:f>
        <x:v>0</x:v>
      </x:c>
      <x:c r="G15" s="56" t="n">
        <x:f>0*IF('Assumptions'!$B$5="Upside",'Assumptions'!$B$10,IF('Assumptions'!$B$5="Downside",'Assumptions'!$B$12,1))</x:f>
        <x:v>0</x:v>
      </x:c>
      <x:c r="H15" s="56" t="n">
        <x:f>0*IF('Assumptions'!$B$5="Upside",'Assumptions'!$B$10,IF('Assumptions'!$B$5="Downside",'Assumptions'!$B$12,1))</x:f>
        <x:v>0</x:v>
      </x:c>
      <x:c r="I15" s="56" t="n">
        <x:f>4800*IF('Assumptions'!$B$5="Upside",'Assumptions'!$B$10,IF('Assumptions'!$B$5="Downside",'Assumptions'!$B$12,1))</x:f>
        <x:v>4800</x:v>
      </x:c>
      <x:c r="J15" s="56" t="n">
        <x:f>0*IF('Assumptions'!$B$5="Upside",'Assumptions'!$B$10,IF('Assumptions'!$B$5="Downside",'Assumptions'!$B$12,1))</x:f>
        <x:v>0</x:v>
      </x:c>
      <x:c r="K15" s="56" t="n">
        <x:f>0*IF('Assumptions'!$B$5="Upside",'Assumptions'!$B$10,IF('Assumptions'!$B$5="Downside",'Assumptions'!$B$12,1))</x:f>
        <x:v>0</x:v>
      </x:c>
      <x:c r="L15" s="56" t="n">
        <x:f>0*IF('Assumptions'!$B$5="Upside",'Assumptions'!$B$10,IF('Assumptions'!$B$5="Downside",'Assumptions'!$B$12,1))</x:f>
        <x:v>0</x:v>
      </x:c>
      <x:c r="M15" s="56" t="n">
        <x:f>0*IF('Assumptions'!$B$5="Upside",'Assumptions'!$B$10,IF('Assumptions'!$B$5="Downside",'Assumptions'!$B$12,1))</x:f>
        <x:v>0</x:v>
      </x:c>
      <x:c r="N15" s="56" t="n">
        <x:f>0*IF('Assumptions'!$B$5="Upside",'Assumptions'!$B$10,IF('Assumptions'!$B$5="Downside",'Assumptions'!$B$12,1))</x:f>
        <x:v>0</x:v>
      </x:c>
      <x:c r="O15" s="52" t="n">
        <x:f>SUM(B15:N15)</x:f>
        <x:v>8300</x:v>
      </x:c>
    </x:row>
    <x:row r="16">
      <x:c r="A16" s="57" t="str">
        <x:v>Total outflows</x:v>
      </x:c>
      <x:c r="B16" s="58" t="n">
        <x:f>SUM(B10:B15)</x:f>
        <x:v>22100</x:v>
      </x:c>
      <x:c r="C16" s="58" t="n">
        <x:f>SUM(C10:C15)</x:f>
        <x:v>7300</x:v>
      </x:c>
      <x:c r="D16" s="58" t="n">
        <x:f>SUM(D10:D15)</x:f>
        <x:v>20050</x:v>
      </x:c>
      <x:c r="E16" s="58" t="n">
        <x:f>SUM(E10:E15)</x:f>
        <x:v>15100</x:v>
      </x:c>
      <x:c r="F16" s="58" t="n">
        <x:f>SUM(F10:F15)</x:f>
        <x:v>23500</x:v>
      </x:c>
      <x:c r="G16" s="58" t="n">
        <x:f>SUM(G10:G15)</x:f>
        <x:v>7400</x:v>
      </x:c>
      <x:c r="H16" s="58" t="n">
        <x:f>SUM(H10:H15)</x:f>
        <x:v>17400</x:v>
      </x:c>
      <x:c r="I16" s="58" t="n">
        <x:f>SUM(I10:I15)</x:f>
        <x:v>12750</x:v>
      </x:c>
      <x:c r="J16" s="58" t="n">
        <x:f>SUM(J10:J15)</x:f>
        <x:v>24100</x:v>
      </x:c>
      <x:c r="K16" s="58" t="n">
        <x:f>SUM(K10:K15)</x:f>
        <x:v>17300</x:v>
      </x:c>
      <x:c r="L16" s="58" t="n">
        <x:f>SUM(L10:L15)</x:f>
        <x:v>18300</x:v>
      </x:c>
      <x:c r="M16" s="58" t="n">
        <x:f>SUM(M10:M15)</x:f>
        <x:v>8600</x:v>
      </x:c>
      <x:c r="N16" s="58" t="n">
        <x:f>SUM(N10:N15)</x:f>
        <x:v>24900</x:v>
      </x:c>
      <x:c r="O16" s="59" t="n">
        <x:f>SUM(B16:N16)</x:f>
        <x:v>218800</x:v>
      </x:c>
    </x:row>
    <x:row r="17">
      <x:c r="A17" s="57" t="str">
        <x:v>Net cash flow</x:v>
      </x:c>
      <x:c r="B17" s="58" t="n">
        <x:f>B8-B16</x:f>
        <x:v>-9500</x:v>
      </x:c>
      <x:c r="C17" s="58" t="n">
        <x:f>C8-C16</x:f>
        <x:v>8500</x:v>
      </x:c>
      <x:c r="D17" s="58" t="n">
        <x:f>D8-D16</x:f>
        <x:v>-2850</x:v>
      </x:c>
      <x:c r="E17" s="58" t="n">
        <x:f>E8-E16</x:f>
        <x:v>3200</x:v>
      </x:c>
      <x:c r="F17" s="58" t="n">
        <x:f>F8-F16</x:f>
        <x:v>-3400</x:v>
      </x:c>
      <x:c r="G17" s="58" t="n">
        <x:f>G8-G16</x:f>
        <x:v>14300</x:v>
      </x:c>
      <x:c r="H17" s="58" t="n">
        <x:f>H8-H16</x:f>
        <x:v>5500</x:v>
      </x:c>
      <x:c r="I17" s="58" t="n">
        <x:f>I8-I16</x:f>
        <x:v>11050</x:v>
      </x:c>
      <x:c r="J17" s="58" t="n">
        <x:f>J8-J16</x:f>
        <x:v>500</x:v>
      </x:c>
      <x:c r="K17" s="58" t="n">
        <x:f>K8-K16</x:f>
        <x:v>8200</x:v>
      </x:c>
      <x:c r="L17" s="58" t="n">
        <x:f>L8-L16</x:f>
        <x:v>8400</x:v>
      </x:c>
      <x:c r="M17" s="58" t="n">
        <x:f>M8-M16</x:f>
        <x:v>19000</x:v>
      </x:c>
      <x:c r="N17" s="58" t="n">
        <x:f>N8-N16</x:f>
        <x:v>4300</x:v>
      </x:c>
      <x:c r="O17" s="59" t="n">
        <x:f>SUM(B17:N17)</x:f>
        <x:v>67200</x:v>
      </x:c>
    </x:row>
    <x:row r="18">
      <x:c r="A18" s="23" t="str">
        <x:v>Closing cash before funding</x:v>
      </x:c>
      <x:c r="B18" s="51" t="n">
        <x:f>B4+B17</x:f>
        <x:v>10500</x:v>
      </x:c>
      <x:c r="C18" s="51" t="n">
        <x:f>C4+C17</x:f>
        <x:v>23500</x:v>
      </x:c>
      <x:c r="D18" s="51" t="n">
        <x:f>D4+D17</x:f>
        <x:v>20650</x:v>
      </x:c>
      <x:c r="E18" s="51" t="n">
        <x:f>E4+E17</x:f>
        <x:v>23850</x:v>
      </x:c>
      <x:c r="F18" s="51" t="n">
        <x:f>F4+F17</x:f>
        <x:v>20450</x:v>
      </x:c>
      <x:c r="G18" s="51" t="n">
        <x:f>G4+G17</x:f>
        <x:v>34750</x:v>
      </x:c>
      <x:c r="H18" s="51" t="n">
        <x:f>H4+H17</x:f>
        <x:v>40250</x:v>
      </x:c>
      <x:c r="I18" s="51" t="n">
        <x:f>I4+I17</x:f>
        <x:v>51300</x:v>
      </x:c>
      <x:c r="J18" s="51" t="n">
        <x:f>J4+J17</x:f>
        <x:v>51800</x:v>
      </x:c>
      <x:c r="K18" s="51" t="n">
        <x:f>K4+K17</x:f>
        <x:v>60000</x:v>
      </x:c>
      <x:c r="L18" s="51" t="n">
        <x:f>L4+L17</x:f>
        <x:v>68400</x:v>
      </x:c>
      <x:c r="M18" s="51" t="n">
        <x:f>M4+M17</x:f>
        <x:v>87400</x:v>
      </x:c>
      <x:c r="N18" s="51" t="n">
        <x:f>N4+N17</x:f>
        <x:v>91700</x:v>
      </x:c>
      <x:c r="O18" s="52" t="n">
        <x:f>MIN(B18:N18)</x:f>
        <x:v>10500</x:v>
      </x:c>
    </x:row>
    <x:row r="19">
      <x:c r="A19" s="57" t="str">
        <x:v>Funding draw / (repayment)</x:v>
      </x:c>
      <x:c r="B19" s="58" t="n">
        <x:f>MIN(MAX('Assumptions'!$B$7-B18,0),'Assumptions'!$B$8)</x:f>
        <x:v>4500</x:v>
      </x:c>
      <x:c r="C19" s="58" t="n">
        <x:f>MIN(MAX('Assumptions'!$B$7-C18,0),'Assumptions'!$B$8)</x:f>
        <x:v>0</x:v>
      </x:c>
      <x:c r="D19" s="58" t="n">
        <x:f>MIN(MAX('Assumptions'!$B$7-D18,0),'Assumptions'!$B$8)</x:f>
        <x:v>0</x:v>
      </x:c>
      <x:c r="E19" s="58" t="n">
        <x:f>MIN(MAX('Assumptions'!$B$7-E18,0),'Assumptions'!$B$8)</x:f>
        <x:v>0</x:v>
      </x:c>
      <x:c r="F19" s="58" t="n">
        <x:f>MIN(MAX('Assumptions'!$B$7-F18,0),'Assumptions'!$B$8)</x:f>
        <x:v>0</x:v>
      </x:c>
      <x:c r="G19" s="58" t="n">
        <x:f>MIN(MAX('Assumptions'!$B$7-G18,0),'Assumptions'!$B$8)</x:f>
        <x:v>0</x:v>
      </x:c>
      <x:c r="H19" s="58" t="n">
        <x:f>MIN(MAX('Assumptions'!$B$7-H18,0),'Assumptions'!$B$8)</x:f>
        <x:v>0</x:v>
      </x:c>
      <x:c r="I19" s="58" t="n">
        <x:f>MIN(MAX('Assumptions'!$B$7-I18,0),'Assumptions'!$B$8)</x:f>
        <x:v>0</x:v>
      </x:c>
      <x:c r="J19" s="58" t="n">
        <x:f>MIN(MAX('Assumptions'!$B$7-J18,0),'Assumptions'!$B$8)</x:f>
        <x:v>0</x:v>
      </x:c>
      <x:c r="K19" s="58" t="n">
        <x:f>MIN(MAX('Assumptions'!$B$7-K18,0),'Assumptions'!$B$8)</x:f>
        <x:v>0</x:v>
      </x:c>
      <x:c r="L19" s="58" t="n">
        <x:f>MIN(MAX('Assumptions'!$B$7-L18,0),'Assumptions'!$B$8)</x:f>
        <x:v>0</x:v>
      </x:c>
      <x:c r="M19" s="58" t="n">
        <x:f>MIN(MAX('Assumptions'!$B$7-M18,0),'Assumptions'!$B$8)</x:f>
        <x:v>0</x:v>
      </x:c>
      <x:c r="N19" s="58" t="n">
        <x:f>MIN(MAX('Assumptions'!$B$7-N18,0),'Assumptions'!$B$8)</x:f>
        <x:v>0</x:v>
      </x:c>
      <x:c r="O19" s="59" t="n">
        <x:f>SUM(B19:N19)</x:f>
        <x:v>4500</x:v>
      </x:c>
    </x:row>
    <x:row r="20">
      <x:c r="A20" s="57" t="str">
        <x:v>Closing cash after funding</x:v>
      </x:c>
      <x:c r="B20" s="58" t="n">
        <x:f>B18+B19</x:f>
        <x:v>15000</x:v>
      </x:c>
      <x:c r="C20" s="58" t="n">
        <x:f>C18+C19</x:f>
        <x:v>23500</x:v>
      </x:c>
      <x:c r="D20" s="58" t="n">
        <x:f>D18+D19</x:f>
        <x:v>20650</x:v>
      </x:c>
      <x:c r="E20" s="58" t="n">
        <x:f>E18+E19</x:f>
        <x:v>23850</x:v>
      </x:c>
      <x:c r="F20" s="58" t="n">
        <x:f>F18+F19</x:f>
        <x:v>20450</x:v>
      </x:c>
      <x:c r="G20" s="58" t="n">
        <x:f>G18+G19</x:f>
        <x:v>34750</x:v>
      </x:c>
      <x:c r="H20" s="58" t="n">
        <x:f>H18+H19</x:f>
        <x:v>40250</x:v>
      </x:c>
      <x:c r="I20" s="58" t="n">
        <x:f>I18+I19</x:f>
        <x:v>51300</x:v>
      </x:c>
      <x:c r="J20" s="58" t="n">
        <x:f>J18+J19</x:f>
        <x:v>51800</x:v>
      </x:c>
      <x:c r="K20" s="58" t="n">
        <x:f>K18+K19</x:f>
        <x:v>60000</x:v>
      </x:c>
      <x:c r="L20" s="58" t="n">
        <x:f>L18+L19</x:f>
        <x:v>68400</x:v>
      </x:c>
      <x:c r="M20" s="58" t="n">
        <x:f>M18+M19</x:f>
        <x:v>87400</x:v>
      </x:c>
      <x:c r="N20" s="58" t="n">
        <x:f>N18+N19</x:f>
        <x:v>91700</x:v>
      </x:c>
      <x:c r="O20" s="59" t="n">
        <x:f>N20</x:f>
        <x:v>91700</x:v>
      </x:c>
    </x:row>
    <x:row r="21">
      <x:c r="A21" s="57" t="str">
        <x:v>Minimum reserve</x:v>
      </x:c>
      <x:c r="B21" s="58" t="n">
        <x:f>'Assumptions'!$B$7</x:f>
        <x:v>15000</x:v>
      </x:c>
      <x:c r="C21" s="58" t="n">
        <x:f>'Assumptions'!$B$7</x:f>
        <x:v>15000</x:v>
      </x:c>
      <x:c r="D21" s="58" t="n">
        <x:f>'Assumptions'!$B$7</x:f>
        <x:v>15000</x:v>
      </x:c>
      <x:c r="E21" s="58" t="n">
        <x:f>'Assumptions'!$B$7</x:f>
        <x:v>15000</x:v>
      </x:c>
      <x:c r="F21" s="58" t="n">
        <x:f>'Assumptions'!$B$7</x:f>
        <x:v>15000</x:v>
      </x:c>
      <x:c r="G21" s="58" t="n">
        <x:f>'Assumptions'!$B$7</x:f>
        <x:v>15000</x:v>
      </x:c>
      <x:c r="H21" s="58" t="n">
        <x:f>'Assumptions'!$B$7</x:f>
        <x:v>15000</x:v>
      </x:c>
      <x:c r="I21" s="58" t="n">
        <x:f>'Assumptions'!$B$7</x:f>
        <x:v>15000</x:v>
      </x:c>
      <x:c r="J21" s="58" t="n">
        <x:f>'Assumptions'!$B$7</x:f>
        <x:v>15000</x:v>
      </x:c>
      <x:c r="K21" s="58" t="n">
        <x:f>'Assumptions'!$B$7</x:f>
        <x:v>15000</x:v>
      </x:c>
      <x:c r="L21" s="58" t="n">
        <x:f>'Assumptions'!$B$7</x:f>
        <x:v>15000</x:v>
      </x:c>
      <x:c r="M21" s="58" t="n">
        <x:f>'Assumptions'!$B$7</x:f>
        <x:v>15000</x:v>
      </x:c>
      <x:c r="N21" s="58" t="n">
        <x:f>'Assumptions'!$B$7</x:f>
        <x:v>15000</x:v>
      </x:c>
      <x:c r="O21" s="59" t="n">
        <x:f>'Assumptions'!$B$7</x:f>
        <x:v>15000</x:v>
      </x:c>
    </x:row>
    <x:row r="22">
      <x:c r="A22" s="60" t="str">
        <x:v>Headroom / (shortfall)</x:v>
      </x:c>
      <x:c r="B22" s="61" t="n">
        <x:f>B20-B21</x:f>
        <x:v>0</x:v>
      </x:c>
      <x:c r="C22" s="61" t="n">
        <x:f>C20-C21</x:f>
        <x:v>8500</x:v>
      </x:c>
      <x:c r="D22" s="61" t="n">
        <x:f>D20-D21</x:f>
        <x:v>5650</x:v>
      </x:c>
      <x:c r="E22" s="61" t="n">
        <x:f>E20-E21</x:f>
        <x:v>8850</x:v>
      </x:c>
      <x:c r="F22" s="61" t="n">
        <x:f>F20-F21</x:f>
        <x:v>5450</x:v>
      </x:c>
      <x:c r="G22" s="61" t="n">
        <x:f>G20-G21</x:f>
        <x:v>19750</x:v>
      </x:c>
      <x:c r="H22" s="61" t="n">
        <x:f>H20-H21</x:f>
        <x:v>25250</x:v>
      </x:c>
      <x:c r="I22" s="61" t="n">
        <x:f>I20-I21</x:f>
        <x:v>36300</x:v>
      </x:c>
      <x:c r="J22" s="61" t="n">
        <x:f>J20-J21</x:f>
        <x:v>36800</x:v>
      </x:c>
      <x:c r="K22" s="61" t="n">
        <x:f>K20-K21</x:f>
        <x:v>45000</x:v>
      </x:c>
      <x:c r="L22" s="61" t="n">
        <x:f>L20-L21</x:f>
        <x:v>53400</x:v>
      </x:c>
      <x:c r="M22" s="61" t="n">
        <x:f>M20-M21</x:f>
        <x:v>72400</x:v>
      </x:c>
      <x:c r="N22" s="61" t="n">
        <x:f>N20-N21</x:f>
        <x:v>76700</x:v>
      </x:c>
      <x:c r="O22" s="62" t="n">
        <x:f>MIN(B22:N22)</x:f>
        <x:v>0</x:v>
      </x:c>
    </x:row>
  </x:sheetData>
  <x:mergeCells>
    <x:mergeCell ref="A1: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7" hidden="0" customWidth="1"/>
    <x:col min="3" max="3" width="17" hidden="0" customWidth="1"/>
    <x:col min="4" max="4" width="17" hidden="0" customWidth="1"/>
    <x:col min="5" max="5" width="23" hidden="0" customWidth="1"/>
    <x:col min="6" max="6" width="18" hidden="0" customWidth="1"/>
    <x:col min="7" max="7" width="17" hidden="0" customWidth="1"/>
  </x:cols>
  <x:sheetData>
    <x:row r="1">
      <x:c r="A1" s="3" t="str">
        <x:v>SCENARIO COMPARISON</x:v>
      </x:c>
      <x:c r="B1" s="3"/>
      <x:c r="C1" s="3"/>
      <x:c r="D1" s="3"/>
      <x:c r="E1" s="3"/>
      <x:c r="F1" s="3"/>
      <x:c r="G1" s="3"/>
    </x:row>
    <x:row r="2">
      <x:c r="A2" s="3"/>
      <x:c r="B2" s="3"/>
      <x:c r="C2" s="3"/>
      <x:c r="D2" s="3"/>
      <x:c r="E2" s="3"/>
      <x:c r="F2" s="3"/>
      <x:c r="G2" s="3"/>
    </x:row>
    <x:row r="4">
      <x:c r="A4" s="20" t="str">
        <x:v>Scenario</x:v>
      </x:c>
      <x:c r="B4" s="21" t="str">
        <x:v>Total inflows</x:v>
      </x:c>
      <x:c r="C4" s="21" t="str">
        <x:v>Total outflows</x:v>
      </x:c>
      <x:c r="D4" s="21" t="str">
        <x:v>Net cash flow</x:v>
      </x:c>
      <x:c r="E4" s="21" t="str">
        <x:v>Minimum pre-funding cash</x:v>
      </x:c>
      <x:c r="F4" s="21" t="str">
        <x:v>Funding required</x:v>
      </x:c>
      <x:c r="G4" s="22" t="str">
        <x:v>Ending cash</x:v>
      </x:c>
      <x:c r="H4" t="str">
        <x:v>Opening</x:v>
      </x:c>
      <x:c r="I4" t="str">
        <x:v>W1</x:v>
      </x:c>
      <x:c r="J4" t="str">
        <x:v>W2</x:v>
      </x:c>
      <x:c r="K4" t="str">
        <x:v>W3</x:v>
      </x:c>
      <x:c r="L4" t="str">
        <x:v>W4</x:v>
      </x:c>
      <x:c r="M4" t="str">
        <x:v>W5</x:v>
      </x:c>
      <x:c r="N4" t="str">
        <x:v>W6</x:v>
      </x:c>
      <x:c r="O4" t="str">
        <x:v>W7</x:v>
      </x:c>
      <x:c r="P4" t="str">
        <x:v>W8</x:v>
      </x:c>
      <x:c r="Q4" t="str">
        <x:v>W9</x:v>
      </x:c>
      <x:c r="R4" t="str">
        <x:v>W10</x:v>
      </x:c>
      <x:c r="S4" t="str">
        <x:v>W11</x:v>
      </x:c>
      <x:c r="T4" t="str">
        <x:v>W12</x:v>
      </x:c>
      <x:c r="U4" t="str">
        <x:v>W13</x:v>
      </x:c>
    </x:row>
    <x:row r="5">
      <x:c r="A5" s="23" t="str">
        <x:v>Base</x:v>
      </x:c>
      <x:c r="B5" s="64" t="n">
        <x:f>286000*1</x:f>
        <x:v>286000</x:v>
      </x:c>
      <x:c r="C5" s="64" t="n">
        <x:f>218800*1</x:f>
        <x:v>218800</x:v>
      </x:c>
      <x:c r="D5" s="64" t="n">
        <x:f>B5-C5</x:f>
        <x:v>67200</x:v>
      </x:c>
      <x:c r="E5" s="64" t="n">
        <x:f>MIN(I5:U5)</x:f>
        <x:v>10500</x:v>
      </x:c>
      <x:c r="F5" s="64" t="n">
        <x:f>MAX('Assumptions'!$B$7-E5,0)</x:f>
        <x:v>4500</x:v>
      </x:c>
      <x:c r="G5" s="65" t="n">
        <x:f>U5+F5</x:f>
        <x:v>91700</x:v>
      </x:c>
      <x:c r="H5" t="n">
        <x:f>'Assumptions'!$B$6</x:f>
        <x:v>20000</x:v>
      </x:c>
      <x:c r="I5" t="n">
        <x:f>H5+12600*1-22100*1</x:f>
        <x:v>10500</x:v>
      </x:c>
      <x:c r="J5" t="n">
        <x:f>I5+15800*1-7300*1</x:f>
        <x:v>19000</x:v>
      </x:c>
      <x:c r="K5" t="n">
        <x:f>J5+17200*1-20050*1</x:f>
        <x:v>16150</x:v>
      </x:c>
      <x:c r="L5" t="n">
        <x:f>K5+18300*1-15100*1</x:f>
        <x:v>19350</x:v>
      </x:c>
      <x:c r="M5" t="n">
        <x:f>L5+20100*1-23500*1</x:f>
        <x:v>15950</x:v>
      </x:c>
      <x:c r="N5" t="n">
        <x:f>M5+21700*1-7400*1</x:f>
        <x:v>30250</x:v>
      </x:c>
      <x:c r="O5" t="n">
        <x:f>N5+22900*1-17400*1</x:f>
        <x:v>35750</x:v>
      </x:c>
      <x:c r="P5" t="n">
        <x:f>O5+23800*1-12750*1</x:f>
        <x:v>46800</x:v>
      </x:c>
      <x:c r="Q5" t="n">
        <x:f>P5+24600*1-24100*1</x:f>
        <x:v>47300</x:v>
      </x:c>
      <x:c r="R5" t="n">
        <x:f>Q5+25500*1-17300*1</x:f>
        <x:v>55500</x:v>
      </x:c>
      <x:c r="S5" t="n">
        <x:f>R5+26700*1-18300*1</x:f>
        <x:v>63900</x:v>
      </x:c>
      <x:c r="T5" t="n">
        <x:f>S5+27600*1-8600*1</x:f>
        <x:v>82900</x:v>
      </x:c>
      <x:c r="U5" t="n">
        <x:f>T5+29200*1-24900*1</x:f>
        <x:v>87200</x:v>
      </x:c>
    </x:row>
    <x:row r="6">
      <x:c r="A6" s="23" t="str">
        <x:v>Upside</x:v>
      </x:c>
      <x:c r="B6" s="64" t="n">
        <x:f>286000*1.1</x:f>
        <x:v>314600</x:v>
      </x:c>
      <x:c r="C6" s="64" t="n">
        <x:f>218800*0.97</x:f>
        <x:v>212236</x:v>
      </x:c>
      <x:c r="D6" s="64" t="n">
        <x:f>B6-C6</x:f>
        <x:v>102364</x:v>
      </x:c>
      <x:c r="E6" s="64" t="n">
        <x:f>MIN(I6:U6)</x:f>
        <x:v>12423</x:v>
      </x:c>
      <x:c r="F6" s="64" t="n">
        <x:f>MAX('Assumptions'!$B$7-E6,0)</x:f>
        <x:v>2577</x:v>
      </x:c>
      <x:c r="G6" s="65" t="n">
        <x:f>U6+F6</x:f>
        <x:v>124941</x:v>
      </x:c>
      <x:c r="H6" t="n">
        <x:f>'Assumptions'!$B$6</x:f>
        <x:v>20000</x:v>
      </x:c>
      <x:c r="I6" t="n">
        <x:f>H6+12600*1.1-22100*0.97</x:f>
        <x:v>12423</x:v>
      </x:c>
      <x:c r="J6" t="n">
        <x:f>I6+15800*1.1-7300*0.97</x:f>
        <x:v>22722</x:v>
      </x:c>
      <x:c r="K6" t="n">
        <x:f>J6+17200*1.1-20050*0.97</x:f>
        <x:v>22193.5</x:v>
      </x:c>
      <x:c r="L6" t="n">
        <x:f>K6+18300*1.1-15100*0.97</x:f>
        <x:v>27676.5</x:v>
      </x:c>
      <x:c r="M6" t="n">
        <x:f>L6+20100*1.1-23500*0.97</x:f>
        <x:v>26991.5</x:v>
      </x:c>
      <x:c r="N6" t="n">
        <x:f>M6+21700*1.1-7400*0.97</x:f>
        <x:v>43683.5</x:v>
      </x:c>
      <x:c r="O6" t="n">
        <x:f>N6+22900*1.1-17400*0.97</x:f>
        <x:v>51995.5</x:v>
      </x:c>
      <x:c r="P6" t="n">
        <x:f>O6+23800*1.1-12750*0.97</x:f>
        <x:v>65808</x:v>
      </x:c>
      <x:c r="Q6" t="n">
        <x:f>P6+24600*1.1-24100*0.97</x:f>
        <x:v>69491</x:v>
      </x:c>
      <x:c r="R6" t="n">
        <x:f>Q6+25500*1.1-17300*0.97</x:f>
        <x:v>80760</x:v>
      </x:c>
      <x:c r="S6" t="n">
        <x:f>R6+26700*1.1-18300*0.97</x:f>
        <x:v>92379</x:v>
      </x:c>
      <x:c r="T6" t="n">
        <x:f>S6+27600*1.1-8600*0.97</x:f>
        <x:v>114397</x:v>
      </x:c>
      <x:c r="U6" t="n">
        <x:f>T6+29200*1.1-24900*0.97</x:f>
        <x:v>122364</x:v>
      </x:c>
    </x:row>
    <x:row r="7">
      <x:c r="A7" s="29" t="str">
        <x:v>Downside</x:v>
      </x:c>
      <x:c r="B7" s="66" t="n">
        <x:f>286000*0.82</x:f>
        <x:v>234520</x:v>
      </x:c>
      <x:c r="C7" s="66" t="n">
        <x:f>218800*1.05</x:f>
        <x:v>229740</x:v>
      </x:c>
      <x:c r="D7" s="66" t="n">
        <x:f>B7-C7</x:f>
        <x:v>4780</x:v>
      </x:c>
      <x:c r="E7" s="66" t="n">
        <x:f>MIN(I7:U7)</x:f>
        <x:v>-3572.5</x:v>
      </x:c>
      <x:c r="F7" s="66" t="n">
        <x:f>MAX('Assumptions'!$B$7-E7,0)</x:f>
        <x:v>18572.5</x:v>
      </x:c>
      <x:c r="G7" s="67" t="n">
        <x:f>U7+F7</x:f>
        <x:v>43352.5</x:v>
      </x:c>
      <x:c r="H7" t="n">
        <x:f>'Assumptions'!$B$6</x:f>
        <x:v>20000</x:v>
      </x:c>
      <x:c r="I7" t="n">
        <x:f>H7+12600*0.82-22100*1.05</x:f>
        <x:v>7127</x:v>
      </x:c>
      <x:c r="J7" t="n">
        <x:f>I7+15800*0.82-7300*1.05</x:f>
        <x:v>12418</x:v>
      </x:c>
      <x:c r="K7" t="n">
        <x:f>J7+17200*0.82-20050*1.05</x:f>
        <x:v>5469.5</x:v>
      </x:c>
      <x:c r="L7" t="n">
        <x:f>K7+18300*0.82-15100*1.05</x:f>
        <x:v>4620.5</x:v>
      </x:c>
      <x:c r="M7" t="n">
        <x:f>L7+20100*0.82-23500*1.05</x:f>
        <x:v>-3572.5</x:v>
      </x:c>
      <x:c r="N7" t="n">
        <x:f>M7+21700*0.82-7400*1.05</x:f>
        <x:v>6451.5</x:v>
      </x:c>
      <x:c r="O7" t="n">
        <x:f>N7+22900*0.82-17400*1.05</x:f>
        <x:v>6959.5</x:v>
      </x:c>
      <x:c r="P7" t="n">
        <x:f>O7+23800*0.82-12750*1.05</x:f>
        <x:v>13088</x:v>
      </x:c>
      <x:c r="Q7" t="n">
        <x:f>P7+24600*0.82-24100*1.05</x:f>
        <x:v>7955</x:v>
      </x:c>
      <x:c r="R7" t="n">
        <x:f>Q7+25500*0.82-17300*1.05</x:f>
        <x:v>10700</x:v>
      </x:c>
      <x:c r="S7" t="n">
        <x:f>R7+26700*0.82-18300*1.05</x:f>
        <x:v>13379</x:v>
      </x:c>
      <x:c r="T7" t="n">
        <x:f>S7+27600*0.82-8600*1.05</x:f>
        <x:v>26981</x:v>
      </x:c>
      <x:c r="U7" t="n">
        <x:f>T7+29200*0.82-24900*1.05</x:f>
        <x:v>24780</x:v>
      </x:c>
    </x:row>
    <x:row r="10">
      <x:c r="A10" s="14" t="str">
        <x:v>Management interpretation</x:v>
      </x:c>
      <x:c r="B10" s="15"/>
      <x:c r="C10" s="15"/>
      <x:c r="D10" s="15"/>
      <x:c r="E10" s="15"/>
      <x:c r="F10" s="15"/>
      <x:c r="G10" s="16"/>
    </x:row>
    <x:row r="11">
      <x:c r="A11" s="87" t="str">
        <x:v>Base case tests expected payment timing. Upside shows the value of faster collections and modest cost control. Downside quantifies liquidity exposure if receipts are delayed while costs rise. Management should monitor the minimum pre-funding cash point, secure sufficient credit headroom before it is needed, and prioritize receivable collection in the first four weeks.</x:v>
      </x:c>
      <x:c r="B11" s="88"/>
      <x:c r="C11" s="88"/>
      <x:c r="D11" s="88"/>
      <x:c r="E11" s="88"/>
      <x:c r="F11" s="88"/>
      <x:c r="G11" s="89"/>
    </x:row>
    <x:row r="12">
      <x:c r="A12" s="90"/>
      <x:c r="B12" s="91"/>
      <x:c r="C12" s="91"/>
      <x:c r="D12" s="91"/>
      <x:c r="E12" s="91"/>
      <x:c r="F12" s="91"/>
      <x:c r="G12" s="92"/>
    </x:row>
    <x:row r="13">
      <x:c r="A13" s="90"/>
      <x:c r="B13" s="91"/>
      <x:c r="C13" s="91"/>
      <x:c r="D13" s="91"/>
      <x:c r="E13" s="91"/>
      <x:c r="F13" s="91"/>
      <x:c r="G13" s="92"/>
    </x:row>
    <x:row r="14">
      <x:c r="A14" s="90"/>
      <x:c r="B14" s="91"/>
      <x:c r="C14" s="91"/>
      <x:c r="D14" s="91"/>
      <x:c r="E14" s="91"/>
      <x:c r="F14" s="91"/>
      <x:c r="G14" s="92"/>
    </x:row>
    <x:row r="15">
      <x:c r="A15" s="93"/>
      <x:c r="B15" s="94"/>
      <x:c r="C15" s="94"/>
      <x:c r="D15" s="94"/>
      <x:c r="E15" s="94"/>
      <x:c r="F15" s="94"/>
      <x:c r="G15" s="95"/>
    </x:row>
  </x:sheetData>
  <x:mergeCells>
    <x:mergeCell ref="A1:G2"/>
    <x:mergeCell ref="A10:G10"/>
    <x:mergeCell ref="A11:G1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17" hidden="0" customWidth="1"/>
    <x:col min="3" max="3" width="17" hidden="0" customWidth="1"/>
    <x:col min="4" max="4" width="14" hidden="0" customWidth="1"/>
    <x:col min="5" max="5" width="13" hidden="0" customWidth="1"/>
    <x:col min="6" max="6" width="12" hidden="0" customWidth="1"/>
    <x:col min="7" max="7" width="27" hidden="0" customWidth="1"/>
  </x:cols>
  <x:sheetData>
    <x:row r="1">
      <x:c r="A1" s="3" t="str">
        <x:v>MODEL CHECKS</x:v>
      </x:c>
      <x:c r="B1" s="3"/>
      <x:c r="C1" s="3"/>
      <x:c r="D1" s="3"/>
      <x:c r="E1" s="3"/>
      <x:c r="F1" s="3"/>
      <x:c r="G1" s="3"/>
    </x:row>
    <x:row r="2">
      <x:c r="A2" s="3"/>
      <x:c r="B2" s="3"/>
      <x:c r="C2" s="3"/>
      <x:c r="D2" s="3"/>
      <x:c r="E2" s="3"/>
      <x:c r="F2" s="3"/>
      <x:c r="G2" s="3"/>
    </x:row>
    <x:row r="4">
      <x:c r="A4" s="20" t="str">
        <x:v>Check</x:v>
      </x:c>
      <x:c r="B4" s="21" t="str">
        <x:v>Actual</x:v>
      </x:c>
      <x:c r="C4" s="21" t="str">
        <x:v>Expected</x:v>
      </x:c>
      <x:c r="D4" s="21" t="str">
        <x:v>Difference</x:v>
      </x:c>
      <x:c r="E4" s="21" t="str">
        <x:v>Tolerance</x:v>
      </x:c>
      <x:c r="F4" s="21" t="str">
        <x:v>Status</x:v>
      </x:c>
      <x:c r="G4" s="22" t="str">
        <x:v>Where to fix</x:v>
      </x:c>
    </x:row>
    <x:row r="5">
      <x:c r="A5" s="23" t="str">
        <x:v>Inflows total</x:v>
      </x:c>
      <x:c r="B5" s="100" t="n">
        <x:f>SUM('13-Week Forecast'!B8:N8)</x:f>
        <x:v>286000</x:v>
      </x:c>
      <x:c r="C5" s="100" t="n">
        <x:f>'13-Week Forecast'!O8</x:f>
        <x:v>286000</x:v>
      </x:c>
      <x:c r="D5" s="100" t="n">
        <x:f>B5-C5</x:f>
        <x:v>0</x:v>
      </x:c>
      <x:c r="E5" s="100" t="n">
        <x:v>0.01</x:v>
      </x:c>
      <x:c r="F5" s="101" t="str">
        <x:f>IF(ABS(D5)&lt;=E5,"PASS","FAIL")</x:f>
        <x:v>PASS</x:v>
      </x:c>
      <x:c r="G5" s="26" t="str">
        <x:v>Forecast totals</x:v>
      </x:c>
    </x:row>
    <x:row r="6">
      <x:c r="A6" s="23" t="str">
        <x:v>Outflows total</x:v>
      </x:c>
      <x:c r="B6" s="100" t="n">
        <x:f>SUM('13-Week Forecast'!B16:N16)</x:f>
        <x:v>218800</x:v>
      </x:c>
      <x:c r="C6" s="100" t="n">
        <x:f>'13-Week Forecast'!O16</x:f>
        <x:v>218800</x:v>
      </x:c>
      <x:c r="D6" s="100" t="n">
        <x:f>B6-C6</x:f>
        <x:v>0</x:v>
      </x:c>
      <x:c r="E6" s="100" t="n">
        <x:v>0.01</x:v>
      </x:c>
      <x:c r="F6" s="101" t="str">
        <x:f>IF(ABS(D6)&lt;=E6,"PASS","FAIL")</x:f>
        <x:v>PASS</x:v>
      </x:c>
      <x:c r="G6" s="26" t="str">
        <x:v>Payment schedule</x:v>
      </x:c>
    </x:row>
    <x:row r="7">
      <x:c r="A7" s="23" t="str">
        <x:v>Cash roll-forward</x:v>
      </x:c>
      <x:c r="B7" s="100" t="n">
        <x:f>'13-Week Forecast'!N20</x:f>
        <x:v>91700</x:v>
      </x:c>
      <x:c r="C7" s="100" t="n">
        <x:f>'Assumptions'!B6+'13-Week Forecast'!O17+'13-Week Forecast'!O19</x:f>
        <x:v>91700</x:v>
      </x:c>
      <x:c r="D7" s="100" t="n">
        <x:f>B7-C7</x:f>
        <x:v>0</x:v>
      </x:c>
      <x:c r="E7" s="100" t="n">
        <x:v>0.01</x:v>
      </x:c>
      <x:c r="F7" s="101" t="str">
        <x:f>IF(ABS(D7)&lt;=E7,"PASS","FAIL")</x:f>
        <x:v>PASS</x:v>
      </x:c>
      <x:c r="G7" s="26" t="str">
        <x:v>Opening / net / funding</x:v>
      </x:c>
    </x:row>
    <x:row r="8">
      <x:c r="A8" s="23" t="str">
        <x:v>Funding within facility</x:v>
      </x:c>
      <x:c r="B8" s="100" t="n">
        <x:f>MAX('13-Week Forecast'!B19:N19)</x:f>
        <x:v>4500</x:v>
      </x:c>
      <x:c r="C8" s="100" t="n">
        <x:f>'Assumptions'!B8</x:f>
        <x:v>30000</x:v>
      </x:c>
      <x:c r="D8" s="100" t="n">
        <x:f>MAX(B8-C8,0)</x:f>
        <x:v>0</x:v>
      </x:c>
      <x:c r="E8" s="100" t="n">
        <x:v>0</x:v>
      </x:c>
      <x:c r="F8" s="101" t="str">
        <x:f>IF(ABS(D8)&lt;=E8,"PASS","FAIL")</x:f>
        <x:v>PASS</x:v>
      </x:c>
      <x:c r="G8" s="26" t="str">
        <x:v>Funding formula or facility</x:v>
      </x:c>
    </x:row>
    <x:row r="9">
      <x:c r="A9" s="23" t="str">
        <x:v>Scenario is valid</x:v>
      </x:c>
      <x:c r="B9" s="25" t="n">
        <x:f>COUNTIF('Assumptions'!A16:A18,'Assumptions'!B5)</x:f>
        <x:v>1</x:v>
      </x:c>
      <x:c r="C9" s="25" t="n">
        <x:v>1</x:v>
      </x:c>
      <x:c r="D9" s="25" t="n">
        <x:f>B9-C9</x:f>
        <x:v>0</x:v>
      </x:c>
      <x:c r="E9" s="25" t="n">
        <x:v>0</x:v>
      </x:c>
      <x:c r="F9" s="101" t="str">
        <x:f>IF(ABS(D9)&lt;=E9,"PASS","FAIL")</x:f>
        <x:v>PASS</x:v>
      </x:c>
      <x:c r="G9" s="26" t="str">
        <x:v>Assumptions!B5</x:v>
      </x:c>
    </x:row>
    <x:row r="10">
      <x:c r="A10" s="29" t="str">
        <x:v>Closing cash above reserve</x:v>
      </x:c>
      <x:c r="B10" s="31" t="n">
        <x:f>MIN('13-Week Forecast'!B20:N20)</x:f>
        <x:v>15000</x:v>
      </x:c>
      <x:c r="C10" s="31" t="n">
        <x:f>'Assumptions'!B7</x:f>
        <x:v>15000</x:v>
      </x:c>
      <x:c r="D10" s="31" t="n">
        <x:f>MIN(B10-C10,0)</x:f>
        <x:v>0</x:v>
      </x:c>
      <x:c r="E10" s="31" t="n">
        <x:v>0</x:v>
      </x:c>
      <x:c r="F10" s="102" t="str">
        <x:f>IF(ABS(D10)&lt;=E10,"PASS","FAIL")</x:f>
        <x:v>PASS</x:v>
      </x:c>
      <x:c r="G10" s="32" t="str">
        <x:v>Funding draw</x:v>
      </x:c>
    </x:row>
  </x:sheetData>
  <x:mergeCells>
    <x:mergeCell ref="A1:G2"/>
  </x:mergeCells>
  <x:pageMargins left="0.7" right="0.7" top="0.75" bottom="0.75" header="0.3" footer="0.3"/>
</x:worksheet>
</file>